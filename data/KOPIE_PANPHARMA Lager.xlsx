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DieseArbeitsmappe"/>
  <mc:AlternateContent xmlns:mc="http://schemas.openxmlformats.org/markup-compatibility/2006">
    <mc:Choice Requires="x15">
      <x15ac:absPath xmlns:x15ac="http://schemas.microsoft.com/office/spreadsheetml/2010/11/ac" url="https://highspeedkurierde-my.sharepoint.com/personal/mk_highspeedlogistik_de/Documents/M.Klüber(U)/HIGHSPEED/HIGHSPEED - LAGER/20606 · LAGER PANPHARMA, Trittau/PPH-Lagerverwaltung/"/>
    </mc:Choice>
  </mc:AlternateContent>
  <xr:revisionPtr revIDLastSave="1067" documentId="11_C2786A85FAC7108A50E0D730ED785B1A78714ACB" xr6:coauthVersionLast="47" xr6:coauthVersionMax="47" xr10:uidLastSave="{851E3F36-D833-432D-A610-A334E66DDC8C}"/>
  <bookViews>
    <workbookView xWindow="-120" yWindow="-120" windowWidth="29040" windowHeight="15720" tabRatio="811" firstSheet="97" activeTab="117" xr2:uid="{00000000-000D-0000-FFFF-FFFF00000000}"/>
  </bookViews>
  <sheets>
    <sheet name="11.16" sheetId="2" r:id="rId1"/>
    <sheet name="12.16" sheetId="3" r:id="rId2"/>
    <sheet name="01.17" sheetId="4" r:id="rId3"/>
    <sheet name="02.17" sheetId="5" r:id="rId4"/>
    <sheet name="03.17" sheetId="6" r:id="rId5"/>
    <sheet name="04.17" sheetId="7" r:id="rId6"/>
    <sheet name="05.17" sheetId="8" r:id="rId7"/>
    <sheet name="06.17" sheetId="9" r:id="rId8"/>
    <sheet name="07.17" sheetId="10" r:id="rId9"/>
    <sheet name="08.17" sheetId="11" r:id="rId10"/>
    <sheet name="09.17" sheetId="12" r:id="rId11"/>
    <sheet name="10.17" sheetId="13" r:id="rId12"/>
    <sheet name="11.17" sheetId="14" r:id="rId13"/>
    <sheet name="12.17" sheetId="15" r:id="rId14"/>
    <sheet name="01.18" sheetId="16" r:id="rId15"/>
    <sheet name="02.18" sheetId="17" r:id="rId16"/>
    <sheet name="03.18" sheetId="18" r:id="rId17"/>
    <sheet name="04.18" sheetId="19" r:id="rId18"/>
    <sheet name="05.18" sheetId="20" r:id="rId19"/>
    <sheet name="06.18" sheetId="21" r:id="rId20"/>
    <sheet name="07.18" sheetId="22" r:id="rId21"/>
    <sheet name="08.18" sheetId="23" r:id="rId22"/>
    <sheet name="09.18" sheetId="24" r:id="rId23"/>
    <sheet name="10.18" sheetId="25" r:id="rId24"/>
    <sheet name="11.18" sheetId="26" r:id="rId25"/>
    <sheet name="12.18" sheetId="27" r:id="rId26"/>
    <sheet name="01.19" sheetId="28" r:id="rId27"/>
    <sheet name="02.19" sheetId="29" r:id="rId28"/>
    <sheet name="03.19" sheetId="30" r:id="rId29"/>
    <sheet name="04.19" sheetId="31" r:id="rId30"/>
    <sheet name="05.19" sheetId="32" r:id="rId31"/>
    <sheet name="06.19" sheetId="33" r:id="rId32"/>
    <sheet name="07.19" sheetId="34" r:id="rId33"/>
    <sheet name="08.19" sheetId="35" r:id="rId34"/>
    <sheet name="09.19" sheetId="36" r:id="rId35"/>
    <sheet name="10.19" sheetId="37" r:id="rId36"/>
    <sheet name="11.19" sheetId="38" r:id="rId37"/>
    <sheet name="12.19" sheetId="39" r:id="rId38"/>
    <sheet name="01.20" sheetId="40" r:id="rId39"/>
    <sheet name="02.20" sheetId="41" r:id="rId40"/>
    <sheet name="03.20" sheetId="42" r:id="rId41"/>
    <sheet name="04.20" sheetId="43" r:id="rId42"/>
    <sheet name="05.20" sheetId="44" r:id="rId43"/>
    <sheet name="06.20" sheetId="45" r:id="rId44"/>
    <sheet name="07.20" sheetId="46" r:id="rId45"/>
    <sheet name="08.20" sheetId="47" r:id="rId46"/>
    <sheet name="09.20" sheetId="48" r:id="rId47"/>
    <sheet name="10.20" sheetId="49" r:id="rId48"/>
    <sheet name="11.20" sheetId="50" r:id="rId49"/>
    <sheet name="12.20" sheetId="51" r:id="rId50"/>
    <sheet name="01.21" sheetId="52" r:id="rId51"/>
    <sheet name="02.21" sheetId="53" r:id="rId52"/>
    <sheet name="03.21" sheetId="54" r:id="rId53"/>
    <sheet name="04.21" sheetId="55" r:id="rId54"/>
    <sheet name="05.21" sheetId="56" r:id="rId55"/>
    <sheet name="06.21" sheetId="57" r:id="rId56"/>
    <sheet name="07.21" sheetId="58" r:id="rId57"/>
    <sheet name="08.21" sheetId="59" r:id="rId58"/>
    <sheet name="09.21" sheetId="60" r:id="rId59"/>
    <sheet name="10.21" sheetId="61" r:id="rId60"/>
    <sheet name="11.21" sheetId="62" r:id="rId61"/>
    <sheet name="12.21" sheetId="63" r:id="rId62"/>
    <sheet name="01.22" sheetId="65" r:id="rId63"/>
    <sheet name="02.22" sheetId="67" r:id="rId64"/>
    <sheet name="03.22" sheetId="68" r:id="rId65"/>
    <sheet name="04.22" sheetId="69" r:id="rId66"/>
    <sheet name="05.22" sheetId="70" r:id="rId67"/>
    <sheet name="06.22" sheetId="71" r:id="rId68"/>
    <sheet name="07.22" sheetId="72" r:id="rId69"/>
    <sheet name="08.22" sheetId="73" r:id="rId70"/>
    <sheet name="09.22" sheetId="74" r:id="rId71"/>
    <sheet name="10.22" sheetId="75" r:id="rId72"/>
    <sheet name="11.22" sheetId="76" r:id="rId73"/>
    <sheet name="12.22" sheetId="77" r:id="rId74"/>
    <sheet name="01.23" sheetId="78" r:id="rId75"/>
    <sheet name="02.23" sheetId="80" r:id="rId76"/>
    <sheet name="03.23" sheetId="81" r:id="rId77"/>
    <sheet name="04.23" sheetId="82" r:id="rId78"/>
    <sheet name="05.23" sheetId="83" r:id="rId79"/>
    <sheet name="06.23" sheetId="84" r:id="rId80"/>
    <sheet name="07.23" sheetId="85" r:id="rId81"/>
    <sheet name="08.23" sheetId="86" r:id="rId82"/>
    <sheet name="09.23" sheetId="87" r:id="rId83"/>
    <sheet name="10.23" sheetId="88" r:id="rId84"/>
    <sheet name="11.23" sheetId="89" r:id="rId85"/>
    <sheet name="12.23" sheetId="90" r:id="rId86"/>
    <sheet name="01.24" sheetId="91" r:id="rId87"/>
    <sheet name="02.24" sheetId="92" r:id="rId88"/>
    <sheet name="03.24" sheetId="93" r:id="rId89"/>
    <sheet name="04.24" sheetId="94" r:id="rId90"/>
    <sheet name="05.24" sheetId="95" r:id="rId91"/>
    <sheet name="06.24" sheetId="96" r:id="rId92"/>
    <sheet name="07.24" sheetId="97" r:id="rId93"/>
    <sheet name="08.24" sheetId="98" r:id="rId94"/>
    <sheet name="09.24" sheetId="99" r:id="rId95"/>
    <sheet name="10.24" sheetId="100" r:id="rId96"/>
    <sheet name="11.24" sheetId="101" r:id="rId97"/>
    <sheet name="12.24" sheetId="102" r:id="rId98"/>
    <sheet name="01.25" sheetId="103" r:id="rId99"/>
    <sheet name="02.25" sheetId="104" r:id="rId100"/>
    <sheet name="03.25" sheetId="105" r:id="rId101"/>
    <sheet name="04.25" sheetId="106" r:id="rId102"/>
    <sheet name="05.25" sheetId="107" r:id="rId103"/>
    <sheet name="06.25" sheetId="108" r:id="rId104"/>
    <sheet name="07.25" sheetId="109" r:id="rId105"/>
    <sheet name="08.25" sheetId="110" r:id="rId106"/>
    <sheet name="09.25" sheetId="111" r:id="rId107"/>
    <sheet name="10.25" sheetId="112" r:id="rId108"/>
    <sheet name="11.25" sheetId="113" r:id="rId109"/>
    <sheet name="12.25" sheetId="114" r:id="rId110"/>
    <sheet name="01.26" sheetId="115" r:id="rId111"/>
    <sheet name="02.26" sheetId="116" r:id="rId112"/>
    <sheet name="03.26" sheetId="117" r:id="rId113"/>
    <sheet name="04.26" sheetId="118" r:id="rId114"/>
    <sheet name="05.26" sheetId="119" r:id="rId115"/>
    <sheet name="06.26" sheetId="120" r:id="rId116"/>
    <sheet name="VORLAGE" sheetId="66" r:id="rId117"/>
    <sheet name="Traffic" sheetId="64" r:id="rId118"/>
    <sheet name="Traffic alle Jahre" sheetId="79" r:id="rId119"/>
  </sheets>
  <definedNames>
    <definedName name="a" localSheetId="14">#REF!</definedName>
    <definedName name="a" localSheetId="26">#REF!</definedName>
    <definedName name="a" localSheetId="38">#REF!</definedName>
    <definedName name="a" localSheetId="50">#REF!</definedName>
    <definedName name="a" localSheetId="62">#REF!</definedName>
    <definedName name="a" localSheetId="74">#REF!</definedName>
    <definedName name="a" localSheetId="86">#REF!</definedName>
    <definedName name="a" localSheetId="98">#REF!</definedName>
    <definedName name="a" localSheetId="110">#REF!</definedName>
    <definedName name="a" localSheetId="15">#REF!</definedName>
    <definedName name="a" localSheetId="27">#REF!</definedName>
    <definedName name="a" localSheetId="39">#REF!</definedName>
    <definedName name="a" localSheetId="51">#REF!</definedName>
    <definedName name="a" localSheetId="63">#REF!</definedName>
    <definedName name="a" localSheetId="75">#REF!</definedName>
    <definedName name="a" localSheetId="87">#REF!</definedName>
    <definedName name="a" localSheetId="99">#REF!</definedName>
    <definedName name="a" localSheetId="111">#REF!</definedName>
    <definedName name="a" localSheetId="16">#REF!</definedName>
    <definedName name="a" localSheetId="28">#REF!</definedName>
    <definedName name="a" localSheetId="40">#REF!</definedName>
    <definedName name="a" localSheetId="52">#REF!</definedName>
    <definedName name="a" localSheetId="64">#REF!</definedName>
    <definedName name="a" localSheetId="76">#REF!</definedName>
    <definedName name="a" localSheetId="88">#REF!</definedName>
    <definedName name="a" localSheetId="100">#REF!</definedName>
    <definedName name="a" localSheetId="112">#REF!</definedName>
    <definedName name="a" localSheetId="5">#REF!</definedName>
    <definedName name="a" localSheetId="17">#REF!</definedName>
    <definedName name="a" localSheetId="29">#REF!</definedName>
    <definedName name="a" localSheetId="41">#REF!</definedName>
    <definedName name="a" localSheetId="53">#REF!</definedName>
    <definedName name="a" localSheetId="65">#REF!</definedName>
    <definedName name="a" localSheetId="77">#REF!</definedName>
    <definedName name="a" localSheetId="89">#REF!</definedName>
    <definedName name="a" localSheetId="101">#REF!</definedName>
    <definedName name="a" localSheetId="113">#REF!</definedName>
    <definedName name="a" localSheetId="6">#REF!</definedName>
    <definedName name="a" localSheetId="18">#REF!</definedName>
    <definedName name="a" localSheetId="30">#REF!</definedName>
    <definedName name="a" localSheetId="42">#REF!</definedName>
    <definedName name="a" localSheetId="54">#REF!</definedName>
    <definedName name="a" localSheetId="66">#REF!</definedName>
    <definedName name="a" localSheetId="78">#REF!</definedName>
    <definedName name="a" localSheetId="90">#REF!</definedName>
    <definedName name="a" localSheetId="102">#REF!</definedName>
    <definedName name="a" localSheetId="114">#REF!</definedName>
    <definedName name="a" localSheetId="7">#REF!</definedName>
    <definedName name="a" localSheetId="19">#REF!</definedName>
    <definedName name="a" localSheetId="31">#REF!</definedName>
    <definedName name="a" localSheetId="43">#REF!</definedName>
    <definedName name="a" localSheetId="55">#REF!</definedName>
    <definedName name="a" localSheetId="67">#REF!</definedName>
    <definedName name="a" localSheetId="79">#REF!</definedName>
    <definedName name="a" localSheetId="91">#REF!</definedName>
    <definedName name="a" localSheetId="103">#REF!</definedName>
    <definedName name="a" localSheetId="115">#REF!</definedName>
    <definedName name="a" localSheetId="8">#REF!</definedName>
    <definedName name="a" localSheetId="20">#REF!</definedName>
    <definedName name="a" localSheetId="32">#REF!</definedName>
    <definedName name="a" localSheetId="44">#REF!</definedName>
    <definedName name="a" localSheetId="56">#REF!</definedName>
    <definedName name="a" localSheetId="68">#REF!</definedName>
    <definedName name="a" localSheetId="80">#REF!</definedName>
    <definedName name="a" localSheetId="92">#REF!</definedName>
    <definedName name="a" localSheetId="104">#REF!</definedName>
    <definedName name="a" localSheetId="9">#REF!</definedName>
    <definedName name="a" localSheetId="21">#REF!</definedName>
    <definedName name="a" localSheetId="33">#REF!</definedName>
    <definedName name="a" localSheetId="45">#REF!</definedName>
    <definedName name="a" localSheetId="57">#REF!</definedName>
    <definedName name="a" localSheetId="69">#REF!</definedName>
    <definedName name="a" localSheetId="81">#REF!</definedName>
    <definedName name="a" localSheetId="93">#REF!</definedName>
    <definedName name="a" localSheetId="105">#REF!</definedName>
    <definedName name="a" localSheetId="10">#REF!</definedName>
    <definedName name="a" localSheetId="22">#REF!</definedName>
    <definedName name="a" localSheetId="34">#REF!</definedName>
    <definedName name="a" localSheetId="46">#REF!</definedName>
    <definedName name="a" localSheetId="58">#REF!</definedName>
    <definedName name="a" localSheetId="70">#REF!</definedName>
    <definedName name="a" localSheetId="82">#REF!</definedName>
    <definedName name="a" localSheetId="94">#REF!</definedName>
    <definedName name="a" localSheetId="106">#REF!</definedName>
    <definedName name="a" localSheetId="11">#REF!</definedName>
    <definedName name="a" localSheetId="23">#REF!</definedName>
    <definedName name="a" localSheetId="35">#REF!</definedName>
    <definedName name="a" localSheetId="47">#REF!</definedName>
    <definedName name="a" localSheetId="59">#REF!</definedName>
    <definedName name="a" localSheetId="71">#REF!</definedName>
    <definedName name="a" localSheetId="83">#REF!</definedName>
    <definedName name="a" localSheetId="95">#REF!</definedName>
    <definedName name="a" localSheetId="107">#REF!</definedName>
    <definedName name="a" localSheetId="12">#REF!</definedName>
    <definedName name="a" localSheetId="24">#REF!</definedName>
    <definedName name="a" localSheetId="36">#REF!</definedName>
    <definedName name="a" localSheetId="48">#REF!</definedName>
    <definedName name="a" localSheetId="60">#REF!</definedName>
    <definedName name="a" localSheetId="72">#REF!</definedName>
    <definedName name="a" localSheetId="84">#REF!</definedName>
    <definedName name="a" localSheetId="96">#REF!</definedName>
    <definedName name="a" localSheetId="108">#REF!</definedName>
    <definedName name="a" localSheetId="13">#REF!</definedName>
    <definedName name="a" localSheetId="25">#REF!</definedName>
    <definedName name="a" localSheetId="37">#REF!</definedName>
    <definedName name="a" localSheetId="49">#REF!</definedName>
    <definedName name="a" localSheetId="61">#REF!</definedName>
    <definedName name="a" localSheetId="73">#REF!</definedName>
    <definedName name="a" localSheetId="85">#REF!</definedName>
    <definedName name="a" localSheetId="97">#REF!</definedName>
    <definedName name="a" localSheetId="109">#REF!</definedName>
    <definedName name="a" localSheetId="116">#REF!</definedName>
    <definedName name="a">#REF!</definedName>
    <definedName name="a." localSheetId="14">#REF!</definedName>
    <definedName name="a." localSheetId="26">#REF!</definedName>
    <definedName name="a." localSheetId="38">#REF!</definedName>
    <definedName name="a." localSheetId="50">#REF!</definedName>
    <definedName name="a." localSheetId="62">#REF!</definedName>
    <definedName name="a." localSheetId="74">#REF!</definedName>
    <definedName name="a." localSheetId="86">#REF!</definedName>
    <definedName name="a." localSheetId="98">#REF!</definedName>
    <definedName name="a." localSheetId="110">#REF!</definedName>
    <definedName name="a." localSheetId="15">#REF!</definedName>
    <definedName name="a." localSheetId="27">#REF!</definedName>
    <definedName name="a." localSheetId="39">#REF!</definedName>
    <definedName name="a." localSheetId="51">#REF!</definedName>
    <definedName name="a." localSheetId="63">#REF!</definedName>
    <definedName name="a." localSheetId="75">#REF!</definedName>
    <definedName name="a." localSheetId="87">#REF!</definedName>
    <definedName name="a." localSheetId="99">#REF!</definedName>
    <definedName name="a." localSheetId="111">#REF!</definedName>
    <definedName name="a." localSheetId="16">#REF!</definedName>
    <definedName name="a." localSheetId="28">#REF!</definedName>
    <definedName name="a." localSheetId="40">#REF!</definedName>
    <definedName name="a." localSheetId="52">#REF!</definedName>
    <definedName name="a." localSheetId="64">#REF!</definedName>
    <definedName name="a." localSheetId="76">#REF!</definedName>
    <definedName name="a." localSheetId="88">#REF!</definedName>
    <definedName name="a." localSheetId="100">#REF!</definedName>
    <definedName name="a." localSheetId="112">#REF!</definedName>
    <definedName name="a." localSheetId="5">#REF!</definedName>
    <definedName name="a." localSheetId="17">#REF!</definedName>
    <definedName name="a." localSheetId="29">#REF!</definedName>
    <definedName name="a." localSheetId="41">#REF!</definedName>
    <definedName name="a." localSheetId="53">#REF!</definedName>
    <definedName name="a." localSheetId="65">#REF!</definedName>
    <definedName name="a." localSheetId="77">#REF!</definedName>
    <definedName name="a." localSheetId="89">#REF!</definedName>
    <definedName name="a." localSheetId="101">#REF!</definedName>
    <definedName name="a." localSheetId="113">#REF!</definedName>
    <definedName name="a." localSheetId="6">#REF!</definedName>
    <definedName name="a." localSheetId="18">#REF!</definedName>
    <definedName name="a." localSheetId="30">#REF!</definedName>
    <definedName name="a." localSheetId="42">#REF!</definedName>
    <definedName name="a." localSheetId="54">#REF!</definedName>
    <definedName name="a." localSheetId="66">#REF!</definedName>
    <definedName name="a." localSheetId="78">#REF!</definedName>
    <definedName name="a." localSheetId="90">#REF!</definedName>
    <definedName name="a." localSheetId="102">#REF!</definedName>
    <definedName name="a." localSheetId="114">#REF!</definedName>
    <definedName name="a." localSheetId="7">#REF!</definedName>
    <definedName name="a." localSheetId="19">#REF!</definedName>
    <definedName name="a." localSheetId="31">#REF!</definedName>
    <definedName name="a." localSheetId="43">#REF!</definedName>
    <definedName name="a." localSheetId="55">#REF!</definedName>
    <definedName name="a." localSheetId="67">#REF!</definedName>
    <definedName name="a." localSheetId="79">#REF!</definedName>
    <definedName name="a." localSheetId="91">#REF!</definedName>
    <definedName name="a." localSheetId="103">#REF!</definedName>
    <definedName name="a." localSheetId="115">#REF!</definedName>
    <definedName name="a." localSheetId="8">#REF!</definedName>
    <definedName name="a." localSheetId="20">#REF!</definedName>
    <definedName name="a." localSheetId="32">#REF!</definedName>
    <definedName name="a." localSheetId="44">#REF!</definedName>
    <definedName name="a." localSheetId="56">#REF!</definedName>
    <definedName name="a." localSheetId="68">#REF!</definedName>
    <definedName name="a." localSheetId="80">#REF!</definedName>
    <definedName name="a." localSheetId="92">#REF!</definedName>
    <definedName name="a." localSheetId="104">#REF!</definedName>
    <definedName name="a." localSheetId="9">#REF!</definedName>
    <definedName name="a." localSheetId="21">#REF!</definedName>
    <definedName name="a." localSheetId="33">#REF!</definedName>
    <definedName name="a." localSheetId="45">#REF!</definedName>
    <definedName name="a." localSheetId="57">#REF!</definedName>
    <definedName name="a." localSheetId="69">#REF!</definedName>
    <definedName name="a." localSheetId="81">#REF!</definedName>
    <definedName name="a." localSheetId="93">#REF!</definedName>
    <definedName name="a." localSheetId="105">#REF!</definedName>
    <definedName name="a." localSheetId="10">#REF!</definedName>
    <definedName name="a." localSheetId="22">#REF!</definedName>
    <definedName name="a." localSheetId="34">#REF!</definedName>
    <definedName name="a." localSheetId="46">#REF!</definedName>
    <definedName name="a." localSheetId="58">#REF!</definedName>
    <definedName name="a." localSheetId="70">#REF!</definedName>
    <definedName name="a." localSheetId="82">#REF!</definedName>
    <definedName name="a." localSheetId="94">#REF!</definedName>
    <definedName name="a." localSheetId="106">#REF!</definedName>
    <definedName name="a." localSheetId="11">#REF!</definedName>
    <definedName name="a." localSheetId="23">#REF!</definedName>
    <definedName name="a." localSheetId="35">#REF!</definedName>
    <definedName name="a." localSheetId="47">#REF!</definedName>
    <definedName name="a." localSheetId="59">#REF!</definedName>
    <definedName name="a." localSheetId="71">#REF!</definedName>
    <definedName name="a." localSheetId="83">#REF!</definedName>
    <definedName name="a." localSheetId="95">#REF!</definedName>
    <definedName name="a." localSheetId="107">#REF!</definedName>
    <definedName name="a." localSheetId="12">#REF!</definedName>
    <definedName name="a." localSheetId="24">#REF!</definedName>
    <definedName name="a." localSheetId="36">#REF!</definedName>
    <definedName name="a." localSheetId="48">#REF!</definedName>
    <definedName name="a." localSheetId="60">#REF!</definedName>
    <definedName name="a." localSheetId="72">#REF!</definedName>
    <definedName name="a." localSheetId="84">#REF!</definedName>
    <definedName name="a." localSheetId="96">#REF!</definedName>
    <definedName name="a." localSheetId="108">#REF!</definedName>
    <definedName name="a." localSheetId="13">#REF!</definedName>
    <definedName name="a." localSheetId="25">#REF!</definedName>
    <definedName name="a." localSheetId="37">#REF!</definedName>
    <definedName name="a." localSheetId="49">#REF!</definedName>
    <definedName name="a." localSheetId="61">#REF!</definedName>
    <definedName name="a." localSheetId="73">#REF!</definedName>
    <definedName name="a." localSheetId="85">#REF!</definedName>
    <definedName name="a." localSheetId="97">#REF!</definedName>
    <definedName name="a." localSheetId="109">#REF!</definedName>
    <definedName name="a." localSheetId="116">#REF!</definedName>
    <definedName name="a.">#REF!</definedName>
    <definedName name="b" localSheetId="14">#REF!</definedName>
    <definedName name="b" localSheetId="26">#REF!</definedName>
    <definedName name="b" localSheetId="38">#REF!</definedName>
    <definedName name="b" localSheetId="50">#REF!</definedName>
    <definedName name="b" localSheetId="62">#REF!</definedName>
    <definedName name="b" localSheetId="74">#REF!</definedName>
    <definedName name="b" localSheetId="86">#REF!</definedName>
    <definedName name="b" localSheetId="98">#REF!</definedName>
    <definedName name="b" localSheetId="110">#REF!</definedName>
    <definedName name="b" localSheetId="15">#REF!</definedName>
    <definedName name="b" localSheetId="27">#REF!</definedName>
    <definedName name="b" localSheetId="39">#REF!</definedName>
    <definedName name="b" localSheetId="51">#REF!</definedName>
    <definedName name="b" localSheetId="63">#REF!</definedName>
    <definedName name="b" localSheetId="75">#REF!</definedName>
    <definedName name="b" localSheetId="87">#REF!</definedName>
    <definedName name="b" localSheetId="99">#REF!</definedName>
    <definedName name="b" localSheetId="111">#REF!</definedName>
    <definedName name="b" localSheetId="16">#REF!</definedName>
    <definedName name="b" localSheetId="28">#REF!</definedName>
    <definedName name="b" localSheetId="40">#REF!</definedName>
    <definedName name="b" localSheetId="52">#REF!</definedName>
    <definedName name="b" localSheetId="64">#REF!</definedName>
    <definedName name="b" localSheetId="76">#REF!</definedName>
    <definedName name="b" localSheetId="88">#REF!</definedName>
    <definedName name="b" localSheetId="100">#REF!</definedName>
    <definedName name="b" localSheetId="112">#REF!</definedName>
    <definedName name="b" localSheetId="5">#REF!</definedName>
    <definedName name="b" localSheetId="17">#REF!</definedName>
    <definedName name="b" localSheetId="29">#REF!</definedName>
    <definedName name="b" localSheetId="41">#REF!</definedName>
    <definedName name="b" localSheetId="53">#REF!</definedName>
    <definedName name="b" localSheetId="65">#REF!</definedName>
    <definedName name="b" localSheetId="77">#REF!</definedName>
    <definedName name="b" localSheetId="89">#REF!</definedName>
    <definedName name="b" localSheetId="101">#REF!</definedName>
    <definedName name="b" localSheetId="113">#REF!</definedName>
    <definedName name="b" localSheetId="6">#REF!</definedName>
    <definedName name="b" localSheetId="18">#REF!</definedName>
    <definedName name="b" localSheetId="30">#REF!</definedName>
    <definedName name="b" localSheetId="42">#REF!</definedName>
    <definedName name="b" localSheetId="54">#REF!</definedName>
    <definedName name="b" localSheetId="66">#REF!</definedName>
    <definedName name="b" localSheetId="78">#REF!</definedName>
    <definedName name="b" localSheetId="90">#REF!</definedName>
    <definedName name="b" localSheetId="102">#REF!</definedName>
    <definedName name="b" localSheetId="114">#REF!</definedName>
    <definedName name="b" localSheetId="7">#REF!</definedName>
    <definedName name="b" localSheetId="19">#REF!</definedName>
    <definedName name="b" localSheetId="31">#REF!</definedName>
    <definedName name="b" localSheetId="43">#REF!</definedName>
    <definedName name="b" localSheetId="55">#REF!</definedName>
    <definedName name="b" localSheetId="67">#REF!</definedName>
    <definedName name="b" localSheetId="79">#REF!</definedName>
    <definedName name="b" localSheetId="91">#REF!</definedName>
    <definedName name="b" localSheetId="103">#REF!</definedName>
    <definedName name="b" localSheetId="115">#REF!</definedName>
    <definedName name="b" localSheetId="8">#REF!</definedName>
    <definedName name="b" localSheetId="20">#REF!</definedName>
    <definedName name="b" localSheetId="32">#REF!</definedName>
    <definedName name="b" localSheetId="44">#REF!</definedName>
    <definedName name="b" localSheetId="56">#REF!</definedName>
    <definedName name="b" localSheetId="68">#REF!</definedName>
    <definedName name="b" localSheetId="80">#REF!</definedName>
    <definedName name="b" localSheetId="92">#REF!</definedName>
    <definedName name="b" localSheetId="104">#REF!</definedName>
    <definedName name="b" localSheetId="9">#REF!</definedName>
    <definedName name="b" localSheetId="21">#REF!</definedName>
    <definedName name="b" localSheetId="33">#REF!</definedName>
    <definedName name="b" localSheetId="45">#REF!</definedName>
    <definedName name="b" localSheetId="57">#REF!</definedName>
    <definedName name="b" localSheetId="69">#REF!</definedName>
    <definedName name="b" localSheetId="81">#REF!</definedName>
    <definedName name="b" localSheetId="93">#REF!</definedName>
    <definedName name="b" localSheetId="105">#REF!</definedName>
    <definedName name="b" localSheetId="10">#REF!</definedName>
    <definedName name="b" localSheetId="22">#REF!</definedName>
    <definedName name="b" localSheetId="34">#REF!</definedName>
    <definedName name="b" localSheetId="46">#REF!</definedName>
    <definedName name="b" localSheetId="58">#REF!</definedName>
    <definedName name="b" localSheetId="70">#REF!</definedName>
    <definedName name="b" localSheetId="82">#REF!</definedName>
    <definedName name="b" localSheetId="94">#REF!</definedName>
    <definedName name="b" localSheetId="106">#REF!</definedName>
    <definedName name="b" localSheetId="11">#REF!</definedName>
    <definedName name="b" localSheetId="23">#REF!</definedName>
    <definedName name="b" localSheetId="35">#REF!</definedName>
    <definedName name="b" localSheetId="47">#REF!</definedName>
    <definedName name="b" localSheetId="59">#REF!</definedName>
    <definedName name="b" localSheetId="71">#REF!</definedName>
    <definedName name="b" localSheetId="83">#REF!</definedName>
    <definedName name="b" localSheetId="95">#REF!</definedName>
    <definedName name="b" localSheetId="107">#REF!</definedName>
    <definedName name="b" localSheetId="12">#REF!</definedName>
    <definedName name="b" localSheetId="24">#REF!</definedName>
    <definedName name="b" localSheetId="36">#REF!</definedName>
    <definedName name="b" localSheetId="48">#REF!</definedName>
    <definedName name="b" localSheetId="60">#REF!</definedName>
    <definedName name="b" localSheetId="72">#REF!</definedName>
    <definedName name="b" localSheetId="84">#REF!</definedName>
    <definedName name="b" localSheetId="96">#REF!</definedName>
    <definedName name="b" localSheetId="108">#REF!</definedName>
    <definedName name="b" localSheetId="13">#REF!</definedName>
    <definedName name="b" localSheetId="25">#REF!</definedName>
    <definedName name="b" localSheetId="37">#REF!</definedName>
    <definedName name="b" localSheetId="49">#REF!</definedName>
    <definedName name="b" localSheetId="61">#REF!</definedName>
    <definedName name="b" localSheetId="73">#REF!</definedName>
    <definedName name="b" localSheetId="85">#REF!</definedName>
    <definedName name="b" localSheetId="97">#REF!</definedName>
    <definedName name="b" localSheetId="109">#REF!</definedName>
    <definedName name="b" localSheetId="116">#REF!</definedName>
    <definedName name="b">#REF!</definedName>
    <definedName name="_xlnm.Print_Area" localSheetId="2">'01.17'!$A$1:$K$44</definedName>
    <definedName name="_xlnm.Print_Area" localSheetId="14">'01.18'!$A$1:$K$30</definedName>
    <definedName name="_xlnm.Print_Area" localSheetId="26">'01.19'!$A$1:$K$16</definedName>
    <definedName name="_xlnm.Print_Area" localSheetId="38">'01.20'!$A$1:$K$24</definedName>
    <definedName name="_xlnm.Print_Area" localSheetId="50">'01.21'!$A$1:$K$24</definedName>
    <definedName name="_xlnm.Print_Area" localSheetId="62">'01.22'!$A$1:$K$24</definedName>
    <definedName name="_xlnm.Print_Area" localSheetId="74">'01.23'!$A$1:$K$23</definedName>
    <definedName name="_xlnm.Print_Area" localSheetId="86">'01.24'!$A$1:$K$26</definedName>
    <definedName name="_xlnm.Print_Area" localSheetId="98">'01.25'!$A$1:$K$26</definedName>
    <definedName name="_xlnm.Print_Area" localSheetId="110">'01.26'!$A$1:$K$36</definedName>
    <definedName name="_xlnm.Print_Area" localSheetId="3">'02.17'!$A$1:$K$15</definedName>
    <definedName name="_xlnm.Print_Area" localSheetId="15">'02.18'!$A$1:$K$23</definedName>
    <definedName name="_xlnm.Print_Area" localSheetId="27">'02.19'!$A$1:$K$16</definedName>
    <definedName name="_xlnm.Print_Area" localSheetId="39">'02.20'!$A$1:$K$25</definedName>
    <definedName name="_xlnm.Print_Area" localSheetId="51">'02.21'!$A$1:$K$39</definedName>
    <definedName name="_xlnm.Print_Area" localSheetId="63">'02.22'!$A$1:$K$26</definedName>
    <definedName name="_xlnm.Print_Area" localSheetId="75">'02.23'!$A$1:$K$33</definedName>
    <definedName name="_xlnm.Print_Area" localSheetId="87">'02.24'!$A$1:$K$33</definedName>
    <definedName name="_xlnm.Print_Area" localSheetId="99">'02.25'!$A$1:$K$31</definedName>
    <definedName name="_xlnm.Print_Area" localSheetId="111">'02.26'!$A$1:$K$27</definedName>
    <definedName name="_xlnm.Print_Area" localSheetId="4">'03.17'!$A$1:$K$15</definedName>
    <definedName name="_xlnm.Print_Area" localSheetId="16">'03.18'!$A$1:$K$26</definedName>
    <definedName name="_xlnm.Print_Area" localSheetId="28">'03.19'!$A$1:$K$22</definedName>
    <definedName name="_xlnm.Print_Area" localSheetId="40">'03.20'!$A$1:$K$19</definedName>
    <definedName name="_xlnm.Print_Area" localSheetId="52">'03.21'!$A$1:$K$30</definedName>
    <definedName name="_xlnm.Print_Area" localSheetId="64">'03.22'!$A$1:$K$26</definedName>
    <definedName name="_xlnm.Print_Area" localSheetId="76">'03.23'!$A$1:$K$30</definedName>
    <definedName name="_xlnm.Print_Area" localSheetId="88">'03.24'!$A$1:$K$29</definedName>
    <definedName name="_xlnm.Print_Area" localSheetId="100">'03.25'!$A$1:$K$19</definedName>
    <definedName name="_xlnm.Print_Area" localSheetId="112">'03.26'!$A$1:$K$36</definedName>
    <definedName name="_xlnm.Print_Area" localSheetId="5">'04.17'!$A$1:$K$13</definedName>
    <definedName name="_xlnm.Print_Area" localSheetId="17">'04.18'!$A$1:$K$30</definedName>
    <definedName name="_xlnm.Print_Area" localSheetId="29">'04.19'!$A$1:$K$16</definedName>
    <definedName name="_xlnm.Print_Area" localSheetId="41">'04.20'!$A$1:$K$20</definedName>
    <definedName name="_xlnm.Print_Area" localSheetId="53">'04.21'!$A$1:$K$34</definedName>
    <definedName name="_xlnm.Print_Area" localSheetId="65">'04.22'!$A$1:$K$26</definedName>
    <definedName name="_xlnm.Print_Area" localSheetId="77">'04.23'!$A$1:$K$31</definedName>
    <definedName name="_xlnm.Print_Area" localSheetId="89">'04.24'!$A$1:$K$27</definedName>
    <definedName name="_xlnm.Print_Area" localSheetId="101">'04.25'!$A$1:$K$21</definedName>
    <definedName name="_xlnm.Print_Area" localSheetId="113">'04.26'!$A$1:$K$32</definedName>
    <definedName name="_xlnm.Print_Area" localSheetId="6">'05.17'!$A$1:$K$16</definedName>
    <definedName name="_xlnm.Print_Area" localSheetId="18">'05.18'!$A$1:$K$45</definedName>
    <definedName name="_xlnm.Print_Area" localSheetId="30">'05.19'!$A$1:$K$19</definedName>
    <definedName name="_xlnm.Print_Area" localSheetId="42">'05.20'!$A$1:$K$20</definedName>
    <definedName name="_xlnm.Print_Area" localSheetId="54">'05.21'!$A$1:$K$44</definedName>
    <definedName name="_xlnm.Print_Area" localSheetId="66">'05.22'!$A$1:$K$26</definedName>
    <definedName name="_xlnm.Print_Area" localSheetId="78">'05.23'!$A$1:$K$30</definedName>
    <definedName name="_xlnm.Print_Area" localSheetId="90">'05.24'!$A$1:$K$24</definedName>
    <definedName name="_xlnm.Print_Area" localSheetId="102">'05.25'!$A$1:$K$17</definedName>
    <definedName name="_xlnm.Print_Area" localSheetId="114">'05.26'!$A$1:$K$21</definedName>
    <definedName name="_xlnm.Print_Area" localSheetId="7">'06.17'!$A$1:$K$16</definedName>
    <definedName name="_xlnm.Print_Area" localSheetId="19">'06.18'!$A$1:$K$44</definedName>
    <definedName name="_xlnm.Print_Area" localSheetId="31">'06.19'!$A$1:$K$23</definedName>
    <definedName name="_xlnm.Print_Area" localSheetId="43">'06.20'!$A$1:$K$25</definedName>
    <definedName name="_xlnm.Print_Area" localSheetId="55">'06.21'!$A$1:$K$55</definedName>
    <definedName name="_xlnm.Print_Area" localSheetId="67">'06.22'!$A$1:$K$27</definedName>
    <definedName name="_xlnm.Print_Area" localSheetId="79">'06.23'!$A$1:$K$22</definedName>
    <definedName name="_xlnm.Print_Area" localSheetId="91">'06.24'!$A$1:$K$33</definedName>
    <definedName name="_xlnm.Print_Area" localSheetId="103">'06.25'!$A$1:$K$26</definedName>
    <definedName name="_xlnm.Print_Area" localSheetId="115">'06.26'!$A$1:$K$26</definedName>
    <definedName name="_xlnm.Print_Area" localSheetId="8">'07.17'!$A$1:$K$16</definedName>
    <definedName name="_xlnm.Print_Area" localSheetId="20">'07.18'!$A$1:$K$16</definedName>
    <definedName name="_xlnm.Print_Area" localSheetId="32">'07.19'!$A$1:$K$23</definedName>
    <definedName name="_xlnm.Print_Area" localSheetId="44">'07.20'!$A$1:$K$27</definedName>
    <definedName name="_xlnm.Print_Area" localSheetId="56">'07.21'!$A$1:$K$26</definedName>
    <definedName name="_xlnm.Print_Area" localSheetId="68">'07.22'!$A$1:$K$33</definedName>
    <definedName name="_xlnm.Print_Area" localSheetId="80">'07.23'!$A$1:$K$17</definedName>
    <definedName name="_xlnm.Print_Area" localSheetId="92">'07.24'!$A$1:$K$24</definedName>
    <definedName name="_xlnm.Print_Area" localSheetId="104">'07.25'!$A$1:$K$19</definedName>
    <definedName name="_xlnm.Print_Area" localSheetId="9">'08.17'!$A$1:$K$16</definedName>
    <definedName name="_xlnm.Print_Area" localSheetId="21">'08.18'!$A$1:$K$24</definedName>
    <definedName name="_xlnm.Print_Area" localSheetId="33">'08.19'!$A$1:$K$16</definedName>
    <definedName name="_xlnm.Print_Area" localSheetId="45">'08.20'!$A$1:$K$30</definedName>
    <definedName name="_xlnm.Print_Area" localSheetId="57">'08.21'!$A$1:$K$24</definedName>
    <definedName name="_xlnm.Print_Area" localSheetId="69">'08.22'!$A$1:$K$32</definedName>
    <definedName name="_xlnm.Print_Area" localSheetId="81">'08.23'!$A$1:$K$30</definedName>
    <definedName name="_xlnm.Print_Area" localSheetId="93">'08.24'!$A$1:$K$20</definedName>
    <definedName name="_xlnm.Print_Area" localSheetId="105">'08.25'!$A$1:$K$24</definedName>
    <definedName name="_xlnm.Print_Area" localSheetId="10">'09.17'!$A$1:$K$16</definedName>
    <definedName name="_xlnm.Print_Area" localSheetId="22">'09.18'!$A$1:$K$27</definedName>
    <definedName name="_xlnm.Print_Area" localSheetId="34">'09.19'!$A$1:$K$37</definedName>
    <definedName name="_xlnm.Print_Area" localSheetId="46">'09.20'!$A$1:$K$49</definedName>
    <definedName name="_xlnm.Print_Area" localSheetId="58">'09.21'!$A$1:$K$42</definedName>
    <definedName name="_xlnm.Print_Area" localSheetId="70">'09.22'!$A$1:$K$44</definedName>
    <definedName name="_xlnm.Print_Area" localSheetId="82">'09.23'!$A$1:$L$22</definedName>
    <definedName name="_xlnm.Print_Area" localSheetId="94">'09.24'!$A$1:$K$28</definedName>
    <definedName name="_xlnm.Print_Area" localSheetId="106">'09.25'!$A$1:$K$23</definedName>
    <definedName name="_xlnm.Print_Area" localSheetId="11">'10.17'!$A$1:$K$16</definedName>
    <definedName name="_xlnm.Print_Area" localSheetId="23">'10.18'!$A$1:$K$31</definedName>
    <definedName name="_xlnm.Print_Area" localSheetId="35">'10.19'!$A$1:$K$28</definedName>
    <definedName name="_xlnm.Print_Area" localSheetId="47">'10.20'!$A$1:$K$35</definedName>
    <definedName name="_xlnm.Print_Area" localSheetId="59">'10.21'!$A$1:$K$29</definedName>
    <definedName name="_xlnm.Print_Area" localSheetId="71">'10.22'!$A$1:$K$28</definedName>
    <definedName name="_xlnm.Print_Area" localSheetId="83">'10.23'!$A$1:$K$19</definedName>
    <definedName name="_xlnm.Print_Area" localSheetId="95">'10.24'!$A$1:$K$23</definedName>
    <definedName name="_xlnm.Print_Area" localSheetId="107">'10.25'!$A$1:$K$44</definedName>
    <definedName name="_xlnm.Print_Area" localSheetId="0">'11.16'!$A$1:$K$11</definedName>
    <definedName name="_xlnm.Print_Area" localSheetId="12">'11.17'!$A$1:$K$16</definedName>
    <definedName name="_xlnm.Print_Area" localSheetId="24">'11.18'!$A$1:$K$44</definedName>
    <definedName name="_xlnm.Print_Area" localSheetId="36">'11.19'!$A$1:$K$18</definedName>
    <definedName name="_xlnm.Print_Area" localSheetId="48">'11.20'!$A$1:$K$36</definedName>
    <definedName name="_xlnm.Print_Area" localSheetId="60">'11.21'!$A$1:$K$20</definedName>
    <definedName name="_xlnm.Print_Area" localSheetId="72">'11.22'!$A$1:$K$34</definedName>
    <definedName name="_xlnm.Print_Area" localSheetId="84">'11.23'!$A$1:$K$23</definedName>
    <definedName name="_xlnm.Print_Area" localSheetId="96">'11.24'!$A$1:$K$20</definedName>
    <definedName name="_xlnm.Print_Area" localSheetId="108">'11.25'!$A$1:$K$34</definedName>
    <definedName name="_xlnm.Print_Area" localSheetId="1">'12.16'!$A$1:$K$44</definedName>
    <definedName name="_xlnm.Print_Area" localSheetId="13">'12.17'!$A$1:$K$16</definedName>
    <definedName name="_xlnm.Print_Area" localSheetId="25">'12.18'!$A$1:$K$18</definedName>
    <definedName name="_xlnm.Print_Area" localSheetId="37">'12.19'!$A$1:$K$20</definedName>
    <definedName name="_xlnm.Print_Area" localSheetId="49">'12.20'!$A$1:$K$23</definedName>
    <definedName name="_xlnm.Print_Area" localSheetId="61">'12.21'!$A$1:$K$26</definedName>
    <definedName name="_xlnm.Print_Area" localSheetId="73">'12.22'!$A$1:$K$26</definedName>
    <definedName name="_xlnm.Print_Area" localSheetId="85">'12.23'!$A$1:$K$15</definedName>
    <definedName name="_xlnm.Print_Area" localSheetId="97">'12.24'!$A$1:$K$26</definedName>
    <definedName name="_xlnm.Print_Area" localSheetId="109">'12.25'!$A$1:$K$26</definedName>
    <definedName name="_xlnm.Print_Area" localSheetId="116">VORLAGE!$A$1:$K$26</definedName>
    <definedName name="dürmeyer" localSheetId="14">#REF!</definedName>
    <definedName name="dürmeyer" localSheetId="26">#REF!</definedName>
    <definedName name="dürmeyer" localSheetId="38">#REF!</definedName>
    <definedName name="dürmeyer" localSheetId="50">#REF!</definedName>
    <definedName name="dürmeyer" localSheetId="62">#REF!</definedName>
    <definedName name="dürmeyer" localSheetId="74">#REF!</definedName>
    <definedName name="dürmeyer" localSheetId="86">#REF!</definedName>
    <definedName name="dürmeyer" localSheetId="98">#REF!</definedName>
    <definedName name="dürmeyer" localSheetId="110">#REF!</definedName>
    <definedName name="dürmeyer" localSheetId="15">#REF!</definedName>
    <definedName name="dürmeyer" localSheetId="27">#REF!</definedName>
    <definedName name="dürmeyer" localSheetId="39">#REF!</definedName>
    <definedName name="dürmeyer" localSheetId="51">#REF!</definedName>
    <definedName name="dürmeyer" localSheetId="63">#REF!</definedName>
    <definedName name="dürmeyer" localSheetId="75">#REF!</definedName>
    <definedName name="dürmeyer" localSheetId="87">#REF!</definedName>
    <definedName name="dürmeyer" localSheetId="99">#REF!</definedName>
    <definedName name="dürmeyer" localSheetId="111">#REF!</definedName>
    <definedName name="dürmeyer" localSheetId="16">#REF!</definedName>
    <definedName name="dürmeyer" localSheetId="28">#REF!</definedName>
    <definedName name="dürmeyer" localSheetId="40">#REF!</definedName>
    <definedName name="dürmeyer" localSheetId="52">#REF!</definedName>
    <definedName name="dürmeyer" localSheetId="64">#REF!</definedName>
    <definedName name="dürmeyer" localSheetId="76">#REF!</definedName>
    <definedName name="dürmeyer" localSheetId="88">#REF!</definedName>
    <definedName name="dürmeyer" localSheetId="100">#REF!</definedName>
    <definedName name="dürmeyer" localSheetId="112">#REF!</definedName>
    <definedName name="dürmeyer" localSheetId="5">#REF!</definedName>
    <definedName name="dürmeyer" localSheetId="17">#REF!</definedName>
    <definedName name="dürmeyer" localSheetId="29">#REF!</definedName>
    <definedName name="dürmeyer" localSheetId="41">#REF!</definedName>
    <definedName name="dürmeyer" localSheetId="53">#REF!</definedName>
    <definedName name="dürmeyer" localSheetId="65">#REF!</definedName>
    <definedName name="dürmeyer" localSheetId="77">#REF!</definedName>
    <definedName name="dürmeyer" localSheetId="89">#REF!</definedName>
    <definedName name="dürmeyer" localSheetId="101">#REF!</definedName>
    <definedName name="dürmeyer" localSheetId="113">#REF!</definedName>
    <definedName name="dürmeyer" localSheetId="6">#REF!</definedName>
    <definedName name="dürmeyer" localSheetId="18">#REF!</definedName>
    <definedName name="dürmeyer" localSheetId="30">#REF!</definedName>
    <definedName name="dürmeyer" localSheetId="42">#REF!</definedName>
    <definedName name="dürmeyer" localSheetId="54">#REF!</definedName>
    <definedName name="dürmeyer" localSheetId="66">#REF!</definedName>
    <definedName name="dürmeyer" localSheetId="78">#REF!</definedName>
    <definedName name="dürmeyer" localSheetId="90">#REF!</definedName>
    <definedName name="dürmeyer" localSheetId="102">#REF!</definedName>
    <definedName name="dürmeyer" localSheetId="114">#REF!</definedName>
    <definedName name="dürmeyer" localSheetId="7">#REF!</definedName>
    <definedName name="dürmeyer" localSheetId="19">#REF!</definedName>
    <definedName name="dürmeyer" localSheetId="31">#REF!</definedName>
    <definedName name="dürmeyer" localSheetId="43">#REF!</definedName>
    <definedName name="dürmeyer" localSheetId="55">#REF!</definedName>
    <definedName name="dürmeyer" localSheetId="67">#REF!</definedName>
    <definedName name="dürmeyer" localSheetId="79">#REF!</definedName>
    <definedName name="dürmeyer" localSheetId="91">#REF!</definedName>
    <definedName name="dürmeyer" localSheetId="103">#REF!</definedName>
    <definedName name="dürmeyer" localSheetId="115">#REF!</definedName>
    <definedName name="dürmeyer" localSheetId="8">#REF!</definedName>
    <definedName name="dürmeyer" localSheetId="20">#REF!</definedName>
    <definedName name="dürmeyer" localSheetId="32">#REF!</definedName>
    <definedName name="dürmeyer" localSheetId="44">#REF!</definedName>
    <definedName name="dürmeyer" localSheetId="56">#REF!</definedName>
    <definedName name="dürmeyer" localSheetId="68">#REF!</definedName>
    <definedName name="dürmeyer" localSheetId="80">#REF!</definedName>
    <definedName name="dürmeyer" localSheetId="92">#REF!</definedName>
    <definedName name="dürmeyer" localSheetId="104">#REF!</definedName>
    <definedName name="dürmeyer" localSheetId="9">#REF!</definedName>
    <definedName name="dürmeyer" localSheetId="21">#REF!</definedName>
    <definedName name="dürmeyer" localSheetId="33">#REF!</definedName>
    <definedName name="dürmeyer" localSheetId="45">#REF!</definedName>
    <definedName name="dürmeyer" localSheetId="57">#REF!</definedName>
    <definedName name="dürmeyer" localSheetId="69">#REF!</definedName>
    <definedName name="dürmeyer" localSheetId="81">#REF!</definedName>
    <definedName name="dürmeyer" localSheetId="93">#REF!</definedName>
    <definedName name="dürmeyer" localSheetId="105">#REF!</definedName>
    <definedName name="dürmeyer" localSheetId="10">#REF!</definedName>
    <definedName name="dürmeyer" localSheetId="22">#REF!</definedName>
    <definedName name="dürmeyer" localSheetId="34">#REF!</definedName>
    <definedName name="dürmeyer" localSheetId="46">#REF!</definedName>
    <definedName name="dürmeyer" localSheetId="58">#REF!</definedName>
    <definedName name="dürmeyer" localSheetId="70">#REF!</definedName>
    <definedName name="dürmeyer" localSheetId="82">#REF!</definedName>
    <definedName name="dürmeyer" localSheetId="94">#REF!</definedName>
    <definedName name="dürmeyer" localSheetId="106">#REF!</definedName>
    <definedName name="dürmeyer" localSheetId="11">#REF!</definedName>
    <definedName name="dürmeyer" localSheetId="23">#REF!</definedName>
    <definedName name="dürmeyer" localSheetId="35">#REF!</definedName>
    <definedName name="dürmeyer" localSheetId="47">#REF!</definedName>
    <definedName name="dürmeyer" localSheetId="59">#REF!</definedName>
    <definedName name="dürmeyer" localSheetId="71">#REF!</definedName>
    <definedName name="dürmeyer" localSheetId="83">#REF!</definedName>
    <definedName name="dürmeyer" localSheetId="95">#REF!</definedName>
    <definedName name="dürmeyer" localSheetId="107">#REF!</definedName>
    <definedName name="dürmeyer" localSheetId="12">#REF!</definedName>
    <definedName name="dürmeyer" localSheetId="24">#REF!</definedName>
    <definedName name="dürmeyer" localSheetId="36">#REF!</definedName>
    <definedName name="dürmeyer" localSheetId="48">#REF!</definedName>
    <definedName name="dürmeyer" localSheetId="60">#REF!</definedName>
    <definedName name="dürmeyer" localSheetId="72">#REF!</definedName>
    <definedName name="dürmeyer" localSheetId="84">#REF!</definedName>
    <definedName name="dürmeyer" localSheetId="96">#REF!</definedName>
    <definedName name="dürmeyer" localSheetId="108">#REF!</definedName>
    <definedName name="dürmeyer" localSheetId="13">#REF!</definedName>
    <definedName name="dürmeyer" localSheetId="25">#REF!</definedName>
    <definedName name="dürmeyer" localSheetId="37">#REF!</definedName>
    <definedName name="dürmeyer" localSheetId="49">#REF!</definedName>
    <definedName name="dürmeyer" localSheetId="61">#REF!</definedName>
    <definedName name="dürmeyer" localSheetId="73">#REF!</definedName>
    <definedName name="dürmeyer" localSheetId="85">#REF!</definedName>
    <definedName name="dürmeyer" localSheetId="97">#REF!</definedName>
    <definedName name="dürmeyer" localSheetId="109">#REF!</definedName>
    <definedName name="dürmeyer" localSheetId="116">#REF!</definedName>
    <definedName name="dürmeyer">#REF!</definedName>
    <definedName name="test" localSheetId="14">#REF!</definedName>
    <definedName name="test" localSheetId="26">#REF!</definedName>
    <definedName name="test" localSheetId="38">#REF!</definedName>
    <definedName name="test" localSheetId="50">#REF!</definedName>
    <definedName name="test" localSheetId="62">#REF!</definedName>
    <definedName name="test" localSheetId="74">#REF!</definedName>
    <definedName name="test" localSheetId="86">#REF!</definedName>
    <definedName name="test" localSheetId="98">#REF!</definedName>
    <definedName name="test" localSheetId="110">#REF!</definedName>
    <definedName name="test" localSheetId="15">#REF!</definedName>
    <definedName name="test" localSheetId="27">#REF!</definedName>
    <definedName name="test" localSheetId="39">#REF!</definedName>
    <definedName name="test" localSheetId="51">#REF!</definedName>
    <definedName name="test" localSheetId="63">#REF!</definedName>
    <definedName name="test" localSheetId="75">#REF!</definedName>
    <definedName name="test" localSheetId="87">#REF!</definedName>
    <definedName name="test" localSheetId="99">#REF!</definedName>
    <definedName name="test" localSheetId="111">#REF!</definedName>
    <definedName name="test" localSheetId="16">#REF!</definedName>
    <definedName name="test" localSheetId="28">#REF!</definedName>
    <definedName name="test" localSheetId="40">#REF!</definedName>
    <definedName name="test" localSheetId="52">#REF!</definedName>
    <definedName name="test" localSheetId="64">#REF!</definedName>
    <definedName name="test" localSheetId="76">#REF!</definedName>
    <definedName name="test" localSheetId="88">#REF!</definedName>
    <definedName name="test" localSheetId="100">#REF!</definedName>
    <definedName name="test" localSheetId="112">#REF!</definedName>
    <definedName name="test" localSheetId="5">#REF!</definedName>
    <definedName name="test" localSheetId="17">#REF!</definedName>
    <definedName name="test" localSheetId="29">#REF!</definedName>
    <definedName name="test" localSheetId="41">#REF!</definedName>
    <definedName name="test" localSheetId="53">#REF!</definedName>
    <definedName name="test" localSheetId="65">#REF!</definedName>
    <definedName name="test" localSheetId="77">#REF!</definedName>
    <definedName name="test" localSheetId="89">#REF!</definedName>
    <definedName name="test" localSheetId="101">#REF!</definedName>
    <definedName name="test" localSheetId="113">#REF!</definedName>
    <definedName name="test" localSheetId="6">#REF!</definedName>
    <definedName name="test" localSheetId="18">#REF!</definedName>
    <definedName name="test" localSheetId="30">#REF!</definedName>
    <definedName name="test" localSheetId="42">#REF!</definedName>
    <definedName name="test" localSheetId="54">#REF!</definedName>
    <definedName name="test" localSheetId="66">#REF!</definedName>
    <definedName name="test" localSheetId="78">#REF!</definedName>
    <definedName name="test" localSheetId="90">#REF!</definedName>
    <definedName name="test" localSheetId="102">#REF!</definedName>
    <definedName name="test" localSheetId="114">#REF!</definedName>
    <definedName name="test" localSheetId="7">#REF!</definedName>
    <definedName name="test" localSheetId="19">#REF!</definedName>
    <definedName name="test" localSheetId="31">#REF!</definedName>
    <definedName name="test" localSheetId="43">#REF!</definedName>
    <definedName name="test" localSheetId="55">#REF!</definedName>
    <definedName name="test" localSheetId="67">#REF!</definedName>
    <definedName name="test" localSheetId="79">#REF!</definedName>
    <definedName name="test" localSheetId="91">#REF!</definedName>
    <definedName name="test" localSheetId="103">#REF!</definedName>
    <definedName name="test" localSheetId="115">#REF!</definedName>
    <definedName name="test" localSheetId="8">#REF!</definedName>
    <definedName name="test" localSheetId="20">#REF!</definedName>
    <definedName name="test" localSheetId="32">#REF!</definedName>
    <definedName name="test" localSheetId="44">#REF!</definedName>
    <definedName name="test" localSheetId="56">#REF!</definedName>
    <definedName name="test" localSheetId="68">#REF!</definedName>
    <definedName name="test" localSheetId="80">#REF!</definedName>
    <definedName name="test" localSheetId="92">#REF!</definedName>
    <definedName name="test" localSheetId="104">#REF!</definedName>
    <definedName name="test" localSheetId="9">#REF!</definedName>
    <definedName name="test" localSheetId="21">#REF!</definedName>
    <definedName name="test" localSheetId="33">#REF!</definedName>
    <definedName name="test" localSheetId="45">#REF!</definedName>
    <definedName name="test" localSheetId="57">#REF!</definedName>
    <definedName name="test" localSheetId="69">#REF!</definedName>
    <definedName name="test" localSheetId="81">#REF!</definedName>
    <definedName name="test" localSheetId="93">#REF!</definedName>
    <definedName name="test" localSheetId="105">#REF!</definedName>
    <definedName name="test" localSheetId="10">#REF!</definedName>
    <definedName name="test" localSheetId="22">#REF!</definedName>
    <definedName name="test" localSheetId="34">#REF!</definedName>
    <definedName name="test" localSheetId="46">#REF!</definedName>
    <definedName name="test" localSheetId="58">#REF!</definedName>
    <definedName name="test" localSheetId="70">#REF!</definedName>
    <definedName name="test" localSheetId="82">#REF!</definedName>
    <definedName name="test" localSheetId="94">#REF!</definedName>
    <definedName name="test" localSheetId="106">#REF!</definedName>
    <definedName name="test" localSheetId="11">#REF!</definedName>
    <definedName name="test" localSheetId="23">#REF!</definedName>
    <definedName name="test" localSheetId="35">#REF!</definedName>
    <definedName name="test" localSheetId="47">#REF!</definedName>
    <definedName name="test" localSheetId="59">#REF!</definedName>
    <definedName name="test" localSheetId="71">#REF!</definedName>
    <definedName name="test" localSheetId="83">#REF!</definedName>
    <definedName name="test" localSheetId="95">#REF!</definedName>
    <definedName name="test" localSheetId="107">#REF!</definedName>
    <definedName name="test" localSheetId="12">#REF!</definedName>
    <definedName name="test" localSheetId="24">#REF!</definedName>
    <definedName name="test" localSheetId="36">#REF!</definedName>
    <definedName name="test" localSheetId="48">#REF!</definedName>
    <definedName name="test" localSheetId="60">#REF!</definedName>
    <definedName name="test" localSheetId="72">#REF!</definedName>
    <definedName name="test" localSheetId="84">#REF!</definedName>
    <definedName name="test" localSheetId="96">#REF!</definedName>
    <definedName name="test" localSheetId="108">#REF!</definedName>
    <definedName name="test" localSheetId="13">#REF!</definedName>
    <definedName name="test" localSheetId="25">#REF!</definedName>
    <definedName name="test" localSheetId="37">#REF!</definedName>
    <definedName name="test" localSheetId="49">#REF!</definedName>
    <definedName name="test" localSheetId="61">#REF!</definedName>
    <definedName name="test" localSheetId="73">#REF!</definedName>
    <definedName name="test" localSheetId="85">#REF!</definedName>
    <definedName name="test" localSheetId="97">#REF!</definedName>
    <definedName name="test" localSheetId="109">#REF!</definedName>
    <definedName name="test" localSheetId="116">#REF!</definedName>
    <definedName name="test">#REF!</definedName>
    <definedName name="Testliste" localSheetId="14">#REF!</definedName>
    <definedName name="Testliste" localSheetId="26">#REF!</definedName>
    <definedName name="Testliste" localSheetId="38">#REF!</definedName>
    <definedName name="Testliste" localSheetId="50">#REF!</definedName>
    <definedName name="Testliste" localSheetId="62">#REF!</definedName>
    <definedName name="Testliste" localSheetId="74">#REF!</definedName>
    <definedName name="Testliste" localSheetId="86">#REF!</definedName>
    <definedName name="Testliste" localSheetId="98">#REF!</definedName>
    <definedName name="Testliste" localSheetId="110">#REF!</definedName>
    <definedName name="Testliste" localSheetId="15">#REF!</definedName>
    <definedName name="Testliste" localSheetId="27">#REF!</definedName>
    <definedName name="Testliste" localSheetId="39">#REF!</definedName>
    <definedName name="Testliste" localSheetId="51">#REF!</definedName>
    <definedName name="Testliste" localSheetId="63">#REF!</definedName>
    <definedName name="Testliste" localSheetId="75">#REF!</definedName>
    <definedName name="Testliste" localSheetId="87">#REF!</definedName>
    <definedName name="Testliste" localSheetId="99">#REF!</definedName>
    <definedName name="Testliste" localSheetId="111">#REF!</definedName>
    <definedName name="Testliste" localSheetId="16">#REF!</definedName>
    <definedName name="Testliste" localSheetId="28">#REF!</definedName>
    <definedName name="Testliste" localSheetId="40">#REF!</definedName>
    <definedName name="Testliste" localSheetId="52">#REF!</definedName>
    <definedName name="Testliste" localSheetId="64">#REF!</definedName>
    <definedName name="Testliste" localSheetId="76">#REF!</definedName>
    <definedName name="Testliste" localSheetId="88">#REF!</definedName>
    <definedName name="Testliste" localSheetId="100">#REF!</definedName>
    <definedName name="Testliste" localSheetId="112">#REF!</definedName>
    <definedName name="Testliste" localSheetId="5">#REF!</definedName>
    <definedName name="Testliste" localSheetId="17">#REF!</definedName>
    <definedName name="Testliste" localSheetId="29">#REF!</definedName>
    <definedName name="Testliste" localSheetId="41">#REF!</definedName>
    <definedName name="Testliste" localSheetId="53">#REF!</definedName>
    <definedName name="Testliste" localSheetId="65">#REF!</definedName>
    <definedName name="Testliste" localSheetId="77">#REF!</definedName>
    <definedName name="Testliste" localSheetId="89">#REF!</definedName>
    <definedName name="Testliste" localSheetId="101">#REF!</definedName>
    <definedName name="Testliste" localSheetId="113">#REF!</definedName>
    <definedName name="Testliste" localSheetId="6">#REF!</definedName>
    <definedName name="Testliste" localSheetId="18">#REF!</definedName>
    <definedName name="Testliste" localSheetId="30">#REF!</definedName>
    <definedName name="Testliste" localSheetId="42">#REF!</definedName>
    <definedName name="Testliste" localSheetId="54">#REF!</definedName>
    <definedName name="Testliste" localSheetId="66">#REF!</definedName>
    <definedName name="Testliste" localSheetId="78">#REF!</definedName>
    <definedName name="Testliste" localSheetId="90">#REF!</definedName>
    <definedName name="Testliste" localSheetId="102">#REF!</definedName>
    <definedName name="Testliste" localSheetId="114">#REF!</definedName>
    <definedName name="Testliste" localSheetId="7">#REF!</definedName>
    <definedName name="Testliste" localSheetId="19">#REF!</definedName>
    <definedName name="Testliste" localSheetId="31">#REF!</definedName>
    <definedName name="Testliste" localSheetId="43">#REF!</definedName>
    <definedName name="Testliste" localSheetId="55">#REF!</definedName>
    <definedName name="Testliste" localSheetId="67">#REF!</definedName>
    <definedName name="Testliste" localSheetId="79">#REF!</definedName>
    <definedName name="Testliste" localSheetId="91">#REF!</definedName>
    <definedName name="Testliste" localSheetId="103">#REF!</definedName>
    <definedName name="Testliste" localSheetId="115">#REF!</definedName>
    <definedName name="Testliste" localSheetId="8">#REF!</definedName>
    <definedName name="Testliste" localSheetId="20">#REF!</definedName>
    <definedName name="Testliste" localSheetId="32">#REF!</definedName>
    <definedName name="Testliste" localSheetId="44">#REF!</definedName>
    <definedName name="Testliste" localSheetId="56">#REF!</definedName>
    <definedName name="Testliste" localSheetId="68">#REF!</definedName>
    <definedName name="Testliste" localSheetId="80">#REF!</definedName>
    <definedName name="Testliste" localSheetId="92">#REF!</definedName>
    <definedName name="Testliste" localSheetId="104">#REF!</definedName>
    <definedName name="Testliste" localSheetId="9">#REF!</definedName>
    <definedName name="Testliste" localSheetId="21">#REF!</definedName>
    <definedName name="Testliste" localSheetId="33">#REF!</definedName>
    <definedName name="Testliste" localSheetId="45">#REF!</definedName>
    <definedName name="Testliste" localSheetId="57">#REF!</definedName>
    <definedName name="Testliste" localSheetId="69">#REF!</definedName>
    <definedName name="Testliste" localSheetId="81">#REF!</definedName>
    <definedName name="Testliste" localSheetId="93">#REF!</definedName>
    <definedName name="Testliste" localSheetId="105">#REF!</definedName>
    <definedName name="Testliste" localSheetId="10">#REF!</definedName>
    <definedName name="Testliste" localSheetId="22">#REF!</definedName>
    <definedName name="Testliste" localSheetId="34">#REF!</definedName>
    <definedName name="Testliste" localSheetId="46">#REF!</definedName>
    <definedName name="Testliste" localSheetId="58">#REF!</definedName>
    <definedName name="Testliste" localSheetId="70">#REF!</definedName>
    <definedName name="Testliste" localSheetId="82">#REF!</definedName>
    <definedName name="Testliste" localSheetId="94">#REF!</definedName>
    <definedName name="Testliste" localSheetId="106">#REF!</definedName>
    <definedName name="Testliste" localSheetId="11">#REF!</definedName>
    <definedName name="Testliste" localSheetId="23">#REF!</definedName>
    <definedName name="Testliste" localSheetId="35">#REF!</definedName>
    <definedName name="Testliste" localSheetId="47">#REF!</definedName>
    <definedName name="Testliste" localSheetId="59">#REF!</definedName>
    <definedName name="Testliste" localSheetId="71">#REF!</definedName>
    <definedName name="Testliste" localSheetId="83">#REF!</definedName>
    <definedName name="Testliste" localSheetId="95">#REF!</definedName>
    <definedName name="Testliste" localSheetId="107">#REF!</definedName>
    <definedName name="Testliste" localSheetId="12">#REF!</definedName>
    <definedName name="Testliste" localSheetId="24">#REF!</definedName>
    <definedName name="Testliste" localSheetId="36">#REF!</definedName>
    <definedName name="Testliste" localSheetId="48">#REF!</definedName>
    <definedName name="Testliste" localSheetId="60">#REF!</definedName>
    <definedName name="Testliste" localSheetId="72">#REF!</definedName>
    <definedName name="Testliste" localSheetId="84">#REF!</definedName>
    <definedName name="Testliste" localSheetId="96">#REF!</definedName>
    <definedName name="Testliste" localSheetId="108">#REF!</definedName>
    <definedName name="Testliste" localSheetId="13">#REF!</definedName>
    <definedName name="Testliste" localSheetId="25">#REF!</definedName>
    <definedName name="Testliste" localSheetId="37">#REF!</definedName>
    <definedName name="Testliste" localSheetId="49">#REF!</definedName>
    <definedName name="Testliste" localSheetId="61">#REF!</definedName>
    <definedName name="Testliste" localSheetId="73">#REF!</definedName>
    <definedName name="Testliste" localSheetId="85">#REF!</definedName>
    <definedName name="Testliste" localSheetId="97">#REF!</definedName>
    <definedName name="Testliste" localSheetId="109">#REF!</definedName>
    <definedName name="Testliste" localSheetId="116">#REF!</definedName>
    <definedName name="Testliste">#REF!</definedName>
    <definedName name="Z_E5A7B818_645B_417C_A128_9FE559D9B124_.wvu.PrintArea" localSheetId="2" hidden="1">'01.17'!$A$1:$K$44</definedName>
    <definedName name="Z_E5A7B818_645B_417C_A128_9FE559D9B124_.wvu.PrintArea" localSheetId="14" hidden="1">'01.18'!$A$1:$K$30</definedName>
    <definedName name="Z_E5A7B818_645B_417C_A128_9FE559D9B124_.wvu.PrintArea" localSheetId="26" hidden="1">'01.19'!$A$1:$K$16</definedName>
    <definedName name="Z_E5A7B818_645B_417C_A128_9FE559D9B124_.wvu.PrintArea" localSheetId="38" hidden="1">'01.20'!$A$1:$K$24</definedName>
    <definedName name="Z_E5A7B818_645B_417C_A128_9FE559D9B124_.wvu.PrintArea" localSheetId="50" hidden="1">'01.21'!$A$1:$K$24</definedName>
    <definedName name="Z_E5A7B818_645B_417C_A128_9FE559D9B124_.wvu.PrintArea" localSheetId="62" hidden="1">'01.22'!$A$1:$K$24</definedName>
    <definedName name="Z_E5A7B818_645B_417C_A128_9FE559D9B124_.wvu.PrintArea" localSheetId="74" hidden="1">'01.23'!$A$1:$K$23</definedName>
    <definedName name="Z_E5A7B818_645B_417C_A128_9FE559D9B124_.wvu.PrintArea" localSheetId="86" hidden="1">'01.24'!$A$1:$K$26</definedName>
    <definedName name="Z_E5A7B818_645B_417C_A128_9FE559D9B124_.wvu.PrintArea" localSheetId="98" hidden="1">'01.25'!$A$1:$K$26</definedName>
    <definedName name="Z_E5A7B818_645B_417C_A128_9FE559D9B124_.wvu.PrintArea" localSheetId="110" hidden="1">'01.26'!$A$1:$K$26</definedName>
    <definedName name="Z_E5A7B818_645B_417C_A128_9FE559D9B124_.wvu.PrintArea" localSheetId="3" hidden="1">'02.17'!$A$1:$K$15</definedName>
    <definedName name="Z_E5A7B818_645B_417C_A128_9FE559D9B124_.wvu.PrintArea" localSheetId="15" hidden="1">'02.18'!$A$1:$K$23</definedName>
    <definedName name="Z_E5A7B818_645B_417C_A128_9FE559D9B124_.wvu.PrintArea" localSheetId="27" hidden="1">'02.19'!$A$1:$K$16</definedName>
    <definedName name="Z_E5A7B818_645B_417C_A128_9FE559D9B124_.wvu.PrintArea" localSheetId="39" hidden="1">'02.20'!$A$1:$K$25</definedName>
    <definedName name="Z_E5A7B818_645B_417C_A128_9FE559D9B124_.wvu.PrintArea" localSheetId="51" hidden="1">'02.21'!$A$1:$K$39</definedName>
    <definedName name="Z_E5A7B818_645B_417C_A128_9FE559D9B124_.wvu.PrintArea" localSheetId="63" hidden="1">'02.22'!$A$1:$K$26</definedName>
    <definedName name="Z_E5A7B818_645B_417C_A128_9FE559D9B124_.wvu.PrintArea" localSheetId="75" hidden="1">'02.23'!$A$1:$K$33</definedName>
    <definedName name="Z_E5A7B818_645B_417C_A128_9FE559D9B124_.wvu.PrintArea" localSheetId="87" hidden="1">'02.24'!$A$1:$K$26</definedName>
    <definedName name="Z_E5A7B818_645B_417C_A128_9FE559D9B124_.wvu.PrintArea" localSheetId="99" hidden="1">'02.25'!$A$1:$K$24</definedName>
    <definedName name="Z_E5A7B818_645B_417C_A128_9FE559D9B124_.wvu.PrintArea" localSheetId="111" hidden="1">'02.26'!$A$1:$K$26</definedName>
    <definedName name="Z_E5A7B818_645B_417C_A128_9FE559D9B124_.wvu.PrintArea" localSheetId="4" hidden="1">'03.17'!$A$1:$K$15</definedName>
    <definedName name="Z_E5A7B818_645B_417C_A128_9FE559D9B124_.wvu.PrintArea" localSheetId="16" hidden="1">'03.18'!$A$1:$K$26</definedName>
    <definedName name="Z_E5A7B818_645B_417C_A128_9FE559D9B124_.wvu.PrintArea" localSheetId="28" hidden="1">'03.19'!$A$1:$K$22</definedName>
    <definedName name="Z_E5A7B818_645B_417C_A128_9FE559D9B124_.wvu.PrintArea" localSheetId="40" hidden="1">'03.20'!$A$1:$K$19</definedName>
    <definedName name="Z_E5A7B818_645B_417C_A128_9FE559D9B124_.wvu.PrintArea" localSheetId="52" hidden="1">'03.21'!$A$1:$K$30</definedName>
    <definedName name="Z_E5A7B818_645B_417C_A128_9FE559D9B124_.wvu.PrintArea" localSheetId="64" hidden="1">'03.22'!$A$1:$K$26</definedName>
    <definedName name="Z_E5A7B818_645B_417C_A128_9FE559D9B124_.wvu.PrintArea" localSheetId="76" hidden="1">'03.23'!$A$1:$K$30</definedName>
    <definedName name="Z_E5A7B818_645B_417C_A128_9FE559D9B124_.wvu.PrintArea" localSheetId="88" hidden="1">'03.24'!$A$1:$K$26</definedName>
    <definedName name="Z_E5A7B818_645B_417C_A128_9FE559D9B124_.wvu.PrintArea" localSheetId="100" hidden="1">'03.25'!$A$1:$K$26</definedName>
    <definedName name="Z_E5A7B818_645B_417C_A128_9FE559D9B124_.wvu.PrintArea" localSheetId="112" hidden="1">'03.26'!$A$1:$K$26</definedName>
    <definedName name="Z_E5A7B818_645B_417C_A128_9FE559D9B124_.wvu.PrintArea" localSheetId="5" hidden="1">'04.17'!$A$1:$K$13</definedName>
    <definedName name="Z_E5A7B818_645B_417C_A128_9FE559D9B124_.wvu.PrintArea" localSheetId="17" hidden="1">'04.18'!$A$1:$K$30</definedName>
    <definedName name="Z_E5A7B818_645B_417C_A128_9FE559D9B124_.wvu.PrintArea" localSheetId="29" hidden="1">'04.19'!$A$1:$K$16</definedName>
    <definedName name="Z_E5A7B818_645B_417C_A128_9FE559D9B124_.wvu.PrintArea" localSheetId="41" hidden="1">'04.20'!$A$1:$K$20</definedName>
    <definedName name="Z_E5A7B818_645B_417C_A128_9FE559D9B124_.wvu.PrintArea" localSheetId="53" hidden="1">'04.21'!$A$1:$K$34</definedName>
    <definedName name="Z_E5A7B818_645B_417C_A128_9FE559D9B124_.wvu.PrintArea" localSheetId="65" hidden="1">'04.22'!$A$1:$K$26</definedName>
    <definedName name="Z_E5A7B818_645B_417C_A128_9FE559D9B124_.wvu.PrintArea" localSheetId="77" hidden="1">'04.23'!$A$1:$K$31</definedName>
    <definedName name="Z_E5A7B818_645B_417C_A128_9FE559D9B124_.wvu.PrintArea" localSheetId="89" hidden="1">'04.24'!$A$1:$K$26</definedName>
    <definedName name="Z_E5A7B818_645B_417C_A128_9FE559D9B124_.wvu.PrintArea" localSheetId="101" hidden="1">'04.25'!$A$1:$K$24</definedName>
    <definedName name="Z_E5A7B818_645B_417C_A128_9FE559D9B124_.wvu.PrintArea" localSheetId="113" hidden="1">'04.26'!$A$1:$K$26</definedName>
    <definedName name="Z_E5A7B818_645B_417C_A128_9FE559D9B124_.wvu.PrintArea" localSheetId="6" hidden="1">'05.17'!$A$1:$K$16</definedName>
    <definedName name="Z_E5A7B818_645B_417C_A128_9FE559D9B124_.wvu.PrintArea" localSheetId="18" hidden="1">'05.18'!$A$1:$K$45</definedName>
    <definedName name="Z_E5A7B818_645B_417C_A128_9FE559D9B124_.wvu.PrintArea" localSheetId="30" hidden="1">'05.19'!$A$1:$K$19</definedName>
    <definedName name="Z_E5A7B818_645B_417C_A128_9FE559D9B124_.wvu.PrintArea" localSheetId="42" hidden="1">'05.20'!$A$1:$K$20</definedName>
    <definedName name="Z_E5A7B818_645B_417C_A128_9FE559D9B124_.wvu.PrintArea" localSheetId="54" hidden="1">'05.21'!$A$1:$K$44</definedName>
    <definedName name="Z_E5A7B818_645B_417C_A128_9FE559D9B124_.wvu.PrintArea" localSheetId="66" hidden="1">'05.22'!$A$1:$K$26</definedName>
    <definedName name="Z_E5A7B818_645B_417C_A128_9FE559D9B124_.wvu.PrintArea" localSheetId="78" hidden="1">'05.23'!$A$1:$K$30</definedName>
    <definedName name="Z_E5A7B818_645B_417C_A128_9FE559D9B124_.wvu.PrintArea" localSheetId="90" hidden="1">'05.24'!$A$1:$K$26</definedName>
    <definedName name="Z_E5A7B818_645B_417C_A128_9FE559D9B124_.wvu.PrintArea" localSheetId="102" hidden="1">'05.25'!$A$1:$K$26</definedName>
    <definedName name="Z_E5A7B818_645B_417C_A128_9FE559D9B124_.wvu.PrintArea" localSheetId="114" hidden="1">'05.26'!$A$1:$K$26</definedName>
    <definedName name="Z_E5A7B818_645B_417C_A128_9FE559D9B124_.wvu.PrintArea" localSheetId="7" hidden="1">'06.17'!$A$1:$K$16</definedName>
    <definedName name="Z_E5A7B818_645B_417C_A128_9FE559D9B124_.wvu.PrintArea" localSheetId="19" hidden="1">'06.18'!$A$1:$K$44</definedName>
    <definedName name="Z_E5A7B818_645B_417C_A128_9FE559D9B124_.wvu.PrintArea" localSheetId="31" hidden="1">'06.19'!$A$1:$K$23</definedName>
    <definedName name="Z_E5A7B818_645B_417C_A128_9FE559D9B124_.wvu.PrintArea" localSheetId="43" hidden="1">'06.20'!$A$1:$K$25</definedName>
    <definedName name="Z_E5A7B818_645B_417C_A128_9FE559D9B124_.wvu.PrintArea" localSheetId="55" hidden="1">'06.21'!$A$1:$K$55</definedName>
    <definedName name="Z_E5A7B818_645B_417C_A128_9FE559D9B124_.wvu.PrintArea" localSheetId="67" hidden="1">'06.22'!$A$1:$K$27</definedName>
    <definedName name="Z_E5A7B818_645B_417C_A128_9FE559D9B124_.wvu.PrintArea" localSheetId="79" hidden="1">'06.23'!$A$1:$K$22</definedName>
    <definedName name="Z_E5A7B818_645B_417C_A128_9FE559D9B124_.wvu.PrintArea" localSheetId="91" hidden="1">'06.24'!$A$1:$K$26</definedName>
    <definedName name="Z_E5A7B818_645B_417C_A128_9FE559D9B124_.wvu.PrintArea" localSheetId="103" hidden="1">'06.25'!$A$1:$K$26</definedName>
    <definedName name="Z_E5A7B818_645B_417C_A128_9FE559D9B124_.wvu.PrintArea" localSheetId="115" hidden="1">'06.26'!$A$1:$K$26</definedName>
    <definedName name="Z_E5A7B818_645B_417C_A128_9FE559D9B124_.wvu.PrintArea" localSheetId="8" hidden="1">'07.17'!$A$1:$K$16</definedName>
    <definedName name="Z_E5A7B818_645B_417C_A128_9FE559D9B124_.wvu.PrintArea" localSheetId="20" hidden="1">'07.18'!$A$1:$K$16</definedName>
    <definedName name="Z_E5A7B818_645B_417C_A128_9FE559D9B124_.wvu.PrintArea" localSheetId="32" hidden="1">'07.19'!$A$1:$K$23</definedName>
    <definedName name="Z_E5A7B818_645B_417C_A128_9FE559D9B124_.wvu.PrintArea" localSheetId="44" hidden="1">'07.20'!$A$1:$K$27</definedName>
    <definedName name="Z_E5A7B818_645B_417C_A128_9FE559D9B124_.wvu.PrintArea" localSheetId="56" hidden="1">'07.21'!$A$1:$K$26</definedName>
    <definedName name="Z_E5A7B818_645B_417C_A128_9FE559D9B124_.wvu.PrintArea" localSheetId="68" hidden="1">'07.22'!$A$1:$K$33</definedName>
    <definedName name="Z_E5A7B818_645B_417C_A128_9FE559D9B124_.wvu.PrintArea" localSheetId="80" hidden="1">'07.23'!$A$1:$K$17</definedName>
    <definedName name="Z_E5A7B818_645B_417C_A128_9FE559D9B124_.wvu.PrintArea" localSheetId="92" hidden="1">'07.24'!$A$1:$K$26</definedName>
    <definedName name="Z_E5A7B818_645B_417C_A128_9FE559D9B124_.wvu.PrintArea" localSheetId="104" hidden="1">'07.25'!$A$1:$K$24</definedName>
    <definedName name="Z_E5A7B818_645B_417C_A128_9FE559D9B124_.wvu.PrintArea" localSheetId="9" hidden="1">'08.17'!$A$1:$K$16</definedName>
    <definedName name="Z_E5A7B818_645B_417C_A128_9FE559D9B124_.wvu.PrintArea" localSheetId="21" hidden="1">'08.18'!$A$1:$K$24</definedName>
    <definedName name="Z_E5A7B818_645B_417C_A128_9FE559D9B124_.wvu.PrintArea" localSheetId="33" hidden="1">'08.19'!$A$1:$K$16</definedName>
    <definedName name="Z_E5A7B818_645B_417C_A128_9FE559D9B124_.wvu.PrintArea" localSheetId="45" hidden="1">'08.20'!$A$1:$K$30</definedName>
    <definedName name="Z_E5A7B818_645B_417C_A128_9FE559D9B124_.wvu.PrintArea" localSheetId="57" hidden="1">'08.21'!$A$1:$K$24</definedName>
    <definedName name="Z_E5A7B818_645B_417C_A128_9FE559D9B124_.wvu.PrintArea" localSheetId="69" hidden="1">'08.22'!$A$1:$K$32</definedName>
    <definedName name="Z_E5A7B818_645B_417C_A128_9FE559D9B124_.wvu.PrintArea" localSheetId="81" hidden="1">'08.23'!$A$1:$K$30</definedName>
    <definedName name="Z_E5A7B818_645B_417C_A128_9FE559D9B124_.wvu.PrintArea" localSheetId="93" hidden="1">'08.24'!$A$1:$K$26</definedName>
    <definedName name="Z_E5A7B818_645B_417C_A128_9FE559D9B124_.wvu.PrintArea" localSheetId="105" hidden="1">'08.25'!$A$1:$K$26</definedName>
    <definedName name="Z_E5A7B818_645B_417C_A128_9FE559D9B124_.wvu.PrintArea" localSheetId="10" hidden="1">'09.17'!$A$1:$K$16</definedName>
    <definedName name="Z_E5A7B818_645B_417C_A128_9FE559D9B124_.wvu.PrintArea" localSheetId="22" hidden="1">'09.18'!$A$1:$K$27</definedName>
    <definedName name="Z_E5A7B818_645B_417C_A128_9FE559D9B124_.wvu.PrintArea" localSheetId="34" hidden="1">'09.19'!$A$1:$K$37</definedName>
    <definedName name="Z_E5A7B818_645B_417C_A128_9FE559D9B124_.wvu.PrintArea" localSheetId="46" hidden="1">'09.20'!$A$1:$K$49</definedName>
    <definedName name="Z_E5A7B818_645B_417C_A128_9FE559D9B124_.wvu.PrintArea" localSheetId="58" hidden="1">'09.21'!$A$1:$K$42</definedName>
    <definedName name="Z_E5A7B818_645B_417C_A128_9FE559D9B124_.wvu.PrintArea" localSheetId="70" hidden="1">'09.22'!$A$1:$K$44</definedName>
    <definedName name="Z_E5A7B818_645B_417C_A128_9FE559D9B124_.wvu.PrintArea" localSheetId="82" hidden="1">'09.23'!$A$1:$L$22</definedName>
    <definedName name="Z_E5A7B818_645B_417C_A128_9FE559D9B124_.wvu.PrintArea" localSheetId="94" hidden="1">'09.24'!$A$1:$K$26</definedName>
    <definedName name="Z_E5A7B818_645B_417C_A128_9FE559D9B124_.wvu.PrintArea" localSheetId="106" hidden="1">'09.25'!$A$1:$K$26</definedName>
    <definedName name="Z_E5A7B818_645B_417C_A128_9FE559D9B124_.wvu.PrintArea" localSheetId="11" hidden="1">'10.17'!$A$1:$K$16</definedName>
    <definedName name="Z_E5A7B818_645B_417C_A128_9FE559D9B124_.wvu.PrintArea" localSheetId="23" hidden="1">'10.18'!$A$1:$K$31</definedName>
    <definedName name="Z_E5A7B818_645B_417C_A128_9FE559D9B124_.wvu.PrintArea" localSheetId="35" hidden="1">'10.19'!$A$1:$K$28</definedName>
    <definedName name="Z_E5A7B818_645B_417C_A128_9FE559D9B124_.wvu.PrintArea" localSheetId="47" hidden="1">'10.20'!$A$1:$K$35</definedName>
    <definedName name="Z_E5A7B818_645B_417C_A128_9FE559D9B124_.wvu.PrintArea" localSheetId="59" hidden="1">'10.21'!$A$1:$K$29</definedName>
    <definedName name="Z_E5A7B818_645B_417C_A128_9FE559D9B124_.wvu.PrintArea" localSheetId="71" hidden="1">'10.22'!$A$1:$K$28</definedName>
    <definedName name="Z_E5A7B818_645B_417C_A128_9FE559D9B124_.wvu.PrintArea" localSheetId="83" hidden="1">'10.23'!$A$1:$K$19</definedName>
    <definedName name="Z_E5A7B818_645B_417C_A128_9FE559D9B124_.wvu.PrintArea" localSheetId="95" hidden="1">'10.24'!$A$1:$K$26</definedName>
    <definedName name="Z_E5A7B818_645B_417C_A128_9FE559D9B124_.wvu.PrintArea" localSheetId="107" hidden="1">'10.25'!$A$1:$K$26</definedName>
    <definedName name="Z_E5A7B818_645B_417C_A128_9FE559D9B124_.wvu.PrintArea" localSheetId="0" hidden="1">'11.16'!$A$1:$K$11</definedName>
    <definedName name="Z_E5A7B818_645B_417C_A128_9FE559D9B124_.wvu.PrintArea" localSheetId="12" hidden="1">'11.17'!$A$1:$K$16</definedName>
    <definedName name="Z_E5A7B818_645B_417C_A128_9FE559D9B124_.wvu.PrintArea" localSheetId="24" hidden="1">'11.18'!$A$1:$K$44</definedName>
    <definedName name="Z_E5A7B818_645B_417C_A128_9FE559D9B124_.wvu.PrintArea" localSheetId="36" hidden="1">'11.19'!$A$1:$K$18</definedName>
    <definedName name="Z_E5A7B818_645B_417C_A128_9FE559D9B124_.wvu.PrintArea" localSheetId="48" hidden="1">'11.20'!$A$1:$K$36</definedName>
    <definedName name="Z_E5A7B818_645B_417C_A128_9FE559D9B124_.wvu.PrintArea" localSheetId="60" hidden="1">'11.21'!$A$1:$K$20</definedName>
    <definedName name="Z_E5A7B818_645B_417C_A128_9FE559D9B124_.wvu.PrintArea" localSheetId="72" hidden="1">'11.22'!$A$1:$K$34</definedName>
    <definedName name="Z_E5A7B818_645B_417C_A128_9FE559D9B124_.wvu.PrintArea" localSheetId="84" hidden="1">'11.23'!$A$1:$K$23</definedName>
    <definedName name="Z_E5A7B818_645B_417C_A128_9FE559D9B124_.wvu.PrintArea" localSheetId="96" hidden="1">'11.24'!$A$1:$K$26</definedName>
    <definedName name="Z_E5A7B818_645B_417C_A128_9FE559D9B124_.wvu.PrintArea" localSheetId="108" hidden="1">'11.25'!$A$1:$K$27</definedName>
    <definedName name="Z_E5A7B818_645B_417C_A128_9FE559D9B124_.wvu.PrintArea" localSheetId="1" hidden="1">'12.16'!$A$1:$K$44</definedName>
    <definedName name="Z_E5A7B818_645B_417C_A128_9FE559D9B124_.wvu.PrintArea" localSheetId="13" hidden="1">'12.17'!$A$1:$K$16</definedName>
    <definedName name="Z_E5A7B818_645B_417C_A128_9FE559D9B124_.wvu.PrintArea" localSheetId="25" hidden="1">'12.18'!$A$1:$K$18</definedName>
    <definedName name="Z_E5A7B818_645B_417C_A128_9FE559D9B124_.wvu.PrintArea" localSheetId="37" hidden="1">'12.19'!$A$1:$K$20</definedName>
    <definedName name="Z_E5A7B818_645B_417C_A128_9FE559D9B124_.wvu.PrintArea" localSheetId="49" hidden="1">'12.20'!$A$1:$K$23</definedName>
    <definedName name="Z_E5A7B818_645B_417C_A128_9FE559D9B124_.wvu.PrintArea" localSheetId="61" hidden="1">'12.21'!$A$1:$K$26</definedName>
    <definedName name="Z_E5A7B818_645B_417C_A128_9FE559D9B124_.wvu.PrintArea" localSheetId="73" hidden="1">'12.22'!$A$1:$K$26</definedName>
    <definedName name="Z_E5A7B818_645B_417C_A128_9FE559D9B124_.wvu.PrintArea" localSheetId="85" hidden="1">'12.23'!$A$1:$K$15</definedName>
    <definedName name="Z_E5A7B818_645B_417C_A128_9FE559D9B124_.wvu.PrintArea" localSheetId="97" hidden="1">'12.24'!$A$1:$K$26</definedName>
    <definedName name="Z_E5A7B818_645B_417C_A128_9FE559D9B124_.wvu.PrintArea" localSheetId="109" hidden="1">'12.25'!$A$1:$K$26</definedName>
    <definedName name="Z_E5A7B818_645B_417C_A128_9FE559D9B124_.wvu.PrintArea" localSheetId="116" hidden="1">VORLAGE!$A$1:$K$26</definedName>
  </definedNames>
  <calcPr calcId="191029"/>
  <customWorkbookViews>
    <customWorkbookView name="Martin Klüber - Persönliche Ansicht" guid="{E5A7B818-645B-417C-A128-9FE559D9B124}" mergeInterval="0" personalView="1" maximized="1" xWindow="-8" yWindow="-8" windowWidth="1936" windowHeight="1056" tabRatio="959" activeSheetId="9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5" i="64" l="1"/>
  <c r="E14" i="120"/>
  <c r="E10" i="119"/>
  <c r="C112" i="64"/>
  <c r="D17" i="118"/>
  <c r="E16" i="118"/>
  <c r="E11" i="118"/>
  <c r="E22" i="117" l="1"/>
  <c r="E16" i="115" l="1"/>
  <c r="E112" i="64"/>
  <c r="E115" i="64"/>
  <c r="E116" i="64"/>
  <c r="E117" i="64"/>
  <c r="E118" i="64"/>
  <c r="E119" i="64"/>
  <c r="E120" i="64"/>
  <c r="E121" i="64"/>
  <c r="E16" i="114"/>
  <c r="E7" i="114"/>
  <c r="E29" i="113"/>
  <c r="F145" i="64"/>
  <c r="D145" i="64"/>
  <c r="F133" i="64"/>
  <c r="D133" i="64"/>
  <c r="E145" i="64"/>
  <c r="E143" i="64"/>
  <c r="E144" i="64"/>
  <c r="E139" i="64"/>
  <c r="E140" i="64"/>
  <c r="E141" i="64"/>
  <c r="E142" i="64"/>
  <c r="E130" i="64"/>
  <c r="E131" i="64"/>
  <c r="E132" i="64"/>
  <c r="E133" i="64"/>
  <c r="E134" i="64"/>
  <c r="E135" i="64"/>
  <c r="E136" i="64"/>
  <c r="E137" i="64"/>
  <c r="E138" i="64"/>
  <c r="E122" i="64"/>
  <c r="E123" i="64"/>
  <c r="E124" i="64"/>
  <c r="E125" i="64"/>
  <c r="E126" i="64"/>
  <c r="E127" i="64"/>
  <c r="E128" i="64"/>
  <c r="E129" i="64"/>
  <c r="E26" i="113"/>
  <c r="E19" i="113"/>
  <c r="D14" i="113"/>
  <c r="E42" i="112" l="1"/>
  <c r="E23" i="112" l="1"/>
  <c r="E17" i="112" l="1"/>
  <c r="E13" i="112" l="1"/>
  <c r="D14" i="110" l="1"/>
  <c r="D9" i="105" l="1"/>
  <c r="D24" i="104" l="1"/>
  <c r="D44" i="120" l="1"/>
  <c r="D43" i="120"/>
  <c r="D42" i="120"/>
  <c r="D41" i="120"/>
  <c r="D40" i="120"/>
  <c r="D39" i="120"/>
  <c r="D38" i="120"/>
  <c r="D37" i="120"/>
  <c r="D36" i="120"/>
  <c r="D35" i="120"/>
  <c r="D34" i="120"/>
  <c r="D33" i="120"/>
  <c r="D32" i="120"/>
  <c r="D31" i="120"/>
  <c r="D30" i="120"/>
  <c r="D29" i="120"/>
  <c r="D28" i="120"/>
  <c r="D27" i="120"/>
  <c r="D26" i="120"/>
  <c r="D25" i="120"/>
  <c r="D24" i="120"/>
  <c r="D23" i="120"/>
  <c r="D22" i="120"/>
  <c r="D21" i="120"/>
  <c r="D20" i="120"/>
  <c r="D19" i="120"/>
  <c r="D18" i="120"/>
  <c r="D17" i="120"/>
  <c r="D16" i="120"/>
  <c r="D15" i="120"/>
  <c r="D14" i="120"/>
  <c r="D13" i="120"/>
  <c r="D12" i="120"/>
  <c r="D11" i="120"/>
  <c r="D10" i="120"/>
  <c r="D9" i="120"/>
  <c r="D8" i="120"/>
  <c r="D7" i="120"/>
  <c r="H6" i="120"/>
  <c r="G6" i="120"/>
  <c r="D44" i="119"/>
  <c r="D43" i="119"/>
  <c r="D42" i="119"/>
  <c r="D41" i="119"/>
  <c r="D40" i="119"/>
  <c r="D39" i="119"/>
  <c r="D38" i="119"/>
  <c r="D37" i="119"/>
  <c r="D36" i="119"/>
  <c r="D35" i="119"/>
  <c r="D34" i="119"/>
  <c r="D33" i="119"/>
  <c r="D32" i="119"/>
  <c r="D31" i="119"/>
  <c r="D30" i="119"/>
  <c r="D29" i="119"/>
  <c r="D28" i="119"/>
  <c r="D27" i="119"/>
  <c r="D26" i="119"/>
  <c r="D25" i="119"/>
  <c r="D24" i="119"/>
  <c r="D23" i="119"/>
  <c r="D22" i="119"/>
  <c r="D17" i="119"/>
  <c r="D21" i="119"/>
  <c r="D20" i="119"/>
  <c r="D19" i="119"/>
  <c r="D18" i="119"/>
  <c r="D16" i="119"/>
  <c r="D15" i="119"/>
  <c r="D14" i="119"/>
  <c r="D13" i="119"/>
  <c r="D12" i="119"/>
  <c r="D11" i="119"/>
  <c r="D10" i="119"/>
  <c r="D9" i="119"/>
  <c r="D8" i="119"/>
  <c r="D7" i="119"/>
  <c r="H6" i="119"/>
  <c r="G6" i="119"/>
  <c r="D44" i="118"/>
  <c r="D43" i="118"/>
  <c r="D42" i="118"/>
  <c r="D41" i="118"/>
  <c r="D40" i="118"/>
  <c r="D39" i="118"/>
  <c r="D38" i="118"/>
  <c r="D37" i="118"/>
  <c r="D36" i="118"/>
  <c r="D35" i="118"/>
  <c r="D34" i="118"/>
  <c r="D33" i="118"/>
  <c r="D32" i="118"/>
  <c r="D31" i="118"/>
  <c r="D30" i="118"/>
  <c r="D29" i="118"/>
  <c r="D28" i="118"/>
  <c r="D27" i="118"/>
  <c r="D26" i="118"/>
  <c r="D25" i="118"/>
  <c r="D24" i="118"/>
  <c r="D23" i="118"/>
  <c r="D22" i="118"/>
  <c r="D21" i="118"/>
  <c r="D20" i="118"/>
  <c r="D19" i="118"/>
  <c r="D18" i="118"/>
  <c r="D16" i="118"/>
  <c r="D15" i="118"/>
  <c r="D14" i="118"/>
  <c r="D13" i="118"/>
  <c r="D12" i="118"/>
  <c r="D11" i="118"/>
  <c r="D10" i="118"/>
  <c r="D9" i="118"/>
  <c r="D8" i="118"/>
  <c r="D7" i="118"/>
  <c r="H6" i="118"/>
  <c r="G6" i="118"/>
  <c r="D44" i="117"/>
  <c r="D43" i="117"/>
  <c r="D42" i="117"/>
  <c r="D41" i="117"/>
  <c r="D40" i="117"/>
  <c r="D39" i="117"/>
  <c r="D38" i="117"/>
  <c r="D37" i="117"/>
  <c r="D36" i="117"/>
  <c r="D35" i="117"/>
  <c r="D34" i="117"/>
  <c r="D33" i="117"/>
  <c r="D32" i="117"/>
  <c r="D31" i="117"/>
  <c r="D30" i="117"/>
  <c r="D29" i="117"/>
  <c r="D28" i="117"/>
  <c r="D27" i="117"/>
  <c r="D26" i="117"/>
  <c r="D25" i="117"/>
  <c r="D24" i="117"/>
  <c r="D23" i="117"/>
  <c r="D22" i="117"/>
  <c r="D21" i="117"/>
  <c r="D20" i="117"/>
  <c r="D19" i="117"/>
  <c r="D18" i="117"/>
  <c r="D17" i="117"/>
  <c r="D16" i="117"/>
  <c r="D15" i="117"/>
  <c r="D14" i="117"/>
  <c r="D13" i="117"/>
  <c r="D12" i="117"/>
  <c r="D11" i="117"/>
  <c r="D10" i="117"/>
  <c r="D9" i="117"/>
  <c r="D8" i="117"/>
  <c r="D7" i="117"/>
  <c r="H6" i="117"/>
  <c r="G6" i="117"/>
  <c r="D44" i="116"/>
  <c r="D43" i="116"/>
  <c r="D42" i="116"/>
  <c r="D41" i="116"/>
  <c r="D40" i="116"/>
  <c r="D39" i="116"/>
  <c r="D38" i="116"/>
  <c r="D37" i="116"/>
  <c r="D36" i="116"/>
  <c r="D35" i="116"/>
  <c r="D34" i="116"/>
  <c r="D33" i="116"/>
  <c r="D32" i="116"/>
  <c r="D31" i="116"/>
  <c r="D30" i="116"/>
  <c r="D29" i="116"/>
  <c r="D28" i="116"/>
  <c r="D27" i="116"/>
  <c r="D26" i="116"/>
  <c r="D25" i="116"/>
  <c r="D24" i="116"/>
  <c r="D23" i="116"/>
  <c r="D22" i="116"/>
  <c r="D21" i="116"/>
  <c r="D20" i="116"/>
  <c r="D19" i="116"/>
  <c r="D18" i="116"/>
  <c r="D17" i="116"/>
  <c r="D16" i="116"/>
  <c r="D15" i="116"/>
  <c r="D14" i="116"/>
  <c r="D13" i="116"/>
  <c r="D12" i="116"/>
  <c r="D11" i="116"/>
  <c r="D10" i="116"/>
  <c r="D9" i="116"/>
  <c r="D8" i="116"/>
  <c r="D7" i="116"/>
  <c r="H6" i="116"/>
  <c r="G6" i="116"/>
  <c r="D44" i="115"/>
  <c r="D43" i="115"/>
  <c r="D42" i="115"/>
  <c r="D41" i="115"/>
  <c r="D40" i="115"/>
  <c r="D39" i="115"/>
  <c r="D38" i="115"/>
  <c r="D37" i="115"/>
  <c r="D36" i="115"/>
  <c r="D35" i="115"/>
  <c r="D34" i="115"/>
  <c r="D33" i="115"/>
  <c r="D32" i="115"/>
  <c r="D31" i="115"/>
  <c r="D30" i="115"/>
  <c r="D29" i="115"/>
  <c r="D28" i="115"/>
  <c r="D27" i="115"/>
  <c r="D26" i="115"/>
  <c r="D25" i="115"/>
  <c r="D24" i="115"/>
  <c r="D23" i="115"/>
  <c r="D22" i="115"/>
  <c r="D21" i="115"/>
  <c r="D20" i="115"/>
  <c r="D19" i="115"/>
  <c r="D18" i="115"/>
  <c r="D17" i="115"/>
  <c r="D16" i="115"/>
  <c r="D15" i="115"/>
  <c r="D14" i="115"/>
  <c r="D13" i="115"/>
  <c r="D12" i="115"/>
  <c r="D11" i="115"/>
  <c r="D10" i="115"/>
  <c r="D9" i="115"/>
  <c r="D8" i="115"/>
  <c r="D7" i="115"/>
  <c r="H6" i="115"/>
  <c r="G6" i="115"/>
  <c r="D44" i="114"/>
  <c r="D43" i="114"/>
  <c r="D42" i="114"/>
  <c r="D41" i="114"/>
  <c r="D40" i="114"/>
  <c r="D39" i="114"/>
  <c r="D38" i="114"/>
  <c r="D37" i="114"/>
  <c r="D36" i="114"/>
  <c r="D35" i="114"/>
  <c r="D34" i="114"/>
  <c r="D33" i="114"/>
  <c r="D32" i="114"/>
  <c r="D31" i="114"/>
  <c r="D30" i="114"/>
  <c r="D29" i="114"/>
  <c r="D28" i="114"/>
  <c r="D27" i="114"/>
  <c r="D26" i="114"/>
  <c r="D25" i="114"/>
  <c r="D24" i="114"/>
  <c r="D23" i="114"/>
  <c r="D22" i="114"/>
  <c r="D21" i="114"/>
  <c r="D20" i="114"/>
  <c r="D19" i="114"/>
  <c r="D18" i="114"/>
  <c r="D17" i="114"/>
  <c r="D16" i="114"/>
  <c r="D15" i="114"/>
  <c r="D14" i="114"/>
  <c r="D13" i="114"/>
  <c r="D12" i="114"/>
  <c r="D11" i="114"/>
  <c r="D10" i="114"/>
  <c r="D9" i="114"/>
  <c r="D8" i="114"/>
  <c r="D7" i="114"/>
  <c r="H6" i="114"/>
  <c r="G6" i="114"/>
  <c r="D45" i="113"/>
  <c r="D44" i="113"/>
  <c r="D43" i="113"/>
  <c r="D42" i="113"/>
  <c r="D41" i="113"/>
  <c r="D40" i="113"/>
  <c r="D39" i="113"/>
  <c r="D38" i="113"/>
  <c r="D37" i="113"/>
  <c r="D36" i="113"/>
  <c r="D35" i="113"/>
  <c r="D34" i="113"/>
  <c r="D33" i="113"/>
  <c r="D32" i="113"/>
  <c r="D31" i="113"/>
  <c r="D30" i="113"/>
  <c r="D29" i="113"/>
  <c r="D28" i="113"/>
  <c r="D27" i="113"/>
  <c r="D26" i="113"/>
  <c r="D25" i="113"/>
  <c r="D24" i="113"/>
  <c r="D23" i="113"/>
  <c r="D22" i="113"/>
  <c r="D21" i="113"/>
  <c r="D20" i="113"/>
  <c r="D19" i="113"/>
  <c r="D18" i="113"/>
  <c r="D17" i="113"/>
  <c r="D16" i="113"/>
  <c r="D15" i="113"/>
  <c r="D13" i="113"/>
  <c r="D12" i="113"/>
  <c r="D11" i="113"/>
  <c r="D10" i="113"/>
  <c r="D9" i="113"/>
  <c r="D8" i="113"/>
  <c r="D7" i="113"/>
  <c r="H6" i="113"/>
  <c r="G6" i="113"/>
  <c r="D44" i="112"/>
  <c r="D43" i="112"/>
  <c r="D42" i="112"/>
  <c r="D41" i="112"/>
  <c r="D40" i="112"/>
  <c r="D39" i="112"/>
  <c r="D38" i="112"/>
  <c r="D37" i="112"/>
  <c r="D36" i="112"/>
  <c r="D35" i="112"/>
  <c r="D34" i="112"/>
  <c r="D33" i="112"/>
  <c r="D32" i="112"/>
  <c r="D31" i="112"/>
  <c r="D30" i="112"/>
  <c r="D29" i="112"/>
  <c r="D28" i="112"/>
  <c r="D27" i="112"/>
  <c r="D26" i="112"/>
  <c r="D25" i="112"/>
  <c r="D24" i="112"/>
  <c r="D23" i="112"/>
  <c r="D22" i="112"/>
  <c r="D21" i="112"/>
  <c r="D20" i="112"/>
  <c r="D19" i="112"/>
  <c r="D18" i="112"/>
  <c r="D17" i="112"/>
  <c r="D16" i="112"/>
  <c r="D15" i="112"/>
  <c r="D14" i="112"/>
  <c r="D13" i="112"/>
  <c r="D12" i="112"/>
  <c r="D11" i="112"/>
  <c r="D10" i="112"/>
  <c r="D9" i="112"/>
  <c r="D8" i="112"/>
  <c r="D7" i="112"/>
  <c r="H6" i="112"/>
  <c r="G6" i="112"/>
  <c r="D44" i="111"/>
  <c r="D43" i="111"/>
  <c r="D42" i="111"/>
  <c r="D41" i="111"/>
  <c r="D40" i="111"/>
  <c r="D39" i="111"/>
  <c r="D38" i="111"/>
  <c r="D37" i="111"/>
  <c r="D36" i="111"/>
  <c r="D35" i="111"/>
  <c r="D34" i="111"/>
  <c r="D33" i="111"/>
  <c r="D32" i="111"/>
  <c r="D31" i="111"/>
  <c r="D30" i="111"/>
  <c r="D29" i="111"/>
  <c r="D28" i="111"/>
  <c r="D27" i="111"/>
  <c r="D26" i="111"/>
  <c r="D25" i="111"/>
  <c r="D24" i="111"/>
  <c r="D23" i="111"/>
  <c r="D22" i="111"/>
  <c r="D21" i="111"/>
  <c r="D20" i="111"/>
  <c r="D19" i="111"/>
  <c r="D18" i="111"/>
  <c r="D17" i="111"/>
  <c r="D16" i="111"/>
  <c r="D15" i="111"/>
  <c r="D14" i="111"/>
  <c r="D13" i="111"/>
  <c r="D12" i="111"/>
  <c r="D11" i="111"/>
  <c r="D10" i="111"/>
  <c r="D9" i="111"/>
  <c r="D8" i="111"/>
  <c r="D7" i="111"/>
  <c r="H6" i="111"/>
  <c r="G6" i="111"/>
  <c r="D44" i="110"/>
  <c r="D43" i="110"/>
  <c r="D42" i="110"/>
  <c r="D41" i="110"/>
  <c r="D40" i="110"/>
  <c r="D39" i="110"/>
  <c r="D38" i="110"/>
  <c r="D37" i="110"/>
  <c r="D36" i="110"/>
  <c r="D35" i="110"/>
  <c r="D34" i="110"/>
  <c r="D33" i="110"/>
  <c r="D32" i="110"/>
  <c r="D31" i="110"/>
  <c r="D30" i="110"/>
  <c r="D29" i="110"/>
  <c r="D28" i="110"/>
  <c r="D27" i="110"/>
  <c r="D26" i="110"/>
  <c r="D25" i="110"/>
  <c r="D24" i="110"/>
  <c r="D23" i="110"/>
  <c r="D22" i="110"/>
  <c r="D21" i="110"/>
  <c r="D20" i="110"/>
  <c r="D19" i="110"/>
  <c r="D18" i="110"/>
  <c r="D17" i="110"/>
  <c r="D16" i="110"/>
  <c r="D15" i="110"/>
  <c r="D13" i="110"/>
  <c r="D12" i="110"/>
  <c r="D11" i="110"/>
  <c r="D10" i="110"/>
  <c r="D9" i="110"/>
  <c r="D8" i="110"/>
  <c r="D7" i="110"/>
  <c r="H6" i="110"/>
  <c r="G6" i="110"/>
  <c r="D42" i="109"/>
  <c r="D41" i="109"/>
  <c r="D40" i="109"/>
  <c r="D39" i="109"/>
  <c r="D38" i="109"/>
  <c r="D37" i="109"/>
  <c r="D36" i="109"/>
  <c r="D35" i="109"/>
  <c r="D34" i="109"/>
  <c r="D33" i="109"/>
  <c r="D32" i="109"/>
  <c r="D31" i="109"/>
  <c r="D30" i="109"/>
  <c r="D29" i="109"/>
  <c r="D28" i="109"/>
  <c r="D27" i="109"/>
  <c r="D26" i="109"/>
  <c r="D25" i="109"/>
  <c r="D24" i="109"/>
  <c r="D23" i="109"/>
  <c r="D22" i="109"/>
  <c r="D21" i="109"/>
  <c r="D20" i="109"/>
  <c r="D19" i="109"/>
  <c r="D18" i="109"/>
  <c r="D17" i="109"/>
  <c r="D16" i="109"/>
  <c r="D15" i="109"/>
  <c r="D14" i="109"/>
  <c r="D13" i="109"/>
  <c r="D12" i="109"/>
  <c r="D11" i="109"/>
  <c r="D10" i="109"/>
  <c r="D9" i="109"/>
  <c r="D8" i="109"/>
  <c r="D7" i="109"/>
  <c r="H6" i="109"/>
  <c r="G6" i="109"/>
  <c r="D44" i="108"/>
  <c r="D43" i="108"/>
  <c r="D42" i="108"/>
  <c r="D41" i="108"/>
  <c r="D40" i="108"/>
  <c r="D39" i="108"/>
  <c r="D38" i="108"/>
  <c r="D37" i="108"/>
  <c r="D36" i="108"/>
  <c r="D35" i="108"/>
  <c r="D34" i="108"/>
  <c r="D33" i="108"/>
  <c r="D32" i="108"/>
  <c r="D31" i="108"/>
  <c r="D30" i="108"/>
  <c r="D29" i="108"/>
  <c r="D28" i="108"/>
  <c r="D27" i="108"/>
  <c r="D26" i="108"/>
  <c r="D25" i="108"/>
  <c r="D24" i="108"/>
  <c r="D23" i="108"/>
  <c r="D22" i="108"/>
  <c r="D21" i="108"/>
  <c r="D20" i="108"/>
  <c r="D19" i="108"/>
  <c r="D18" i="108"/>
  <c r="D17" i="108"/>
  <c r="D16" i="108"/>
  <c r="D15" i="108"/>
  <c r="D14" i="108"/>
  <c r="D13" i="108"/>
  <c r="D12" i="108"/>
  <c r="D11" i="108"/>
  <c r="D10" i="108"/>
  <c r="D9" i="108"/>
  <c r="D8" i="108"/>
  <c r="D7" i="108"/>
  <c r="H6" i="108"/>
  <c r="G6" i="108"/>
  <c r="D44" i="107"/>
  <c r="D43" i="107"/>
  <c r="D42" i="107"/>
  <c r="D41" i="107"/>
  <c r="D40" i="107"/>
  <c r="D39" i="107"/>
  <c r="D38" i="107"/>
  <c r="D37" i="107"/>
  <c r="D36" i="107"/>
  <c r="D35" i="107"/>
  <c r="D34" i="107"/>
  <c r="D33" i="107"/>
  <c r="D32" i="107"/>
  <c r="D31" i="107"/>
  <c r="D30" i="107"/>
  <c r="D29" i="107"/>
  <c r="D28" i="107"/>
  <c r="D27" i="107"/>
  <c r="D26" i="107"/>
  <c r="D25" i="107"/>
  <c r="D24" i="107"/>
  <c r="D23" i="107"/>
  <c r="D22" i="107"/>
  <c r="D21" i="107"/>
  <c r="D20" i="107"/>
  <c r="D19" i="107"/>
  <c r="D18" i="107"/>
  <c r="D17" i="107"/>
  <c r="D16" i="107"/>
  <c r="D15" i="107"/>
  <c r="D14" i="107"/>
  <c r="D13" i="107"/>
  <c r="D12" i="107"/>
  <c r="D11" i="107"/>
  <c r="D10" i="107"/>
  <c r="D9" i="107"/>
  <c r="D8" i="107"/>
  <c r="D7" i="107"/>
  <c r="H6" i="107"/>
  <c r="G6" i="107"/>
  <c r="D42" i="106"/>
  <c r="D41" i="106"/>
  <c r="D40" i="106"/>
  <c r="D39" i="106"/>
  <c r="D38" i="106"/>
  <c r="D37" i="106"/>
  <c r="D36" i="106"/>
  <c r="D35" i="106"/>
  <c r="D34" i="106"/>
  <c r="D33" i="106"/>
  <c r="D32" i="106"/>
  <c r="D31" i="106"/>
  <c r="D30" i="106"/>
  <c r="D29" i="106"/>
  <c r="D28" i="106"/>
  <c r="D27" i="106"/>
  <c r="D26" i="106"/>
  <c r="D25" i="106"/>
  <c r="D24" i="106"/>
  <c r="D23" i="106"/>
  <c r="D22" i="106"/>
  <c r="D21" i="106"/>
  <c r="D20" i="106"/>
  <c r="D19" i="106"/>
  <c r="D18" i="106"/>
  <c r="D17" i="106"/>
  <c r="D16" i="106"/>
  <c r="D15" i="106"/>
  <c r="D14" i="106"/>
  <c r="D13" i="106"/>
  <c r="D12" i="106"/>
  <c r="D11" i="106"/>
  <c r="D10" i="106"/>
  <c r="D9" i="106"/>
  <c r="D8" i="106"/>
  <c r="D7" i="106"/>
  <c r="H6" i="106"/>
  <c r="G6" i="106"/>
  <c r="D44" i="105"/>
  <c r="D43" i="105"/>
  <c r="D42" i="105"/>
  <c r="D41" i="105"/>
  <c r="D40" i="105"/>
  <c r="D39" i="105"/>
  <c r="D38" i="105"/>
  <c r="D37" i="105"/>
  <c r="D36" i="105"/>
  <c r="D35" i="105"/>
  <c r="D34" i="105"/>
  <c r="D33" i="105"/>
  <c r="D32" i="105"/>
  <c r="D31" i="105"/>
  <c r="D30" i="105"/>
  <c r="D29" i="105"/>
  <c r="D28" i="105"/>
  <c r="D27" i="105"/>
  <c r="D26" i="105"/>
  <c r="D25" i="105"/>
  <c r="D24" i="105"/>
  <c r="D23" i="105"/>
  <c r="D22" i="105"/>
  <c r="D21" i="105"/>
  <c r="D20" i="105"/>
  <c r="D19" i="105"/>
  <c r="D18" i="105"/>
  <c r="D17" i="105"/>
  <c r="D16" i="105"/>
  <c r="D15" i="105"/>
  <c r="D14" i="105"/>
  <c r="D13" i="105"/>
  <c r="D12" i="105"/>
  <c r="D11" i="105"/>
  <c r="D10" i="105"/>
  <c r="D8" i="105"/>
  <c r="D7" i="105"/>
  <c r="H6" i="105"/>
  <c r="G6" i="105"/>
  <c r="D42" i="104"/>
  <c r="D41" i="104"/>
  <c r="D40" i="104"/>
  <c r="D39" i="104"/>
  <c r="D38" i="104"/>
  <c r="D37" i="104"/>
  <c r="D36" i="104"/>
  <c r="D35" i="104"/>
  <c r="D34" i="104"/>
  <c r="D33" i="104"/>
  <c r="D32" i="104"/>
  <c r="D31" i="104"/>
  <c r="D30" i="104"/>
  <c r="D29" i="104"/>
  <c r="D28" i="104"/>
  <c r="D27" i="104"/>
  <c r="D26" i="104"/>
  <c r="D25" i="104"/>
  <c r="D23" i="104"/>
  <c r="D22" i="104"/>
  <c r="D21" i="104"/>
  <c r="D20" i="104"/>
  <c r="D19" i="104"/>
  <c r="D18" i="104"/>
  <c r="D17" i="104"/>
  <c r="D16" i="104"/>
  <c r="D15" i="104"/>
  <c r="D14" i="104"/>
  <c r="D13" i="104"/>
  <c r="D12" i="104"/>
  <c r="D11" i="104"/>
  <c r="D10" i="104"/>
  <c r="D9" i="104"/>
  <c r="D8" i="104"/>
  <c r="D7" i="104"/>
  <c r="H6" i="104"/>
  <c r="G6" i="104"/>
  <c r="D44" i="103"/>
  <c r="D43" i="103"/>
  <c r="D42" i="103"/>
  <c r="D41" i="103"/>
  <c r="D40" i="103"/>
  <c r="D39" i="103"/>
  <c r="D38" i="103"/>
  <c r="D37" i="103"/>
  <c r="D36" i="103"/>
  <c r="D35" i="103"/>
  <c r="D34" i="103"/>
  <c r="D33" i="103"/>
  <c r="D32" i="103"/>
  <c r="D31" i="103"/>
  <c r="D30" i="103"/>
  <c r="D29" i="103"/>
  <c r="D28" i="103"/>
  <c r="D27" i="103"/>
  <c r="D26" i="103"/>
  <c r="D25" i="103"/>
  <c r="D24" i="103"/>
  <c r="D23" i="103"/>
  <c r="D22" i="103"/>
  <c r="D21" i="103"/>
  <c r="D20" i="103"/>
  <c r="D19" i="103"/>
  <c r="D18" i="103"/>
  <c r="D17" i="103"/>
  <c r="D16" i="103"/>
  <c r="D15" i="103"/>
  <c r="D14" i="103"/>
  <c r="D13" i="103"/>
  <c r="D12" i="103"/>
  <c r="D11" i="103"/>
  <c r="D10" i="103"/>
  <c r="D9" i="103"/>
  <c r="D8" i="103"/>
  <c r="D7" i="103"/>
  <c r="H6" i="103"/>
  <c r="G6" i="103"/>
  <c r="J6" i="120" l="1"/>
  <c r="L6" i="120" s="1"/>
  <c r="B115" i="64" s="1"/>
  <c r="J6" i="119"/>
  <c r="L6" i="119" s="1"/>
  <c r="B114" i="64" s="1"/>
  <c r="J6" i="118"/>
  <c r="L6" i="118" s="1"/>
  <c r="B113" i="64" s="1"/>
  <c r="J6" i="117"/>
  <c r="L6" i="117" s="1"/>
  <c r="B112" i="64" s="1"/>
  <c r="J6" i="116"/>
  <c r="C111" i="64" s="1"/>
  <c r="E111" i="64" s="1"/>
  <c r="J6" i="114"/>
  <c r="L6" i="114" s="1"/>
  <c r="B109" i="64" s="1"/>
  <c r="J6" i="115"/>
  <c r="J6" i="113"/>
  <c r="C108" i="64" s="1"/>
  <c r="E108" i="64" s="1"/>
  <c r="J6" i="112"/>
  <c r="L6" i="112" s="1"/>
  <c r="B107" i="64" s="1"/>
  <c r="J6" i="111"/>
  <c r="C106" i="64" s="1"/>
  <c r="E106" i="64" s="1"/>
  <c r="J6" i="110"/>
  <c r="L6" i="110" s="1"/>
  <c r="B105" i="64" s="1"/>
  <c r="J6" i="109"/>
  <c r="L6" i="109" s="1"/>
  <c r="B104" i="64" s="1"/>
  <c r="J6" i="108"/>
  <c r="C103" i="64" s="1"/>
  <c r="E103" i="64" s="1"/>
  <c r="J6" i="107"/>
  <c r="J6" i="106"/>
  <c r="L6" i="106" s="1"/>
  <c r="B101" i="64" s="1"/>
  <c r="J6" i="105"/>
  <c r="C100" i="64" s="1"/>
  <c r="E100" i="64" s="1"/>
  <c r="J6" i="104"/>
  <c r="C99" i="64" s="1"/>
  <c r="E99" i="64" s="1"/>
  <c r="J6" i="103"/>
  <c r="E7" i="91"/>
  <c r="D24" i="76"/>
  <c r="C10" i="76"/>
  <c r="G6" i="102"/>
  <c r="H6" i="102"/>
  <c r="D44" i="102"/>
  <c r="D43" i="102"/>
  <c r="D42" i="102"/>
  <c r="D41" i="102"/>
  <c r="D40" i="102"/>
  <c r="D39" i="102"/>
  <c r="D38" i="102"/>
  <c r="D37" i="102"/>
  <c r="D36" i="102"/>
  <c r="D35" i="102"/>
  <c r="D34" i="102"/>
  <c r="D33" i="102"/>
  <c r="D32" i="102"/>
  <c r="D31" i="102"/>
  <c r="D30" i="102"/>
  <c r="D29" i="102"/>
  <c r="D28" i="102"/>
  <c r="D27" i="102"/>
  <c r="D26" i="102"/>
  <c r="D25" i="102"/>
  <c r="D24" i="102"/>
  <c r="D23" i="102"/>
  <c r="D22" i="102"/>
  <c r="D21" i="102"/>
  <c r="D20" i="102"/>
  <c r="D19" i="102"/>
  <c r="D18" i="102"/>
  <c r="D17" i="102"/>
  <c r="D16" i="102"/>
  <c r="D15" i="102"/>
  <c r="D14" i="102"/>
  <c r="D13" i="102"/>
  <c r="D12" i="102"/>
  <c r="D11" i="102"/>
  <c r="D10" i="102"/>
  <c r="D9" i="102"/>
  <c r="D8" i="102"/>
  <c r="D7" i="102"/>
  <c r="D44" i="101"/>
  <c r="D43" i="101"/>
  <c r="D42" i="101"/>
  <c r="D41" i="101"/>
  <c r="D40" i="101"/>
  <c r="D39" i="101"/>
  <c r="D38" i="101"/>
  <c r="D37" i="101"/>
  <c r="D36" i="101"/>
  <c r="D35" i="101"/>
  <c r="D34" i="101"/>
  <c r="D33" i="101"/>
  <c r="D32" i="101"/>
  <c r="D31" i="101"/>
  <c r="D30" i="101"/>
  <c r="D29" i="101"/>
  <c r="D28" i="101"/>
  <c r="D27" i="101"/>
  <c r="D26" i="101"/>
  <c r="D25" i="101"/>
  <c r="D24" i="101"/>
  <c r="D23" i="101"/>
  <c r="D22" i="101"/>
  <c r="D21" i="101"/>
  <c r="D20" i="101"/>
  <c r="D19" i="101"/>
  <c r="D18" i="101"/>
  <c r="D17" i="101"/>
  <c r="D16" i="101"/>
  <c r="D15" i="101"/>
  <c r="D14" i="101"/>
  <c r="D13" i="101"/>
  <c r="D12" i="101"/>
  <c r="D11" i="101"/>
  <c r="D10" i="101"/>
  <c r="D9" i="101"/>
  <c r="D8" i="101"/>
  <c r="D7" i="101"/>
  <c r="H6" i="101"/>
  <c r="G6" i="101"/>
  <c r="D44" i="100"/>
  <c r="D43" i="100"/>
  <c r="D42" i="100"/>
  <c r="D41" i="100"/>
  <c r="D40" i="100"/>
  <c r="D39" i="100"/>
  <c r="D38" i="100"/>
  <c r="D37" i="100"/>
  <c r="D36" i="100"/>
  <c r="D35" i="100"/>
  <c r="D34" i="100"/>
  <c r="D33" i="100"/>
  <c r="D32" i="100"/>
  <c r="D31" i="100"/>
  <c r="D30" i="100"/>
  <c r="D29" i="100"/>
  <c r="D28" i="100"/>
  <c r="D27" i="100"/>
  <c r="D26" i="100"/>
  <c r="D25" i="100"/>
  <c r="D24" i="100"/>
  <c r="D23" i="100"/>
  <c r="D22" i="100"/>
  <c r="D21" i="100"/>
  <c r="D20" i="100"/>
  <c r="D19" i="100"/>
  <c r="D18" i="100"/>
  <c r="D17" i="100"/>
  <c r="D16" i="100"/>
  <c r="D15" i="100"/>
  <c r="D14" i="100"/>
  <c r="D13" i="100"/>
  <c r="D12" i="100"/>
  <c r="D11" i="100"/>
  <c r="D10" i="100"/>
  <c r="D9" i="100"/>
  <c r="D8" i="100"/>
  <c r="D7" i="100"/>
  <c r="H6" i="100"/>
  <c r="G6" i="100"/>
  <c r="J6" i="100" s="1"/>
  <c r="D44" i="99"/>
  <c r="D43" i="99"/>
  <c r="D42" i="99"/>
  <c r="D41" i="99"/>
  <c r="D40" i="99"/>
  <c r="D39" i="99"/>
  <c r="D38" i="99"/>
  <c r="D37" i="99"/>
  <c r="D36" i="99"/>
  <c r="D35" i="99"/>
  <c r="D34" i="99"/>
  <c r="D33" i="99"/>
  <c r="D32" i="99"/>
  <c r="D31" i="99"/>
  <c r="D30" i="99"/>
  <c r="D29" i="99"/>
  <c r="D28" i="99"/>
  <c r="D27" i="99"/>
  <c r="D26" i="99"/>
  <c r="D25" i="99"/>
  <c r="D24" i="99"/>
  <c r="D23" i="99"/>
  <c r="D22" i="99"/>
  <c r="D21" i="99"/>
  <c r="D20" i="99"/>
  <c r="D19" i="99"/>
  <c r="D18" i="99"/>
  <c r="D17" i="99"/>
  <c r="D16" i="99"/>
  <c r="D15" i="99"/>
  <c r="D14" i="99"/>
  <c r="D13" i="99"/>
  <c r="D12" i="99"/>
  <c r="D11" i="99"/>
  <c r="D10" i="99"/>
  <c r="D9" i="99"/>
  <c r="D8" i="99"/>
  <c r="D7" i="99"/>
  <c r="H6" i="99"/>
  <c r="G6" i="99"/>
  <c r="D44" i="98"/>
  <c r="D43" i="98"/>
  <c r="D42" i="98"/>
  <c r="D41" i="98"/>
  <c r="D40" i="98"/>
  <c r="D39" i="98"/>
  <c r="D38" i="98"/>
  <c r="D37" i="98"/>
  <c r="D36" i="98"/>
  <c r="D35" i="98"/>
  <c r="D34" i="98"/>
  <c r="D33" i="98"/>
  <c r="D32" i="98"/>
  <c r="D31" i="98"/>
  <c r="D30" i="98"/>
  <c r="D29" i="98"/>
  <c r="D28" i="98"/>
  <c r="D27" i="98"/>
  <c r="D26" i="98"/>
  <c r="D25" i="98"/>
  <c r="D24" i="98"/>
  <c r="D23" i="98"/>
  <c r="D22" i="98"/>
  <c r="D21" i="98"/>
  <c r="D20" i="98"/>
  <c r="D19" i="98"/>
  <c r="D18" i="98"/>
  <c r="D17" i="98"/>
  <c r="D16" i="98"/>
  <c r="D15" i="98"/>
  <c r="D14" i="98"/>
  <c r="D13" i="98"/>
  <c r="D12" i="98"/>
  <c r="D11" i="98"/>
  <c r="D10" i="98"/>
  <c r="D9" i="98"/>
  <c r="D8" i="98"/>
  <c r="D7" i="98"/>
  <c r="H6" i="98"/>
  <c r="G6" i="98"/>
  <c r="D44" i="97"/>
  <c r="D43" i="97"/>
  <c r="D42" i="97"/>
  <c r="D41" i="97"/>
  <c r="D40" i="97"/>
  <c r="D39" i="97"/>
  <c r="D38" i="97"/>
  <c r="D37" i="97"/>
  <c r="D36" i="97"/>
  <c r="D35" i="97"/>
  <c r="D34" i="97"/>
  <c r="D33" i="97"/>
  <c r="D32" i="97"/>
  <c r="D31" i="97"/>
  <c r="D30" i="97"/>
  <c r="D29" i="97"/>
  <c r="D28" i="97"/>
  <c r="D27" i="97"/>
  <c r="D26" i="97"/>
  <c r="D25" i="97"/>
  <c r="D24" i="97"/>
  <c r="D23" i="97"/>
  <c r="D22" i="97"/>
  <c r="D21" i="97"/>
  <c r="D20" i="97"/>
  <c r="D19" i="97"/>
  <c r="D18" i="97"/>
  <c r="D17" i="97"/>
  <c r="D16" i="97"/>
  <c r="D15" i="97"/>
  <c r="D14" i="97"/>
  <c r="D13" i="97"/>
  <c r="D12" i="97"/>
  <c r="D11" i="97"/>
  <c r="D10" i="97"/>
  <c r="D9" i="97"/>
  <c r="D8" i="97"/>
  <c r="D7" i="97"/>
  <c r="H6" i="97"/>
  <c r="G6" i="97"/>
  <c r="D44" i="96"/>
  <c r="D43" i="96"/>
  <c r="D42" i="96"/>
  <c r="D41" i="96"/>
  <c r="D40" i="96"/>
  <c r="D39" i="96"/>
  <c r="D38" i="96"/>
  <c r="D37" i="96"/>
  <c r="D36" i="96"/>
  <c r="D35" i="96"/>
  <c r="D34" i="96"/>
  <c r="D33" i="96"/>
  <c r="D32" i="96"/>
  <c r="D31" i="96"/>
  <c r="D30" i="96"/>
  <c r="D29" i="96"/>
  <c r="D28" i="96"/>
  <c r="D27" i="96"/>
  <c r="D26" i="96"/>
  <c r="D25" i="96"/>
  <c r="D24" i="96"/>
  <c r="D23" i="96"/>
  <c r="D22" i="96"/>
  <c r="D21" i="96"/>
  <c r="D20" i="96"/>
  <c r="D19" i="96"/>
  <c r="D18" i="96"/>
  <c r="D17" i="96"/>
  <c r="D16" i="96"/>
  <c r="D15" i="96"/>
  <c r="D14" i="96"/>
  <c r="D13" i="96"/>
  <c r="D12" i="96"/>
  <c r="D11" i="96"/>
  <c r="D10" i="96"/>
  <c r="D9" i="96"/>
  <c r="D8" i="96"/>
  <c r="D7" i="96"/>
  <c r="H6" i="96"/>
  <c r="G6" i="96"/>
  <c r="D44" i="95"/>
  <c r="D43" i="95"/>
  <c r="D42" i="95"/>
  <c r="D41" i="95"/>
  <c r="D40" i="95"/>
  <c r="D39" i="95"/>
  <c r="D38" i="95"/>
  <c r="D37" i="95"/>
  <c r="D36" i="95"/>
  <c r="D35" i="95"/>
  <c r="D34" i="95"/>
  <c r="D33" i="95"/>
  <c r="D32" i="95"/>
  <c r="D31" i="95"/>
  <c r="D30" i="95"/>
  <c r="D29" i="95"/>
  <c r="D28" i="95"/>
  <c r="D27" i="95"/>
  <c r="D26" i="95"/>
  <c r="D25" i="95"/>
  <c r="D24" i="95"/>
  <c r="D23" i="95"/>
  <c r="D22" i="95"/>
  <c r="D21" i="95"/>
  <c r="D20" i="95"/>
  <c r="D19" i="95"/>
  <c r="D18" i="95"/>
  <c r="D17" i="95"/>
  <c r="D16" i="95"/>
  <c r="D15" i="95"/>
  <c r="D14" i="95"/>
  <c r="D13" i="95"/>
  <c r="D12" i="95"/>
  <c r="D11" i="95"/>
  <c r="D10" i="95"/>
  <c r="D9" i="95"/>
  <c r="D8" i="95"/>
  <c r="D7" i="95"/>
  <c r="H6" i="95"/>
  <c r="G6" i="95"/>
  <c r="D44" i="94"/>
  <c r="D43" i="94"/>
  <c r="D42" i="94"/>
  <c r="D41" i="94"/>
  <c r="D40" i="94"/>
  <c r="D39" i="94"/>
  <c r="D38" i="94"/>
  <c r="D37" i="94"/>
  <c r="D36" i="94"/>
  <c r="D35" i="94"/>
  <c r="D34" i="94"/>
  <c r="D33" i="94"/>
  <c r="D32" i="94"/>
  <c r="D31" i="94"/>
  <c r="D30" i="94"/>
  <c r="D29" i="94"/>
  <c r="D28" i="94"/>
  <c r="D27" i="94"/>
  <c r="D26" i="94"/>
  <c r="D25" i="94"/>
  <c r="D24" i="94"/>
  <c r="D23" i="94"/>
  <c r="D22" i="94"/>
  <c r="D21" i="94"/>
  <c r="D20" i="94"/>
  <c r="D19" i="94"/>
  <c r="D18" i="94"/>
  <c r="D17" i="94"/>
  <c r="D16" i="94"/>
  <c r="D15" i="94"/>
  <c r="D14" i="94"/>
  <c r="D13" i="94"/>
  <c r="D12" i="94"/>
  <c r="D11" i="94"/>
  <c r="D10" i="94"/>
  <c r="D9" i="94"/>
  <c r="D8" i="94"/>
  <c r="D7" i="94"/>
  <c r="H6" i="94"/>
  <c r="G6" i="94"/>
  <c r="D44" i="93"/>
  <c r="D43" i="93"/>
  <c r="D42" i="93"/>
  <c r="D41" i="93"/>
  <c r="D40" i="93"/>
  <c r="D39" i="93"/>
  <c r="D38" i="93"/>
  <c r="D37" i="93"/>
  <c r="D36" i="93"/>
  <c r="D35" i="93"/>
  <c r="D34" i="93"/>
  <c r="D33" i="93"/>
  <c r="D32" i="93"/>
  <c r="D31" i="93"/>
  <c r="D30" i="93"/>
  <c r="D29" i="93"/>
  <c r="D28" i="93"/>
  <c r="D27" i="93"/>
  <c r="D26" i="93"/>
  <c r="D25" i="93"/>
  <c r="D24" i="93"/>
  <c r="D23" i="93"/>
  <c r="D22" i="93"/>
  <c r="D21" i="93"/>
  <c r="D20" i="93"/>
  <c r="D19" i="93"/>
  <c r="D18" i="93"/>
  <c r="D17" i="93"/>
  <c r="D16" i="93"/>
  <c r="D15" i="93"/>
  <c r="D14" i="93"/>
  <c r="D13" i="93"/>
  <c r="D12" i="93"/>
  <c r="D11" i="93"/>
  <c r="D10" i="93"/>
  <c r="D9" i="93"/>
  <c r="D8" i="93"/>
  <c r="D7" i="93"/>
  <c r="H6" i="93"/>
  <c r="G6" i="93"/>
  <c r="J6" i="93" s="1"/>
  <c r="D44" i="92"/>
  <c r="D43" i="92"/>
  <c r="D42" i="92"/>
  <c r="D41" i="92"/>
  <c r="D40" i="92"/>
  <c r="D39" i="92"/>
  <c r="D38" i="92"/>
  <c r="D37" i="92"/>
  <c r="D36" i="92"/>
  <c r="D35" i="92"/>
  <c r="D34" i="92"/>
  <c r="D33" i="92"/>
  <c r="D32" i="92"/>
  <c r="D31" i="92"/>
  <c r="D30" i="92"/>
  <c r="D29" i="92"/>
  <c r="D28" i="92"/>
  <c r="D27" i="92"/>
  <c r="D26" i="92"/>
  <c r="D25" i="92"/>
  <c r="D24" i="92"/>
  <c r="D23" i="92"/>
  <c r="D22" i="92"/>
  <c r="D21" i="92"/>
  <c r="D20" i="92"/>
  <c r="D19" i="92"/>
  <c r="D18" i="92"/>
  <c r="D17" i="92"/>
  <c r="D16" i="92"/>
  <c r="D15" i="92"/>
  <c r="D14" i="92"/>
  <c r="D13" i="92"/>
  <c r="D12" i="92"/>
  <c r="D11" i="92"/>
  <c r="D10" i="92"/>
  <c r="D9" i="92"/>
  <c r="D8" i="92"/>
  <c r="D7" i="92"/>
  <c r="H6" i="92"/>
  <c r="G6" i="92"/>
  <c r="D44" i="91"/>
  <c r="D43" i="91"/>
  <c r="D42" i="91"/>
  <c r="D41" i="91"/>
  <c r="D40" i="91"/>
  <c r="D39" i="91"/>
  <c r="D38" i="91"/>
  <c r="D37" i="91"/>
  <c r="D36" i="91"/>
  <c r="D35" i="91"/>
  <c r="D34" i="91"/>
  <c r="D33" i="91"/>
  <c r="D32" i="91"/>
  <c r="D31" i="91"/>
  <c r="D30" i="91"/>
  <c r="D29" i="91"/>
  <c r="D28" i="91"/>
  <c r="D27" i="91"/>
  <c r="D26" i="91"/>
  <c r="D25" i="91"/>
  <c r="D24" i="91"/>
  <c r="D23" i="91"/>
  <c r="D22" i="91"/>
  <c r="D21" i="91"/>
  <c r="D20" i="91"/>
  <c r="D19" i="91"/>
  <c r="D18" i="91"/>
  <c r="D17" i="91"/>
  <c r="D16" i="91"/>
  <c r="D15" i="91"/>
  <c r="D14" i="91"/>
  <c r="D13" i="91"/>
  <c r="D12" i="91"/>
  <c r="D11" i="91"/>
  <c r="D10" i="91"/>
  <c r="D9" i="91"/>
  <c r="D8" i="91"/>
  <c r="D7" i="91"/>
  <c r="H6" i="91"/>
  <c r="G6" i="91"/>
  <c r="J6" i="91" s="1"/>
  <c r="D44" i="90"/>
  <c r="D43" i="90"/>
  <c r="D42" i="90"/>
  <c r="D41" i="90"/>
  <c r="D40" i="90"/>
  <c r="D39" i="90"/>
  <c r="D38" i="90"/>
  <c r="D37" i="90"/>
  <c r="D36" i="90"/>
  <c r="D35" i="90"/>
  <c r="D34" i="90"/>
  <c r="D33" i="90"/>
  <c r="D32" i="90"/>
  <c r="D31" i="90"/>
  <c r="D30" i="90"/>
  <c r="D29" i="90"/>
  <c r="D28" i="90"/>
  <c r="D27" i="90"/>
  <c r="D26" i="90"/>
  <c r="D25" i="90"/>
  <c r="D24" i="90"/>
  <c r="D23" i="90"/>
  <c r="D22" i="90"/>
  <c r="D21" i="90"/>
  <c r="D20" i="90"/>
  <c r="D19" i="90"/>
  <c r="D18" i="90"/>
  <c r="D17" i="90"/>
  <c r="D16" i="90"/>
  <c r="D15" i="90"/>
  <c r="D14" i="90"/>
  <c r="D13" i="90"/>
  <c r="D12" i="90"/>
  <c r="D11" i="90"/>
  <c r="D10" i="90"/>
  <c r="D9" i="90"/>
  <c r="D8" i="90"/>
  <c r="D7" i="90"/>
  <c r="H6" i="90"/>
  <c r="G6" i="90"/>
  <c r="D44" i="89"/>
  <c r="D43" i="89"/>
  <c r="D42" i="89"/>
  <c r="D41" i="89"/>
  <c r="D40" i="89"/>
  <c r="D39" i="89"/>
  <c r="D38" i="89"/>
  <c r="D37" i="89"/>
  <c r="D36" i="89"/>
  <c r="D35" i="89"/>
  <c r="D34" i="89"/>
  <c r="D33" i="89"/>
  <c r="D32" i="89"/>
  <c r="D31" i="89"/>
  <c r="D30" i="89"/>
  <c r="D29" i="89"/>
  <c r="D28" i="89"/>
  <c r="D27" i="89"/>
  <c r="D26" i="89"/>
  <c r="D25" i="89"/>
  <c r="D24" i="89"/>
  <c r="D23" i="89"/>
  <c r="D22" i="89"/>
  <c r="D21" i="89"/>
  <c r="D20" i="89"/>
  <c r="D19" i="89"/>
  <c r="D18" i="89"/>
  <c r="D17" i="89"/>
  <c r="D16" i="89"/>
  <c r="D15" i="89"/>
  <c r="D14" i="89"/>
  <c r="D13" i="89"/>
  <c r="D12" i="89"/>
  <c r="D11" i="89"/>
  <c r="D10" i="89"/>
  <c r="D9" i="89"/>
  <c r="D8" i="89"/>
  <c r="D7" i="89"/>
  <c r="H6" i="89"/>
  <c r="G6" i="89"/>
  <c r="D44" i="88"/>
  <c r="D43" i="88"/>
  <c r="D42" i="88"/>
  <c r="D41" i="88"/>
  <c r="D40" i="88"/>
  <c r="D39" i="88"/>
  <c r="D38" i="88"/>
  <c r="D37" i="88"/>
  <c r="D36" i="88"/>
  <c r="D35" i="88"/>
  <c r="D34" i="88"/>
  <c r="D33" i="88"/>
  <c r="D32" i="88"/>
  <c r="D31" i="88"/>
  <c r="D30" i="88"/>
  <c r="D29" i="88"/>
  <c r="D28" i="88"/>
  <c r="D27" i="88"/>
  <c r="D26" i="88"/>
  <c r="D25" i="88"/>
  <c r="D24" i="88"/>
  <c r="D23" i="88"/>
  <c r="D22" i="88"/>
  <c r="D21" i="88"/>
  <c r="D20" i="88"/>
  <c r="D19" i="88"/>
  <c r="D18" i="88"/>
  <c r="D17" i="88"/>
  <c r="D16" i="88"/>
  <c r="D15" i="88"/>
  <c r="D14" i="88"/>
  <c r="D13" i="88"/>
  <c r="D12" i="88"/>
  <c r="D11" i="88"/>
  <c r="D10" i="88"/>
  <c r="D9" i="88"/>
  <c r="D8" i="88"/>
  <c r="D7" i="88"/>
  <c r="H6" i="88"/>
  <c r="G6" i="88"/>
  <c r="D44" i="87"/>
  <c r="D43" i="87"/>
  <c r="D42" i="87"/>
  <c r="D41" i="87"/>
  <c r="D40" i="87"/>
  <c r="D39" i="87"/>
  <c r="D38" i="87"/>
  <c r="D37" i="87"/>
  <c r="D36" i="87"/>
  <c r="D35" i="87"/>
  <c r="D34" i="87"/>
  <c r="D33" i="87"/>
  <c r="D32" i="87"/>
  <c r="D31" i="87"/>
  <c r="D30" i="87"/>
  <c r="D29" i="87"/>
  <c r="D28" i="87"/>
  <c r="D27" i="87"/>
  <c r="D26" i="87"/>
  <c r="D25" i="87"/>
  <c r="D24" i="87"/>
  <c r="D23" i="87"/>
  <c r="D22" i="87"/>
  <c r="D21" i="87"/>
  <c r="D20" i="87"/>
  <c r="D19" i="87"/>
  <c r="D18" i="87"/>
  <c r="D17" i="87"/>
  <c r="D16" i="87"/>
  <c r="D15" i="87"/>
  <c r="D14" i="87"/>
  <c r="D13" i="87"/>
  <c r="D12" i="87"/>
  <c r="D11" i="87"/>
  <c r="D10" i="87"/>
  <c r="D9" i="87"/>
  <c r="D8" i="87"/>
  <c r="D7" i="87"/>
  <c r="H6" i="87"/>
  <c r="G6" i="87"/>
  <c r="J6" i="87" s="1"/>
  <c r="D44" i="86"/>
  <c r="D43" i="86"/>
  <c r="D42" i="86"/>
  <c r="D41" i="86"/>
  <c r="D40" i="86"/>
  <c r="D39" i="86"/>
  <c r="D38" i="86"/>
  <c r="D37" i="86"/>
  <c r="D36" i="86"/>
  <c r="D35" i="86"/>
  <c r="D34" i="86"/>
  <c r="D33" i="86"/>
  <c r="D32" i="86"/>
  <c r="D31" i="86"/>
  <c r="D30" i="86"/>
  <c r="D29" i="86"/>
  <c r="D28" i="86"/>
  <c r="D27" i="86"/>
  <c r="D26" i="86"/>
  <c r="D25" i="86"/>
  <c r="D24" i="86"/>
  <c r="D23" i="86"/>
  <c r="D22" i="86"/>
  <c r="D21" i="86"/>
  <c r="D20" i="86"/>
  <c r="D19" i="86"/>
  <c r="D18" i="86"/>
  <c r="D17" i="86"/>
  <c r="D16" i="86"/>
  <c r="D15" i="86"/>
  <c r="D14" i="86"/>
  <c r="D13" i="86"/>
  <c r="D12" i="86"/>
  <c r="D11" i="86"/>
  <c r="D10" i="86"/>
  <c r="D9" i="86"/>
  <c r="D8" i="86"/>
  <c r="D7" i="86"/>
  <c r="H6" i="86"/>
  <c r="G6" i="86"/>
  <c r="J6" i="86" s="1"/>
  <c r="D44" i="85"/>
  <c r="D43" i="85"/>
  <c r="D42" i="85"/>
  <c r="D41" i="85"/>
  <c r="D40" i="85"/>
  <c r="D39" i="85"/>
  <c r="D38" i="85"/>
  <c r="D37" i="85"/>
  <c r="D36" i="85"/>
  <c r="D35" i="85"/>
  <c r="D34" i="85"/>
  <c r="D33" i="85"/>
  <c r="D32" i="85"/>
  <c r="D31" i="85"/>
  <c r="D30" i="85"/>
  <c r="D29" i="85"/>
  <c r="D28" i="85"/>
  <c r="D27" i="85"/>
  <c r="D26" i="85"/>
  <c r="D25" i="85"/>
  <c r="D24" i="85"/>
  <c r="D23" i="85"/>
  <c r="D22" i="85"/>
  <c r="D21" i="85"/>
  <c r="D20" i="85"/>
  <c r="D19" i="85"/>
  <c r="D18" i="85"/>
  <c r="D17" i="85"/>
  <c r="D16" i="85"/>
  <c r="D15" i="85"/>
  <c r="D14" i="85"/>
  <c r="D13" i="85"/>
  <c r="D12" i="85"/>
  <c r="D11" i="85"/>
  <c r="D10" i="85"/>
  <c r="D9" i="85"/>
  <c r="D8" i="85"/>
  <c r="D7" i="85"/>
  <c r="H6" i="85"/>
  <c r="G6" i="85"/>
  <c r="D44" i="84"/>
  <c r="D43" i="84"/>
  <c r="D42" i="84"/>
  <c r="D41" i="84"/>
  <c r="D40" i="84"/>
  <c r="D39" i="84"/>
  <c r="D38" i="84"/>
  <c r="D37" i="84"/>
  <c r="D36" i="84"/>
  <c r="D35" i="84"/>
  <c r="D34" i="84"/>
  <c r="D33" i="84"/>
  <c r="D32" i="84"/>
  <c r="D31" i="84"/>
  <c r="D30" i="84"/>
  <c r="D29" i="84"/>
  <c r="D28" i="84"/>
  <c r="D27" i="84"/>
  <c r="D26" i="84"/>
  <c r="D25" i="84"/>
  <c r="D24" i="84"/>
  <c r="D23" i="84"/>
  <c r="D22" i="84"/>
  <c r="D21" i="84"/>
  <c r="D20" i="84"/>
  <c r="D19" i="84"/>
  <c r="D18" i="84"/>
  <c r="D17" i="84"/>
  <c r="D16" i="84"/>
  <c r="D15" i="84"/>
  <c r="D14" i="84"/>
  <c r="D13" i="84"/>
  <c r="D12" i="84"/>
  <c r="D11" i="84"/>
  <c r="D10" i="84"/>
  <c r="D9" i="84"/>
  <c r="D8" i="84"/>
  <c r="D7" i="84"/>
  <c r="H6" i="84"/>
  <c r="G6" i="84"/>
  <c r="J6" i="84" s="1"/>
  <c r="D44" i="83"/>
  <c r="D43" i="83"/>
  <c r="D42" i="83"/>
  <c r="D41" i="83"/>
  <c r="D40" i="83"/>
  <c r="D39" i="83"/>
  <c r="D38" i="83"/>
  <c r="D37" i="83"/>
  <c r="D36" i="83"/>
  <c r="D35" i="83"/>
  <c r="D34" i="83"/>
  <c r="D33" i="83"/>
  <c r="D32" i="83"/>
  <c r="D31" i="83"/>
  <c r="D30" i="83"/>
  <c r="D29" i="83"/>
  <c r="D28" i="83"/>
  <c r="D27" i="83"/>
  <c r="D26" i="83"/>
  <c r="D25" i="83"/>
  <c r="D24" i="83"/>
  <c r="D23" i="83"/>
  <c r="D22" i="83"/>
  <c r="D21" i="83"/>
  <c r="D20" i="83"/>
  <c r="D19" i="83"/>
  <c r="D18" i="83"/>
  <c r="D17" i="83"/>
  <c r="D16" i="83"/>
  <c r="D15" i="83"/>
  <c r="D14" i="83"/>
  <c r="D13" i="83"/>
  <c r="D12" i="83"/>
  <c r="D11" i="83"/>
  <c r="D10" i="83"/>
  <c r="D9" i="83"/>
  <c r="D8" i="83"/>
  <c r="D7" i="83"/>
  <c r="H6" i="83"/>
  <c r="G6" i="83"/>
  <c r="J6" i="83" s="1"/>
  <c r="D44" i="82"/>
  <c r="D43" i="82"/>
  <c r="D42" i="82"/>
  <c r="D41" i="82"/>
  <c r="D40" i="82"/>
  <c r="D39" i="82"/>
  <c r="D38" i="82"/>
  <c r="D37" i="82"/>
  <c r="D36" i="82"/>
  <c r="D35" i="82"/>
  <c r="D34" i="82"/>
  <c r="D33" i="82"/>
  <c r="D32" i="82"/>
  <c r="D31" i="82"/>
  <c r="D30" i="82"/>
  <c r="D29" i="82"/>
  <c r="D28" i="82"/>
  <c r="D27" i="82"/>
  <c r="D26" i="82"/>
  <c r="D25" i="82"/>
  <c r="D24" i="82"/>
  <c r="D23" i="82"/>
  <c r="D22" i="82"/>
  <c r="D21" i="82"/>
  <c r="D20" i="82"/>
  <c r="D19" i="82"/>
  <c r="D18" i="82"/>
  <c r="D17" i="82"/>
  <c r="D16" i="82"/>
  <c r="D15" i="82"/>
  <c r="D14" i="82"/>
  <c r="D13" i="82"/>
  <c r="D12" i="82"/>
  <c r="D11" i="82"/>
  <c r="D10" i="82"/>
  <c r="D9" i="82"/>
  <c r="D8" i="82"/>
  <c r="D7" i="82"/>
  <c r="H6" i="82"/>
  <c r="G6" i="82"/>
  <c r="J6" i="82" s="1"/>
  <c r="D44" i="81"/>
  <c r="D43" i="81"/>
  <c r="D42" i="81"/>
  <c r="D41" i="81"/>
  <c r="D40" i="81"/>
  <c r="D39" i="81"/>
  <c r="D38" i="81"/>
  <c r="D37" i="81"/>
  <c r="D36" i="81"/>
  <c r="D35" i="81"/>
  <c r="D34" i="81"/>
  <c r="D33" i="81"/>
  <c r="D32" i="81"/>
  <c r="D31" i="81"/>
  <c r="D30" i="81"/>
  <c r="D29" i="81"/>
  <c r="D28" i="81"/>
  <c r="D27" i="81"/>
  <c r="D26" i="81"/>
  <c r="D25" i="81"/>
  <c r="D24" i="81"/>
  <c r="D23" i="81"/>
  <c r="D22" i="81"/>
  <c r="D21" i="81"/>
  <c r="D20" i="81"/>
  <c r="D19" i="81"/>
  <c r="D18" i="81"/>
  <c r="D17" i="81"/>
  <c r="D16" i="81"/>
  <c r="D15" i="81"/>
  <c r="D14" i="81"/>
  <c r="D13" i="81"/>
  <c r="D12" i="81"/>
  <c r="D11" i="81"/>
  <c r="D10" i="81"/>
  <c r="D9" i="81"/>
  <c r="D8" i="81"/>
  <c r="D7" i="81"/>
  <c r="H6" i="81"/>
  <c r="G6" i="81"/>
  <c r="D44" i="80"/>
  <c r="D43" i="80"/>
  <c r="D42" i="80"/>
  <c r="D41" i="80"/>
  <c r="D40" i="80"/>
  <c r="D39" i="80"/>
  <c r="D38" i="80"/>
  <c r="D37" i="80"/>
  <c r="D36" i="80"/>
  <c r="D35" i="80"/>
  <c r="D34" i="80"/>
  <c r="D33" i="80"/>
  <c r="D32" i="80"/>
  <c r="D31" i="80"/>
  <c r="D30" i="80"/>
  <c r="D29" i="80"/>
  <c r="D28" i="80"/>
  <c r="D27" i="80"/>
  <c r="D26" i="80"/>
  <c r="D25" i="80"/>
  <c r="D24" i="80"/>
  <c r="D23" i="80"/>
  <c r="D22" i="80"/>
  <c r="D21" i="80"/>
  <c r="D20" i="80"/>
  <c r="D19" i="80"/>
  <c r="D18" i="80"/>
  <c r="D17" i="80"/>
  <c r="D16" i="80"/>
  <c r="D15" i="80"/>
  <c r="D14" i="80"/>
  <c r="D13" i="80"/>
  <c r="D12" i="80"/>
  <c r="D11" i="80"/>
  <c r="D10" i="80"/>
  <c r="D9" i="80"/>
  <c r="D8" i="80"/>
  <c r="D7" i="80"/>
  <c r="H6" i="80"/>
  <c r="G6" i="80"/>
  <c r="J6" i="101"/>
  <c r="L6" i="101" s="1"/>
  <c r="B96" i="64" s="1"/>
  <c r="J6" i="99"/>
  <c r="C94" i="64"/>
  <c r="E94" i="64" s="1"/>
  <c r="J6" i="98"/>
  <c r="L6" i="98"/>
  <c r="B93" i="64" s="1"/>
  <c r="J6" i="97"/>
  <c r="L6" i="97"/>
  <c r="B92" i="64" s="1"/>
  <c r="J6" i="96"/>
  <c r="L6" i="96" s="1"/>
  <c r="B91" i="64" s="1"/>
  <c r="J6" i="95"/>
  <c r="L6" i="95"/>
  <c r="B90" i="64"/>
  <c r="J6" i="94"/>
  <c r="C89" i="64" s="1"/>
  <c r="E89" i="64" s="1"/>
  <c r="L6" i="94"/>
  <c r="B89" i="64" s="1"/>
  <c r="J6" i="92"/>
  <c r="L6" i="92" s="1"/>
  <c r="B87" i="64" s="1"/>
  <c r="J6" i="90"/>
  <c r="J6" i="89"/>
  <c r="C84" i="64" s="1"/>
  <c r="E84" i="64" s="1"/>
  <c r="J6" i="88"/>
  <c r="L6" i="88"/>
  <c r="B83" i="64"/>
  <c r="J6" i="85"/>
  <c r="L6" i="85" s="1"/>
  <c r="B80" i="64" s="1"/>
  <c r="J6" i="81"/>
  <c r="L6" i="81"/>
  <c r="B76" i="64" s="1"/>
  <c r="J6" i="80"/>
  <c r="C75" i="64" s="1"/>
  <c r="E75" i="64" s="1"/>
  <c r="L6" i="80"/>
  <c r="B75" i="64" s="1"/>
  <c r="D17" i="73"/>
  <c r="L6" i="99"/>
  <c r="B94" i="64" s="1"/>
  <c r="C93" i="64"/>
  <c r="E93" i="64" s="1"/>
  <c r="C92" i="64"/>
  <c r="E92" i="64" s="1"/>
  <c r="C91" i="64"/>
  <c r="E91" i="64" s="1"/>
  <c r="C90" i="64"/>
  <c r="E90" i="64" s="1"/>
  <c r="L6" i="90"/>
  <c r="B85" i="64" s="1"/>
  <c r="C85" i="64"/>
  <c r="E85" i="64"/>
  <c r="L6" i="89"/>
  <c r="B84" i="64" s="1"/>
  <c r="C83" i="64"/>
  <c r="E83" i="64" s="1"/>
  <c r="C80" i="64"/>
  <c r="E80" i="64" s="1"/>
  <c r="C76" i="64"/>
  <c r="E76" i="64" s="1"/>
  <c r="K1" i="78"/>
  <c r="K1" i="77"/>
  <c r="K1" i="76"/>
  <c r="K1" i="75"/>
  <c r="K1" i="74"/>
  <c r="K1" i="73"/>
  <c r="D9" i="71"/>
  <c r="D44" i="78"/>
  <c r="D43" i="78"/>
  <c r="D42" i="78"/>
  <c r="D41" i="78"/>
  <c r="D40" i="78"/>
  <c r="D39" i="78"/>
  <c r="D38" i="78"/>
  <c r="D37" i="78"/>
  <c r="D36" i="78"/>
  <c r="D35" i="78"/>
  <c r="D34" i="78"/>
  <c r="D33" i="78"/>
  <c r="D32" i="78"/>
  <c r="D31" i="78"/>
  <c r="D30" i="78"/>
  <c r="D29" i="78"/>
  <c r="D28" i="78"/>
  <c r="D27" i="78"/>
  <c r="D26" i="78"/>
  <c r="D25" i="78"/>
  <c r="D24" i="78"/>
  <c r="D23" i="78"/>
  <c r="D22" i="78"/>
  <c r="D21" i="78"/>
  <c r="D20" i="78"/>
  <c r="D19" i="78"/>
  <c r="D18" i="78"/>
  <c r="D17" i="78"/>
  <c r="D16" i="78"/>
  <c r="D15" i="78"/>
  <c r="D14" i="78"/>
  <c r="D13" i="78"/>
  <c r="D12" i="78"/>
  <c r="D11" i="78"/>
  <c r="D10" i="78"/>
  <c r="D9" i="78"/>
  <c r="D8" i="78"/>
  <c r="D7" i="78"/>
  <c r="H6" i="78"/>
  <c r="G6" i="78"/>
  <c r="D44" i="77"/>
  <c r="D43" i="77"/>
  <c r="D42" i="77"/>
  <c r="D41" i="77"/>
  <c r="D40" i="77"/>
  <c r="D39" i="77"/>
  <c r="D38" i="77"/>
  <c r="D37" i="77"/>
  <c r="D36" i="77"/>
  <c r="D35" i="77"/>
  <c r="D34" i="77"/>
  <c r="D33" i="77"/>
  <c r="D32" i="77"/>
  <c r="D31" i="77"/>
  <c r="D30" i="77"/>
  <c r="D29" i="77"/>
  <c r="D28" i="77"/>
  <c r="D27" i="77"/>
  <c r="D26" i="77"/>
  <c r="D25" i="77"/>
  <c r="D24" i="77"/>
  <c r="D23" i="77"/>
  <c r="D22" i="77"/>
  <c r="D21" i="77"/>
  <c r="D20" i="77"/>
  <c r="D19" i="77"/>
  <c r="D18" i="77"/>
  <c r="D17" i="77"/>
  <c r="D16" i="77"/>
  <c r="D15" i="77"/>
  <c r="D14" i="77"/>
  <c r="D13" i="77"/>
  <c r="D11" i="77"/>
  <c r="D12" i="77"/>
  <c r="D10" i="77"/>
  <c r="D9" i="77"/>
  <c r="D8" i="77"/>
  <c r="D7" i="77"/>
  <c r="H6" i="77"/>
  <c r="G6" i="77"/>
  <c r="J6" i="77" s="1"/>
  <c r="D44" i="76"/>
  <c r="D43" i="76"/>
  <c r="D42" i="76"/>
  <c r="D41" i="76"/>
  <c r="D40" i="76"/>
  <c r="D39" i="76"/>
  <c r="D38" i="76"/>
  <c r="D37" i="76"/>
  <c r="D36" i="76"/>
  <c r="D35" i="76"/>
  <c r="D34" i="76"/>
  <c r="D33" i="76"/>
  <c r="D32" i="76"/>
  <c r="D31" i="76"/>
  <c r="D30" i="76"/>
  <c r="D29" i="76"/>
  <c r="D28" i="76"/>
  <c r="D27" i="76"/>
  <c r="D26" i="76"/>
  <c r="D25" i="76"/>
  <c r="D23" i="76"/>
  <c r="D22" i="76"/>
  <c r="D21" i="76"/>
  <c r="D20" i="76"/>
  <c r="D19" i="76"/>
  <c r="D18" i="76"/>
  <c r="D17" i="76"/>
  <c r="D16" i="76"/>
  <c r="D15" i="76"/>
  <c r="D14" i="76"/>
  <c r="D13" i="76"/>
  <c r="D12" i="76"/>
  <c r="D11" i="76"/>
  <c r="D10" i="76"/>
  <c r="D9" i="76"/>
  <c r="D8" i="76"/>
  <c r="D7" i="76"/>
  <c r="H6" i="76"/>
  <c r="G6" i="76"/>
  <c r="J6" i="76" s="1"/>
  <c r="D44" i="75"/>
  <c r="D43" i="75"/>
  <c r="D42" i="75"/>
  <c r="D41" i="75"/>
  <c r="D40" i="75"/>
  <c r="D39" i="75"/>
  <c r="D38" i="75"/>
  <c r="D37" i="75"/>
  <c r="D36" i="75"/>
  <c r="D35" i="75"/>
  <c r="D34" i="75"/>
  <c r="D33" i="75"/>
  <c r="D32" i="75"/>
  <c r="D31" i="75"/>
  <c r="D30" i="75"/>
  <c r="D29" i="75"/>
  <c r="D28" i="75"/>
  <c r="D27" i="75"/>
  <c r="D26" i="75"/>
  <c r="D25" i="75"/>
  <c r="D24" i="75"/>
  <c r="D23" i="75"/>
  <c r="D22" i="75"/>
  <c r="D21" i="75"/>
  <c r="D20" i="75"/>
  <c r="D19" i="75"/>
  <c r="D18" i="75"/>
  <c r="D17" i="75"/>
  <c r="D16" i="75"/>
  <c r="D15" i="75"/>
  <c r="D14" i="75"/>
  <c r="D13" i="75"/>
  <c r="D12" i="75"/>
  <c r="D11" i="75"/>
  <c r="D10" i="75"/>
  <c r="D9" i="75"/>
  <c r="D8" i="75"/>
  <c r="D7" i="75"/>
  <c r="H6" i="75"/>
  <c r="G6" i="75"/>
  <c r="D44" i="74"/>
  <c r="D43" i="74"/>
  <c r="D42" i="74"/>
  <c r="D41" i="74"/>
  <c r="D40" i="74"/>
  <c r="D39" i="74"/>
  <c r="D38" i="74"/>
  <c r="D37" i="74"/>
  <c r="D36" i="74"/>
  <c r="D35" i="74"/>
  <c r="D34" i="74"/>
  <c r="D33" i="74"/>
  <c r="D32" i="74"/>
  <c r="D31" i="74"/>
  <c r="D30" i="74"/>
  <c r="D29" i="74"/>
  <c r="D28" i="74"/>
  <c r="D27" i="74"/>
  <c r="D26" i="74"/>
  <c r="D25" i="74"/>
  <c r="D24" i="74"/>
  <c r="D23" i="74"/>
  <c r="D22" i="74"/>
  <c r="D21" i="74"/>
  <c r="D20" i="74"/>
  <c r="D19" i="74"/>
  <c r="D18" i="74"/>
  <c r="D17" i="74"/>
  <c r="D16" i="74"/>
  <c r="D15" i="74"/>
  <c r="D14" i="74"/>
  <c r="D13" i="74"/>
  <c r="D12" i="74"/>
  <c r="D11" i="74"/>
  <c r="D10" i="74"/>
  <c r="D9" i="74"/>
  <c r="D8" i="74"/>
  <c r="D7" i="74"/>
  <c r="H6" i="74"/>
  <c r="G6" i="74"/>
  <c r="D44" i="73"/>
  <c r="D43" i="73"/>
  <c r="D42" i="73"/>
  <c r="D41" i="73"/>
  <c r="D40" i="73"/>
  <c r="D39" i="73"/>
  <c r="D38" i="73"/>
  <c r="D37" i="73"/>
  <c r="D36" i="73"/>
  <c r="D35" i="73"/>
  <c r="D34" i="73"/>
  <c r="D33" i="73"/>
  <c r="D32" i="73"/>
  <c r="D31" i="73"/>
  <c r="D30" i="73"/>
  <c r="D29" i="73"/>
  <c r="D28" i="73"/>
  <c r="D27" i="73"/>
  <c r="D26" i="73"/>
  <c r="D25" i="73"/>
  <c r="D24" i="73"/>
  <c r="D23" i="73"/>
  <c r="D22" i="73"/>
  <c r="D21" i="73"/>
  <c r="D20" i="73"/>
  <c r="D19" i="73"/>
  <c r="D18" i="73"/>
  <c r="D16" i="73"/>
  <c r="D15" i="73"/>
  <c r="D14" i="73"/>
  <c r="D13" i="73"/>
  <c r="D12" i="73"/>
  <c r="D11" i="73"/>
  <c r="D10" i="73"/>
  <c r="D9" i="73"/>
  <c r="D8" i="73"/>
  <c r="D7" i="73"/>
  <c r="H6" i="73"/>
  <c r="G6" i="73"/>
  <c r="D44" i="72"/>
  <c r="D43" i="72"/>
  <c r="D42" i="72"/>
  <c r="D41" i="72"/>
  <c r="D40" i="72"/>
  <c r="D39" i="72"/>
  <c r="D38" i="72"/>
  <c r="D37" i="72"/>
  <c r="D36" i="72"/>
  <c r="D35" i="72"/>
  <c r="D34" i="72"/>
  <c r="D33" i="72"/>
  <c r="D32" i="72"/>
  <c r="D31" i="72"/>
  <c r="D30" i="72"/>
  <c r="D29" i="72"/>
  <c r="D28" i="72"/>
  <c r="D27" i="72"/>
  <c r="D26" i="72"/>
  <c r="D25" i="72"/>
  <c r="D24" i="72"/>
  <c r="D23" i="72"/>
  <c r="D22" i="72"/>
  <c r="D21" i="72"/>
  <c r="D20" i="72"/>
  <c r="D19" i="72"/>
  <c r="D18" i="72"/>
  <c r="D17" i="72"/>
  <c r="D16" i="72"/>
  <c r="D15" i="72"/>
  <c r="D14" i="72"/>
  <c r="D13" i="72"/>
  <c r="D12" i="72"/>
  <c r="D11" i="72"/>
  <c r="D10" i="72"/>
  <c r="D9" i="72"/>
  <c r="D8" i="72"/>
  <c r="D7" i="72"/>
  <c r="H6" i="72"/>
  <c r="G6" i="72"/>
  <c r="J6" i="72" s="1"/>
  <c r="K1" i="72"/>
  <c r="D45" i="71"/>
  <c r="D44" i="71"/>
  <c r="D43" i="71"/>
  <c r="D42" i="71"/>
  <c r="D41" i="71"/>
  <c r="D40" i="71"/>
  <c r="D39" i="71"/>
  <c r="D38" i="71"/>
  <c r="D37" i="71"/>
  <c r="D36" i="71"/>
  <c r="D35" i="71"/>
  <c r="D34" i="71"/>
  <c r="D33" i="71"/>
  <c r="D32" i="71"/>
  <c r="D31" i="71"/>
  <c r="D30" i="71"/>
  <c r="D29" i="71"/>
  <c r="D28" i="71"/>
  <c r="D27" i="71"/>
  <c r="D26" i="71"/>
  <c r="D25" i="71"/>
  <c r="D24" i="71"/>
  <c r="D23" i="71"/>
  <c r="D22" i="71"/>
  <c r="D21" i="71"/>
  <c r="D20" i="71"/>
  <c r="D19" i="71"/>
  <c r="D18" i="71"/>
  <c r="D17" i="71"/>
  <c r="D16" i="71"/>
  <c r="D15" i="71"/>
  <c r="D14" i="71"/>
  <c r="D13" i="71"/>
  <c r="D12" i="71"/>
  <c r="D11" i="71"/>
  <c r="D10" i="71"/>
  <c r="D8" i="71"/>
  <c r="D7" i="71"/>
  <c r="H6" i="71"/>
  <c r="G6" i="71"/>
  <c r="J6" i="71" s="1"/>
  <c r="K1" i="71"/>
  <c r="D44" i="70"/>
  <c r="D43" i="70"/>
  <c r="D42" i="70"/>
  <c r="D41" i="70"/>
  <c r="D40" i="70"/>
  <c r="D39" i="70"/>
  <c r="D38" i="70"/>
  <c r="D37" i="70"/>
  <c r="D36" i="70"/>
  <c r="D35" i="70"/>
  <c r="D34" i="70"/>
  <c r="D33" i="70"/>
  <c r="D32" i="70"/>
  <c r="D31" i="70"/>
  <c r="D30" i="70"/>
  <c r="D29" i="70"/>
  <c r="D28" i="70"/>
  <c r="D27" i="70"/>
  <c r="D26" i="70"/>
  <c r="D25" i="70"/>
  <c r="D24" i="70"/>
  <c r="D23" i="70"/>
  <c r="D22" i="70"/>
  <c r="D21" i="70"/>
  <c r="D20" i="70"/>
  <c r="D19" i="70"/>
  <c r="D18" i="70"/>
  <c r="D17" i="70"/>
  <c r="D16" i="70"/>
  <c r="D15" i="70"/>
  <c r="D14" i="70"/>
  <c r="D13" i="70"/>
  <c r="D12" i="70"/>
  <c r="D11" i="70"/>
  <c r="D10" i="70"/>
  <c r="D9" i="70"/>
  <c r="D8" i="70"/>
  <c r="D7" i="70"/>
  <c r="H6" i="70"/>
  <c r="G6" i="70"/>
  <c r="K1" i="70"/>
  <c r="D44" i="69"/>
  <c r="D43" i="69"/>
  <c r="D42" i="69"/>
  <c r="D41" i="69"/>
  <c r="D40" i="69"/>
  <c r="D39" i="69"/>
  <c r="D38" i="69"/>
  <c r="D37" i="69"/>
  <c r="D36" i="69"/>
  <c r="D35" i="69"/>
  <c r="D34" i="69"/>
  <c r="D33" i="69"/>
  <c r="D32" i="69"/>
  <c r="D31" i="69"/>
  <c r="D30" i="69"/>
  <c r="D29" i="69"/>
  <c r="D28" i="69"/>
  <c r="D27" i="69"/>
  <c r="D26" i="69"/>
  <c r="D25" i="69"/>
  <c r="D24" i="69"/>
  <c r="D23" i="69"/>
  <c r="D22" i="69"/>
  <c r="D21" i="69"/>
  <c r="D20" i="69"/>
  <c r="D19" i="69"/>
  <c r="D18" i="69"/>
  <c r="D17" i="69"/>
  <c r="D16" i="69"/>
  <c r="D15" i="69"/>
  <c r="D14" i="69"/>
  <c r="D13" i="69"/>
  <c r="D12" i="69"/>
  <c r="D11" i="69"/>
  <c r="D10" i="69"/>
  <c r="D9" i="69"/>
  <c r="D8" i="69"/>
  <c r="D7" i="69"/>
  <c r="H6" i="69"/>
  <c r="G6" i="69"/>
  <c r="J6" i="69" s="1"/>
  <c r="K1" i="69"/>
  <c r="G6" i="67"/>
  <c r="C10" i="67"/>
  <c r="H6" i="67" s="1"/>
  <c r="K1" i="67"/>
  <c r="G6" i="65"/>
  <c r="J6" i="65" s="1"/>
  <c r="H6" i="65"/>
  <c r="K1" i="65"/>
  <c r="J6" i="78"/>
  <c r="C74" i="64" s="1"/>
  <c r="L6" i="78"/>
  <c r="B74" i="64" s="1"/>
  <c r="J6" i="75"/>
  <c r="C71" i="64" s="1"/>
  <c r="E71" i="64" s="1"/>
  <c r="J6" i="74"/>
  <c r="L6" i="74" s="1"/>
  <c r="B70" i="64" s="1"/>
  <c r="J6" i="73"/>
  <c r="C69" i="64" s="1"/>
  <c r="E69" i="64" s="1"/>
  <c r="J6" i="70"/>
  <c r="L6" i="70" s="1"/>
  <c r="B66" i="64" s="1"/>
  <c r="L6" i="73"/>
  <c r="B69" i="64" s="1"/>
  <c r="D10" i="67"/>
  <c r="D9" i="65"/>
  <c r="D44" i="68"/>
  <c r="D43" i="68"/>
  <c r="D42" i="68"/>
  <c r="D41" i="68"/>
  <c r="D40" i="68"/>
  <c r="D39" i="68"/>
  <c r="D38" i="68"/>
  <c r="D37" i="68"/>
  <c r="D36" i="68"/>
  <c r="D35" i="68"/>
  <c r="D34" i="68"/>
  <c r="D33" i="68"/>
  <c r="D32" i="68"/>
  <c r="D31" i="68"/>
  <c r="D30" i="68"/>
  <c r="D29" i="68"/>
  <c r="D28" i="68"/>
  <c r="D27" i="68"/>
  <c r="D26" i="68"/>
  <c r="D25" i="68"/>
  <c r="D24" i="68"/>
  <c r="D23" i="68"/>
  <c r="D22" i="68"/>
  <c r="D21" i="68"/>
  <c r="D20" i="68"/>
  <c r="D19" i="68"/>
  <c r="D18" i="68"/>
  <c r="D17" i="68"/>
  <c r="D16" i="68"/>
  <c r="D15" i="68"/>
  <c r="D14" i="68"/>
  <c r="D13" i="68"/>
  <c r="D12" i="68"/>
  <c r="D11" i="68"/>
  <c r="D10" i="68"/>
  <c r="D9" i="68"/>
  <c r="D8" i="68"/>
  <c r="D7" i="68"/>
  <c r="H6" i="68"/>
  <c r="G6" i="68"/>
  <c r="K1" i="68"/>
  <c r="D44" i="67"/>
  <c r="D43" i="67"/>
  <c r="D42" i="67"/>
  <c r="D41" i="67"/>
  <c r="D40" i="67"/>
  <c r="D39" i="67"/>
  <c r="D38" i="67"/>
  <c r="D37" i="67"/>
  <c r="D36" i="67"/>
  <c r="D35" i="67"/>
  <c r="D34" i="67"/>
  <c r="D33" i="67"/>
  <c r="D32" i="67"/>
  <c r="D31" i="67"/>
  <c r="D30" i="67"/>
  <c r="D29" i="67"/>
  <c r="D28" i="67"/>
  <c r="D27" i="67"/>
  <c r="D26" i="67"/>
  <c r="D25" i="67"/>
  <c r="D24" i="67"/>
  <c r="D23" i="67"/>
  <c r="D22" i="67"/>
  <c r="D21" i="67"/>
  <c r="D20" i="67"/>
  <c r="D19" i="67"/>
  <c r="D18" i="67"/>
  <c r="D17" i="67"/>
  <c r="D16" i="67"/>
  <c r="D15" i="67"/>
  <c r="D14" i="67"/>
  <c r="D13" i="67"/>
  <c r="D12" i="67"/>
  <c r="D11" i="67"/>
  <c r="D9" i="67"/>
  <c r="D8" i="67"/>
  <c r="D7" i="67"/>
  <c r="D7" i="63"/>
  <c r="D8" i="63"/>
  <c r="D9" i="63"/>
  <c r="D10" i="63"/>
  <c r="D11" i="63"/>
  <c r="D12" i="63"/>
  <c r="D13" i="63"/>
  <c r="D14" i="63"/>
  <c r="D15" i="63"/>
  <c r="D16" i="63"/>
  <c r="D17" i="63"/>
  <c r="D18" i="63"/>
  <c r="D19" i="63"/>
  <c r="D20" i="63"/>
  <c r="D21" i="63"/>
  <c r="D22" i="63"/>
  <c r="D23" i="63"/>
  <c r="D24" i="63"/>
  <c r="D25" i="63"/>
  <c r="D26" i="63"/>
  <c r="D27" i="63"/>
  <c r="D28" i="63"/>
  <c r="D29" i="63"/>
  <c r="D30" i="63"/>
  <c r="D31" i="63"/>
  <c r="D32" i="63"/>
  <c r="D33" i="63"/>
  <c r="D34" i="63"/>
  <c r="D35" i="63"/>
  <c r="D36" i="63"/>
  <c r="D37" i="63"/>
  <c r="D38" i="63"/>
  <c r="D39" i="63"/>
  <c r="D40" i="63"/>
  <c r="D41" i="63"/>
  <c r="D42" i="63"/>
  <c r="D43" i="63"/>
  <c r="D44" i="63"/>
  <c r="D7" i="62"/>
  <c r="D8" i="62"/>
  <c r="D9" i="62"/>
  <c r="D10" i="62"/>
  <c r="D11" i="62"/>
  <c r="D12" i="62"/>
  <c r="D13" i="62"/>
  <c r="D14" i="62"/>
  <c r="D15" i="62"/>
  <c r="D16" i="62"/>
  <c r="D17" i="62"/>
  <c r="D18" i="62"/>
  <c r="D19" i="62"/>
  <c r="D20" i="62"/>
  <c r="D21" i="62"/>
  <c r="D22" i="62"/>
  <c r="D23" i="62"/>
  <c r="D24" i="62"/>
  <c r="D25" i="62"/>
  <c r="D26" i="62"/>
  <c r="D27" i="62"/>
  <c r="D28" i="62"/>
  <c r="D29" i="62"/>
  <c r="D30" i="62"/>
  <c r="D31" i="62"/>
  <c r="D32" i="62"/>
  <c r="D33" i="62"/>
  <c r="D34" i="62"/>
  <c r="D35" i="62"/>
  <c r="D36" i="62"/>
  <c r="D37" i="62"/>
  <c r="D38" i="62"/>
  <c r="D39" i="62"/>
  <c r="D40" i="62"/>
  <c r="D41" i="62"/>
  <c r="D42" i="62"/>
  <c r="D43" i="62"/>
  <c r="D44" i="62"/>
  <c r="D7" i="61"/>
  <c r="D8" i="61"/>
  <c r="D9" i="61"/>
  <c r="D10" i="61"/>
  <c r="D11" i="61"/>
  <c r="D12" i="61"/>
  <c r="D13" i="61"/>
  <c r="D14" i="61"/>
  <c r="D15" i="61"/>
  <c r="D16" i="61"/>
  <c r="D17" i="61"/>
  <c r="D18" i="61"/>
  <c r="D19" i="61"/>
  <c r="D20" i="61"/>
  <c r="D21" i="61"/>
  <c r="D22" i="61"/>
  <c r="D23" i="61"/>
  <c r="D24" i="61"/>
  <c r="D25" i="61"/>
  <c r="D26" i="61"/>
  <c r="D27" i="61"/>
  <c r="D28" i="61"/>
  <c r="D29" i="61"/>
  <c r="D30" i="61"/>
  <c r="D31" i="61"/>
  <c r="D32" i="61"/>
  <c r="D33" i="61"/>
  <c r="D34" i="61"/>
  <c r="D35" i="61"/>
  <c r="D36" i="61"/>
  <c r="D37" i="61"/>
  <c r="D38" i="61"/>
  <c r="D39" i="61"/>
  <c r="D40" i="61"/>
  <c r="D41" i="61"/>
  <c r="D42" i="61"/>
  <c r="D43" i="61"/>
  <c r="D44" i="61"/>
  <c r="D7" i="60"/>
  <c r="D8" i="60"/>
  <c r="D9" i="60"/>
  <c r="D10" i="60"/>
  <c r="D11" i="60"/>
  <c r="D12" i="60"/>
  <c r="D13" i="60"/>
  <c r="D14" i="60"/>
  <c r="D15" i="60"/>
  <c r="D16" i="60"/>
  <c r="D17" i="60"/>
  <c r="D18" i="60"/>
  <c r="D19" i="60"/>
  <c r="D20" i="60"/>
  <c r="D21" i="60"/>
  <c r="D22" i="60"/>
  <c r="D23" i="60"/>
  <c r="D24" i="60"/>
  <c r="D25" i="60"/>
  <c r="D26" i="60"/>
  <c r="D27" i="60"/>
  <c r="D28" i="60"/>
  <c r="D29" i="60"/>
  <c r="D30" i="60"/>
  <c r="D31" i="60"/>
  <c r="D32" i="60"/>
  <c r="D33" i="60"/>
  <c r="D34" i="60"/>
  <c r="D35" i="60"/>
  <c r="D36" i="60"/>
  <c r="D37" i="60"/>
  <c r="D38" i="60"/>
  <c r="D39" i="60"/>
  <c r="D40" i="60"/>
  <c r="D41" i="60"/>
  <c r="D42" i="60"/>
  <c r="D43" i="60"/>
  <c r="D7" i="59"/>
  <c r="D8" i="59"/>
  <c r="D9" i="59"/>
  <c r="D10" i="59"/>
  <c r="D11" i="59"/>
  <c r="D12" i="59"/>
  <c r="D13" i="59"/>
  <c r="D14" i="59"/>
  <c r="D15" i="59"/>
  <c r="D16" i="59"/>
  <c r="D17" i="59"/>
  <c r="D18" i="59"/>
  <c r="D19" i="59"/>
  <c r="D20" i="59"/>
  <c r="D21" i="59"/>
  <c r="D22" i="59"/>
  <c r="D23" i="59"/>
  <c r="D24" i="59"/>
  <c r="D25" i="59"/>
  <c r="D26" i="59"/>
  <c r="D27" i="59"/>
  <c r="D28" i="59"/>
  <c r="D29" i="59"/>
  <c r="D30" i="59"/>
  <c r="D31" i="59"/>
  <c r="D32" i="59"/>
  <c r="D33" i="59"/>
  <c r="D34" i="59"/>
  <c r="D35" i="59"/>
  <c r="D36" i="59"/>
  <c r="D37" i="59"/>
  <c r="D38" i="59"/>
  <c r="D39" i="59"/>
  <c r="D40" i="59"/>
  <c r="D41" i="59"/>
  <c r="D42" i="59"/>
  <c r="D43" i="59"/>
  <c r="D44" i="59"/>
  <c r="D45" i="59"/>
  <c r="D7" i="58"/>
  <c r="D8" i="58"/>
  <c r="D9" i="58"/>
  <c r="D10" i="58"/>
  <c r="D11" i="58"/>
  <c r="D12" i="58"/>
  <c r="D13" i="58"/>
  <c r="D14" i="58"/>
  <c r="D15" i="58"/>
  <c r="D16" i="58"/>
  <c r="D17" i="58"/>
  <c r="D18" i="58"/>
  <c r="D19" i="58"/>
  <c r="D20" i="58"/>
  <c r="D21" i="58"/>
  <c r="D22" i="58"/>
  <c r="D23" i="58"/>
  <c r="D24" i="58"/>
  <c r="D25" i="58"/>
  <c r="D26" i="58"/>
  <c r="D27" i="58"/>
  <c r="D28" i="58"/>
  <c r="D29" i="58"/>
  <c r="D30" i="58"/>
  <c r="D31" i="58"/>
  <c r="D32" i="58"/>
  <c r="D33" i="58"/>
  <c r="D34" i="58"/>
  <c r="D35" i="58"/>
  <c r="D36" i="58"/>
  <c r="D37" i="58"/>
  <c r="D38" i="58"/>
  <c r="D39" i="58"/>
  <c r="D40" i="58"/>
  <c r="D41" i="58"/>
  <c r="D42" i="58"/>
  <c r="D43" i="58"/>
  <c r="D44" i="58"/>
  <c r="D7" i="57"/>
  <c r="D8" i="57"/>
  <c r="D9" i="57"/>
  <c r="D10" i="57"/>
  <c r="D11" i="57"/>
  <c r="D12" i="57"/>
  <c r="D13" i="57"/>
  <c r="D14" i="57"/>
  <c r="D15" i="57"/>
  <c r="D16" i="57"/>
  <c r="D17" i="57"/>
  <c r="D18" i="57"/>
  <c r="D19" i="57"/>
  <c r="D20" i="57"/>
  <c r="D21" i="57"/>
  <c r="D22" i="57"/>
  <c r="D23" i="57"/>
  <c r="D24" i="57"/>
  <c r="D25" i="57"/>
  <c r="D26" i="57"/>
  <c r="D27" i="57"/>
  <c r="D28" i="57"/>
  <c r="D29" i="57"/>
  <c r="D30" i="57"/>
  <c r="D31" i="57"/>
  <c r="D32" i="57"/>
  <c r="D33" i="57"/>
  <c r="D34" i="57"/>
  <c r="D35" i="57"/>
  <c r="D36" i="57"/>
  <c r="D37" i="57"/>
  <c r="D38" i="57"/>
  <c r="D39" i="57"/>
  <c r="D40" i="57"/>
  <c r="D41" i="57"/>
  <c r="D42" i="57"/>
  <c r="D43" i="57"/>
  <c r="D44" i="57"/>
  <c r="D45" i="57"/>
  <c r="D46" i="57"/>
  <c r="D47" i="57"/>
  <c r="D48" i="57"/>
  <c r="D49" i="57"/>
  <c r="D50" i="57"/>
  <c r="D51" i="57"/>
  <c r="D52" i="57"/>
  <c r="D53" i="57"/>
  <c r="D54" i="57"/>
  <c r="D55" i="57"/>
  <c r="D56" i="57"/>
  <c r="D57" i="57"/>
  <c r="D7" i="56"/>
  <c r="D8" i="56"/>
  <c r="D9" i="56"/>
  <c r="D10" i="56"/>
  <c r="D11" i="56"/>
  <c r="D12" i="56"/>
  <c r="D13" i="56"/>
  <c r="D14" i="56"/>
  <c r="D15" i="56"/>
  <c r="D16" i="56"/>
  <c r="D17" i="56"/>
  <c r="D18" i="56"/>
  <c r="D19" i="56"/>
  <c r="D20" i="56"/>
  <c r="D21" i="56"/>
  <c r="D22" i="56"/>
  <c r="D23" i="56"/>
  <c r="D24" i="56"/>
  <c r="D25" i="56"/>
  <c r="D26" i="56"/>
  <c r="D27" i="56"/>
  <c r="D28" i="56"/>
  <c r="D29" i="56"/>
  <c r="D30" i="56"/>
  <c r="D31" i="56"/>
  <c r="D32" i="56"/>
  <c r="D33" i="56"/>
  <c r="D34" i="56"/>
  <c r="D35" i="56"/>
  <c r="D36" i="56"/>
  <c r="D37" i="56"/>
  <c r="D38" i="56"/>
  <c r="D39" i="56"/>
  <c r="D40" i="56"/>
  <c r="D41" i="56"/>
  <c r="D42" i="56"/>
  <c r="D43" i="56"/>
  <c r="D44" i="56"/>
  <c r="D7" i="55"/>
  <c r="D8" i="55"/>
  <c r="D9" i="55"/>
  <c r="D10" i="55"/>
  <c r="D11" i="55"/>
  <c r="D12" i="55"/>
  <c r="D13" i="55"/>
  <c r="D14" i="55"/>
  <c r="D15" i="55"/>
  <c r="D16" i="55"/>
  <c r="D17" i="55"/>
  <c r="D18" i="55"/>
  <c r="D19" i="55"/>
  <c r="D20" i="55"/>
  <c r="D21" i="55"/>
  <c r="D22" i="55"/>
  <c r="D23" i="55"/>
  <c r="D24" i="55"/>
  <c r="D25" i="55"/>
  <c r="D26" i="55"/>
  <c r="D27" i="55"/>
  <c r="D28" i="55"/>
  <c r="D29" i="55"/>
  <c r="D30" i="55"/>
  <c r="D31" i="55"/>
  <c r="D32" i="55"/>
  <c r="D33" i="55"/>
  <c r="D34" i="55"/>
  <c r="D35" i="55"/>
  <c r="D36" i="55"/>
  <c r="D37" i="55"/>
  <c r="D38" i="55"/>
  <c r="D39" i="55"/>
  <c r="D40" i="55"/>
  <c r="D41" i="55"/>
  <c r="D42" i="55"/>
  <c r="D43" i="55"/>
  <c r="D44" i="55"/>
  <c r="D7" i="54"/>
  <c r="D8" i="54"/>
  <c r="D9" i="54"/>
  <c r="D10" i="54"/>
  <c r="D11" i="54"/>
  <c r="D12" i="54"/>
  <c r="D13" i="54"/>
  <c r="D14" i="54"/>
  <c r="D15" i="54"/>
  <c r="D16" i="54"/>
  <c r="D17" i="54"/>
  <c r="D18" i="54"/>
  <c r="D19" i="54"/>
  <c r="D20" i="54"/>
  <c r="D21" i="54"/>
  <c r="C22" i="54"/>
  <c r="D22" i="54"/>
  <c r="D23" i="54"/>
  <c r="D24" i="54"/>
  <c r="D25" i="54"/>
  <c r="D26" i="54"/>
  <c r="D27" i="54"/>
  <c r="D28" i="54"/>
  <c r="D29" i="54"/>
  <c r="D30" i="54"/>
  <c r="D31" i="54"/>
  <c r="D32" i="54"/>
  <c r="D33" i="54"/>
  <c r="D34" i="54"/>
  <c r="D35" i="54"/>
  <c r="D36" i="54"/>
  <c r="D37" i="54"/>
  <c r="D38" i="54"/>
  <c r="D39" i="54"/>
  <c r="D40" i="54"/>
  <c r="D41" i="54"/>
  <c r="D42" i="54"/>
  <c r="D43" i="54"/>
  <c r="D44" i="54"/>
  <c r="D7" i="53"/>
  <c r="D8" i="53"/>
  <c r="D9" i="53"/>
  <c r="D10" i="53"/>
  <c r="D11" i="53"/>
  <c r="D12" i="53"/>
  <c r="D13" i="53"/>
  <c r="D14" i="53"/>
  <c r="D15" i="53"/>
  <c r="D16" i="53"/>
  <c r="D17" i="53"/>
  <c r="D18" i="53"/>
  <c r="D19" i="53"/>
  <c r="D20" i="53"/>
  <c r="D21" i="53"/>
  <c r="D22" i="53"/>
  <c r="D23" i="53"/>
  <c r="D24" i="53"/>
  <c r="D25" i="53"/>
  <c r="D26" i="53"/>
  <c r="D27" i="53"/>
  <c r="D28" i="53"/>
  <c r="D29" i="53"/>
  <c r="D30" i="53"/>
  <c r="D31" i="53"/>
  <c r="D32" i="53"/>
  <c r="D33" i="53"/>
  <c r="D34" i="53"/>
  <c r="D35" i="53"/>
  <c r="D36" i="53"/>
  <c r="D37" i="53"/>
  <c r="D38" i="53"/>
  <c r="D39" i="53"/>
  <c r="D40" i="53"/>
  <c r="D41" i="53"/>
  <c r="D42" i="53"/>
  <c r="D43" i="53"/>
  <c r="D44" i="53"/>
  <c r="D7" i="52"/>
  <c r="D8" i="52"/>
  <c r="D9" i="52"/>
  <c r="D10" i="52"/>
  <c r="D11" i="52"/>
  <c r="D12" i="52"/>
  <c r="D13" i="52"/>
  <c r="D14" i="52"/>
  <c r="D15" i="52"/>
  <c r="D16" i="52"/>
  <c r="D17" i="52"/>
  <c r="D18" i="52"/>
  <c r="D19" i="52"/>
  <c r="D20" i="52"/>
  <c r="D21" i="52"/>
  <c r="D22" i="52"/>
  <c r="D23" i="52"/>
  <c r="D24" i="52"/>
  <c r="D25" i="52"/>
  <c r="D26" i="52"/>
  <c r="D27" i="52"/>
  <c r="D28" i="52"/>
  <c r="D29" i="52"/>
  <c r="D30" i="52"/>
  <c r="D31" i="52"/>
  <c r="D32" i="52"/>
  <c r="D33" i="52"/>
  <c r="D34" i="52"/>
  <c r="D35" i="52"/>
  <c r="D36" i="52"/>
  <c r="D37" i="52"/>
  <c r="D38" i="52"/>
  <c r="D39" i="52"/>
  <c r="D40" i="52"/>
  <c r="D41" i="52"/>
  <c r="D42" i="52"/>
  <c r="D43" i="52"/>
  <c r="D44" i="52"/>
  <c r="D7" i="51"/>
  <c r="D8" i="51"/>
  <c r="D9" i="51"/>
  <c r="D10" i="51"/>
  <c r="D11" i="51"/>
  <c r="D12" i="51"/>
  <c r="D13" i="51"/>
  <c r="D14" i="51"/>
  <c r="D15" i="51"/>
  <c r="D16" i="51"/>
  <c r="D17" i="51"/>
  <c r="D18" i="51"/>
  <c r="D19" i="51"/>
  <c r="D20" i="51"/>
  <c r="D21" i="51"/>
  <c r="D22" i="51"/>
  <c r="D23" i="51"/>
  <c r="D24" i="51"/>
  <c r="D25" i="51"/>
  <c r="D26" i="51"/>
  <c r="D27" i="51"/>
  <c r="D28" i="51"/>
  <c r="D29" i="51"/>
  <c r="D30" i="51"/>
  <c r="D31" i="51"/>
  <c r="D32" i="51"/>
  <c r="D33" i="51"/>
  <c r="D34" i="51"/>
  <c r="D35" i="51"/>
  <c r="D36" i="51"/>
  <c r="D37" i="51"/>
  <c r="D38" i="51"/>
  <c r="D39" i="51"/>
  <c r="D40" i="51"/>
  <c r="D41" i="51"/>
  <c r="D42" i="51"/>
  <c r="D43" i="51"/>
  <c r="D44" i="51"/>
  <c r="D7" i="50"/>
  <c r="D8" i="50"/>
  <c r="D9" i="50"/>
  <c r="D10" i="50"/>
  <c r="D11" i="50"/>
  <c r="D12" i="50"/>
  <c r="D13" i="50"/>
  <c r="D14" i="50"/>
  <c r="D15" i="50"/>
  <c r="D16" i="50"/>
  <c r="D17" i="50"/>
  <c r="D18" i="50"/>
  <c r="D19" i="50"/>
  <c r="D20" i="50"/>
  <c r="D21" i="50"/>
  <c r="D22" i="50"/>
  <c r="D23" i="50"/>
  <c r="D24" i="50"/>
  <c r="D25" i="50"/>
  <c r="D26" i="50"/>
  <c r="D27" i="50"/>
  <c r="D28" i="50"/>
  <c r="D29" i="50"/>
  <c r="D30" i="50"/>
  <c r="D31" i="50"/>
  <c r="D32" i="50"/>
  <c r="D33" i="50"/>
  <c r="D34" i="50"/>
  <c r="D35" i="50"/>
  <c r="D36" i="50"/>
  <c r="D37" i="50"/>
  <c r="D38" i="50"/>
  <c r="D39" i="50"/>
  <c r="D40" i="50"/>
  <c r="D41" i="50"/>
  <c r="D42" i="50"/>
  <c r="D43" i="50"/>
  <c r="D44" i="50"/>
  <c r="D7" i="49"/>
  <c r="D8" i="49"/>
  <c r="D9" i="49"/>
  <c r="D10" i="49"/>
  <c r="D11" i="49"/>
  <c r="D12" i="49"/>
  <c r="D13" i="49"/>
  <c r="D14" i="49"/>
  <c r="D15" i="49"/>
  <c r="D16" i="49"/>
  <c r="D17" i="49"/>
  <c r="D18" i="49"/>
  <c r="D19" i="49"/>
  <c r="D20" i="49"/>
  <c r="D21" i="49"/>
  <c r="D22" i="49"/>
  <c r="D23" i="49"/>
  <c r="D24" i="49"/>
  <c r="D25" i="49"/>
  <c r="C26" i="49"/>
  <c r="D26" i="49"/>
  <c r="D27" i="49"/>
  <c r="D28" i="49"/>
  <c r="D29" i="49"/>
  <c r="D30" i="49"/>
  <c r="D31" i="49"/>
  <c r="D32" i="49"/>
  <c r="D33" i="49"/>
  <c r="D34" i="49"/>
  <c r="D35" i="49"/>
  <c r="D36" i="49"/>
  <c r="D37" i="49"/>
  <c r="D38" i="49"/>
  <c r="D39" i="49"/>
  <c r="D40" i="49"/>
  <c r="D41" i="49"/>
  <c r="D42" i="49"/>
  <c r="D43" i="49"/>
  <c r="D44" i="49"/>
  <c r="D7" i="48"/>
  <c r="D8" i="48"/>
  <c r="D9" i="48"/>
  <c r="D10" i="48"/>
  <c r="D11" i="48"/>
  <c r="D12" i="48"/>
  <c r="D13" i="48"/>
  <c r="D14" i="48"/>
  <c r="D15" i="48"/>
  <c r="D16" i="48"/>
  <c r="D17"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44" i="48"/>
  <c r="D45" i="48"/>
  <c r="D46" i="48"/>
  <c r="D47" i="48"/>
  <c r="D48" i="48"/>
  <c r="D49" i="48"/>
  <c r="D50" i="48"/>
  <c r="D51" i="48"/>
  <c r="D52" i="48"/>
  <c r="D7" i="47"/>
  <c r="D8" i="47"/>
  <c r="D9" i="47"/>
  <c r="D10" i="47"/>
  <c r="D11" i="47"/>
  <c r="D12" i="47"/>
  <c r="D13" i="47"/>
  <c r="D14" i="47"/>
  <c r="D15" i="47"/>
  <c r="D16" i="47"/>
  <c r="D17" i="47"/>
  <c r="D18" i="47"/>
  <c r="D19" i="47"/>
  <c r="D20" i="47"/>
  <c r="D21" i="47"/>
  <c r="D22" i="47"/>
  <c r="D23" i="47"/>
  <c r="D24" i="47"/>
  <c r="D25" i="47"/>
  <c r="D26" i="47"/>
  <c r="D27" i="47"/>
  <c r="D28" i="47"/>
  <c r="D29" i="47"/>
  <c r="D30" i="47"/>
  <c r="D31" i="47"/>
  <c r="D32" i="47"/>
  <c r="D33" i="47"/>
  <c r="D34" i="47"/>
  <c r="D35" i="47"/>
  <c r="D36" i="47"/>
  <c r="D37" i="47"/>
  <c r="D38" i="47"/>
  <c r="D39" i="47"/>
  <c r="D40" i="47"/>
  <c r="D41" i="47"/>
  <c r="D42" i="47"/>
  <c r="D43" i="47"/>
  <c r="D44" i="47"/>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7" i="45"/>
  <c r="D8" i="45"/>
  <c r="D9" i="45"/>
  <c r="D10" i="45"/>
  <c r="D11" i="45"/>
  <c r="D12" i="45"/>
  <c r="D13" i="45"/>
  <c r="D14" i="45"/>
  <c r="D15" i="45"/>
  <c r="D16" i="45"/>
  <c r="D17" i="45"/>
  <c r="D18" i="45"/>
  <c r="D19" i="45"/>
  <c r="D20" i="45"/>
  <c r="D21" i="45"/>
  <c r="D22" i="45"/>
  <c r="D23" i="45"/>
  <c r="D24" i="45"/>
  <c r="D25" i="45"/>
  <c r="D26" i="45"/>
  <c r="D27" i="45"/>
  <c r="D28" i="45"/>
  <c r="D29" i="45"/>
  <c r="D30" i="45"/>
  <c r="D31" i="45"/>
  <c r="D32" i="45"/>
  <c r="D33" i="45"/>
  <c r="D34" i="45"/>
  <c r="D35" i="45"/>
  <c r="D36" i="45"/>
  <c r="D37" i="45"/>
  <c r="D38" i="45"/>
  <c r="D39" i="45"/>
  <c r="D40" i="45"/>
  <c r="D41" i="45"/>
  <c r="D42" i="45"/>
  <c r="D43" i="45"/>
  <c r="D44" i="45"/>
  <c r="D7" i="44"/>
  <c r="D8" i="44"/>
  <c r="D9" i="44"/>
  <c r="D10" i="44"/>
  <c r="D11"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7" i="43"/>
  <c r="D8" i="43"/>
  <c r="D9" i="43"/>
  <c r="D10" i="43"/>
  <c r="D11" i="43"/>
  <c r="D12" i="43"/>
  <c r="D13" i="43"/>
  <c r="D14" i="43"/>
  <c r="D15" i="43"/>
  <c r="D16" i="43"/>
  <c r="D17" i="43"/>
  <c r="D18" i="43"/>
  <c r="D19" i="43"/>
  <c r="D20" i="43"/>
  <c r="D21" i="43"/>
  <c r="D22" i="43"/>
  <c r="D23" i="43"/>
  <c r="D24" i="43"/>
  <c r="D25" i="43"/>
  <c r="D26" i="43"/>
  <c r="D27" i="43"/>
  <c r="D28" i="43"/>
  <c r="D29" i="43"/>
  <c r="D30" i="43"/>
  <c r="D31" i="43"/>
  <c r="D32" i="43"/>
  <c r="D33" i="43"/>
  <c r="D34" i="43"/>
  <c r="D35" i="43"/>
  <c r="D36" i="43"/>
  <c r="D37" i="43"/>
  <c r="D38" i="43"/>
  <c r="D39" i="43"/>
  <c r="D40" i="43"/>
  <c r="D41" i="43"/>
  <c r="D42" i="43"/>
  <c r="D43" i="43"/>
  <c r="D44" i="43"/>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7" i="41"/>
  <c r="D8" i="41"/>
  <c r="D9" i="41"/>
  <c r="D10" i="41"/>
  <c r="D11" i="41"/>
  <c r="D12" i="41"/>
  <c r="D13" i="41"/>
  <c r="D14" i="41"/>
  <c r="D15" i="41"/>
  <c r="D16" i="41"/>
  <c r="D17" i="41"/>
  <c r="D18" i="41"/>
  <c r="D19" i="41"/>
  <c r="D20" i="41"/>
  <c r="D21" i="41"/>
  <c r="D22" i="41"/>
  <c r="D23" i="41"/>
  <c r="D24" i="41"/>
  <c r="D25" i="41"/>
  <c r="D26" i="41"/>
  <c r="D27" i="41"/>
  <c r="D28" i="41"/>
  <c r="D29" i="41"/>
  <c r="D30" i="41"/>
  <c r="D31" i="41"/>
  <c r="D32" i="41"/>
  <c r="D33" i="41"/>
  <c r="D34" i="41"/>
  <c r="D35" i="41"/>
  <c r="D36" i="41"/>
  <c r="D37" i="41"/>
  <c r="D38" i="41"/>
  <c r="D39" i="41"/>
  <c r="D40" i="41"/>
  <c r="D41" i="41"/>
  <c r="D42" i="41"/>
  <c r="D43" i="41"/>
  <c r="D44" i="41"/>
  <c r="D7" i="40"/>
  <c r="D8" i="40"/>
  <c r="D9" i="40"/>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7" i="39"/>
  <c r="D8" i="39"/>
  <c r="D9" i="39"/>
  <c r="D10" i="39"/>
  <c r="D11" i="39"/>
  <c r="D12" i="39"/>
  <c r="D13" i="39"/>
  <c r="D14" i="39"/>
  <c r="D15" i="39"/>
  <c r="D16" i="39"/>
  <c r="D17" i="39"/>
  <c r="D18" i="39"/>
  <c r="D19" i="39"/>
  <c r="D20" i="39"/>
  <c r="D21" i="39"/>
  <c r="D22" i="39"/>
  <c r="D23" i="39"/>
  <c r="D24" i="39"/>
  <c r="D25" i="39"/>
  <c r="D26" i="39"/>
  <c r="D27" i="39"/>
  <c r="D28" i="39"/>
  <c r="D29" i="39"/>
  <c r="D30" i="39"/>
  <c r="D31" i="39"/>
  <c r="D32" i="39"/>
  <c r="D33" i="39"/>
  <c r="D34" i="39"/>
  <c r="D35" i="39"/>
  <c r="D36" i="39"/>
  <c r="D37" i="39"/>
  <c r="D38" i="39"/>
  <c r="D39" i="39"/>
  <c r="D40" i="39"/>
  <c r="D41" i="39"/>
  <c r="D42" i="39"/>
  <c r="D43" i="39"/>
  <c r="D44" i="39"/>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7" i="37"/>
  <c r="D8" i="37"/>
  <c r="D9" i="37"/>
  <c r="D10" i="37"/>
  <c r="D11" i="37"/>
  <c r="D12" i="37"/>
  <c r="D13" i="37"/>
  <c r="D14" i="37"/>
  <c r="D15" i="37"/>
  <c r="D16" i="37"/>
  <c r="D17" i="37"/>
  <c r="D18" i="37"/>
  <c r="D19" i="37"/>
  <c r="D20" i="37"/>
  <c r="D21" i="37"/>
  <c r="D22" i="37"/>
  <c r="D23" i="37"/>
  <c r="D24" i="37"/>
  <c r="D25" i="37"/>
  <c r="D26" i="37"/>
  <c r="D27" i="37"/>
  <c r="D28" i="37"/>
  <c r="D29" i="37"/>
  <c r="D30" i="37"/>
  <c r="D31" i="37"/>
  <c r="D32" i="37"/>
  <c r="D33" i="37"/>
  <c r="D34" i="37"/>
  <c r="D35" i="37"/>
  <c r="D36" i="37"/>
  <c r="D37" i="37"/>
  <c r="D38" i="37"/>
  <c r="D39" i="37"/>
  <c r="D40" i="37"/>
  <c r="D41" i="37"/>
  <c r="D42" i="37"/>
  <c r="D43" i="37"/>
  <c r="D44" i="37"/>
  <c r="D7" i="36"/>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7" i="35"/>
  <c r="D8" i="35"/>
  <c r="D9" i="35"/>
  <c r="D10" i="35"/>
  <c r="D11" i="35"/>
  <c r="D12" i="35"/>
  <c r="D13" i="35"/>
  <c r="D14" i="35"/>
  <c r="D15" i="35"/>
  <c r="D16" i="35"/>
  <c r="D17" i="35"/>
  <c r="D18" i="35"/>
  <c r="D19" i="35"/>
  <c r="D20" i="35"/>
  <c r="D21" i="35"/>
  <c r="D22" i="35"/>
  <c r="D23" i="35"/>
  <c r="D24" i="35"/>
  <c r="D25" i="35"/>
  <c r="D26" i="35"/>
  <c r="D27" i="35"/>
  <c r="D28" i="35"/>
  <c r="D29" i="35"/>
  <c r="D30" i="35"/>
  <c r="D31" i="35"/>
  <c r="D32" i="35"/>
  <c r="D33" i="35"/>
  <c r="D34" i="35"/>
  <c r="D35" i="35"/>
  <c r="D36" i="35"/>
  <c r="D37" i="35"/>
  <c r="D38" i="35"/>
  <c r="D39" i="35"/>
  <c r="D40" i="35"/>
  <c r="D41" i="35"/>
  <c r="D42" i="35"/>
  <c r="D43" i="35"/>
  <c r="D44" i="35"/>
  <c r="D7" i="34"/>
  <c r="D8" i="34"/>
  <c r="D9" i="34"/>
  <c r="D10" i="34"/>
  <c r="D11" i="34"/>
  <c r="D12" i="34"/>
  <c r="D13" i="34"/>
  <c r="D14" i="34"/>
  <c r="D15" i="34"/>
  <c r="D16" i="34"/>
  <c r="D17" i="34"/>
  <c r="D18" i="34"/>
  <c r="D19" i="34"/>
  <c r="D20" i="34"/>
  <c r="D21" i="34"/>
  <c r="D22" i="34"/>
  <c r="D23" i="34"/>
  <c r="D24" i="34"/>
  <c r="D25" i="34"/>
  <c r="D26" i="34"/>
  <c r="D27" i="34"/>
  <c r="D28" i="34"/>
  <c r="D29" i="34"/>
  <c r="D30" i="34"/>
  <c r="D31" i="34"/>
  <c r="D32" i="34"/>
  <c r="D33" i="34"/>
  <c r="D34" i="34"/>
  <c r="D35" i="34"/>
  <c r="D36" i="34"/>
  <c r="D37" i="34"/>
  <c r="D38" i="34"/>
  <c r="D39" i="34"/>
  <c r="D40" i="34"/>
  <c r="D41" i="34"/>
  <c r="D42" i="34"/>
  <c r="D43" i="34"/>
  <c r="D44" i="34"/>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7" i="28"/>
  <c r="D8" i="28"/>
  <c r="D9" i="28"/>
  <c r="D10" i="28"/>
  <c r="D11"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7"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7" i="22"/>
  <c r="D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7" i="17"/>
  <c r="D8" i="17"/>
  <c r="D9" i="17"/>
  <c r="D10" i="17"/>
  <c r="D11" i="17"/>
  <c r="D12" i="17"/>
  <c r="B13"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7" i="2"/>
  <c r="D8" i="2"/>
  <c r="F6" i="2" s="1"/>
  <c r="F3" i="3" s="1"/>
  <c r="F6" i="3" s="1"/>
  <c r="F3" i="4" s="1"/>
  <c r="F6" i="4" s="1"/>
  <c r="F3" i="5" s="1"/>
  <c r="F6" i="5" s="1"/>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44" i="66"/>
  <c r="D43" i="66"/>
  <c r="D42" i="66"/>
  <c r="D41" i="66"/>
  <c r="D40" i="66"/>
  <c r="D39" i="66"/>
  <c r="D38" i="66"/>
  <c r="D37" i="66"/>
  <c r="D36" i="66"/>
  <c r="D35" i="66"/>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G6" i="66"/>
  <c r="H6" i="66"/>
  <c r="J6" i="66"/>
  <c r="L6" i="66" s="1"/>
  <c r="D7" i="65"/>
  <c r="D8" i="65"/>
  <c r="D10" i="65"/>
  <c r="D11" i="65"/>
  <c r="D12" i="65"/>
  <c r="D13" i="65"/>
  <c r="D14" i="65"/>
  <c r="D15" i="65"/>
  <c r="D16" i="65"/>
  <c r="D17" i="65"/>
  <c r="D18" i="65"/>
  <c r="D19" i="65"/>
  <c r="D20" i="65"/>
  <c r="D21" i="65"/>
  <c r="D22" i="65"/>
  <c r="D23" i="65"/>
  <c r="D24" i="65"/>
  <c r="D25" i="65"/>
  <c r="D26" i="65"/>
  <c r="D44" i="65"/>
  <c r="D43" i="65"/>
  <c r="D42" i="65"/>
  <c r="D41" i="65"/>
  <c r="D40" i="65"/>
  <c r="D39" i="65"/>
  <c r="D38" i="65"/>
  <c r="D37" i="65"/>
  <c r="D36" i="65"/>
  <c r="D35" i="65"/>
  <c r="D34" i="65"/>
  <c r="D33" i="65"/>
  <c r="D32" i="65"/>
  <c r="D31" i="65"/>
  <c r="D30" i="65"/>
  <c r="D29" i="65"/>
  <c r="D28" i="65"/>
  <c r="D27" i="65"/>
  <c r="J6" i="68"/>
  <c r="L6" i="68" s="1"/>
  <c r="B64" i="64" s="1"/>
  <c r="C64" i="64"/>
  <c r="E64" i="64" s="1"/>
  <c r="K1" i="63"/>
  <c r="K1" i="62"/>
  <c r="K1" i="61"/>
  <c r="K1" i="60"/>
  <c r="G6" i="52"/>
  <c r="J6" i="52" s="1"/>
  <c r="H6" i="52"/>
  <c r="K1" i="52"/>
  <c r="G6" i="50"/>
  <c r="H6" i="50"/>
  <c r="J6" i="50"/>
  <c r="L6" i="50" s="1"/>
  <c r="B48" i="64" s="1"/>
  <c r="K1" i="50"/>
  <c r="C48" i="64"/>
  <c r="E48" i="64"/>
  <c r="G6" i="51"/>
  <c r="H6" i="51"/>
  <c r="E7" i="51"/>
  <c r="J6" i="51"/>
  <c r="K1" i="51"/>
  <c r="L6" i="51"/>
  <c r="B49" i="64" s="1"/>
  <c r="C49" i="64"/>
  <c r="E49" i="64" s="1"/>
  <c r="H6" i="63"/>
  <c r="G6" i="63"/>
  <c r="J6" i="63" s="1"/>
  <c r="H6" i="62"/>
  <c r="J6" i="62" s="1"/>
  <c r="G6" i="62"/>
  <c r="H6" i="61"/>
  <c r="G6" i="61"/>
  <c r="H6" i="60"/>
  <c r="G6" i="60"/>
  <c r="H6" i="59"/>
  <c r="G6" i="59"/>
  <c r="K1" i="59"/>
  <c r="H6" i="58"/>
  <c r="G6" i="58"/>
  <c r="J6" i="58" s="1"/>
  <c r="K1" i="58"/>
  <c r="H6" i="57"/>
  <c r="G6" i="57"/>
  <c r="K1" i="57"/>
  <c r="H6" i="56"/>
  <c r="J6" i="56" s="1"/>
  <c r="G6" i="56"/>
  <c r="K1" i="56"/>
  <c r="H6" i="55"/>
  <c r="G6" i="55"/>
  <c r="K1" i="55"/>
  <c r="H6" i="54"/>
  <c r="G6" i="54"/>
  <c r="K1" i="54"/>
  <c r="H6" i="53"/>
  <c r="G6" i="53"/>
  <c r="J6" i="53" s="1"/>
  <c r="K1" i="53"/>
  <c r="J6" i="61"/>
  <c r="C59" i="64"/>
  <c r="E59" i="64" s="1"/>
  <c r="J6" i="60"/>
  <c r="C58" i="64" s="1"/>
  <c r="E58" i="64" s="1"/>
  <c r="J6" i="59"/>
  <c r="L6" i="59"/>
  <c r="B57" i="64"/>
  <c r="J6" i="57"/>
  <c r="L6" i="57" s="1"/>
  <c r="B55" i="64" s="1"/>
  <c r="C55" i="64"/>
  <c r="E55" i="64"/>
  <c r="J6" i="55"/>
  <c r="L6" i="55" s="1"/>
  <c r="B53" i="64" s="1"/>
  <c r="J6" i="54"/>
  <c r="L6" i="54"/>
  <c r="B52" i="64" s="1"/>
  <c r="L6" i="61"/>
  <c r="B59" i="64"/>
  <c r="L6" i="60"/>
  <c r="B58" i="64" s="1"/>
  <c r="C57" i="64"/>
  <c r="E57" i="64"/>
  <c r="C52" i="64"/>
  <c r="E52" i="64" s="1"/>
  <c r="H6" i="49"/>
  <c r="G6" i="49"/>
  <c r="J6" i="49" s="1"/>
  <c r="K1" i="49"/>
  <c r="H6" i="48"/>
  <c r="G6" i="48"/>
  <c r="K1" i="48"/>
  <c r="H6" i="47"/>
  <c r="G6" i="47"/>
  <c r="J6" i="47" s="1"/>
  <c r="K1" i="47"/>
  <c r="H6" i="46"/>
  <c r="G6" i="46"/>
  <c r="J6" i="46" s="1"/>
  <c r="K1" i="46"/>
  <c r="H6" i="45"/>
  <c r="G6" i="45"/>
  <c r="J6" i="45" s="1"/>
  <c r="K1" i="45"/>
  <c r="H6" i="44"/>
  <c r="J6" i="44" s="1"/>
  <c r="G6" i="44"/>
  <c r="K1" i="44"/>
  <c r="H6" i="43"/>
  <c r="G6" i="43"/>
  <c r="J6" i="43" s="1"/>
  <c r="K1" i="43"/>
  <c r="H6" i="42"/>
  <c r="J6" i="42" s="1"/>
  <c r="G6" i="42"/>
  <c r="K1" i="42"/>
  <c r="H6" i="41"/>
  <c r="G6" i="41"/>
  <c r="J6" i="41" s="1"/>
  <c r="K1" i="41"/>
  <c r="J6" i="48"/>
  <c r="L6" i="48"/>
  <c r="B46" i="64"/>
  <c r="C46" i="64"/>
  <c r="E46" i="64" s="1"/>
  <c r="H6" i="40"/>
  <c r="G6" i="40"/>
  <c r="K1" i="40"/>
  <c r="J6" i="40"/>
  <c r="L6" i="40" s="1"/>
  <c r="B38" i="64" s="1"/>
  <c r="E35" i="36"/>
  <c r="H6" i="39"/>
  <c r="G6" i="39"/>
  <c r="J6" i="39"/>
  <c r="L6" i="39" s="1"/>
  <c r="B37" i="64" s="1"/>
  <c r="K1" i="39"/>
  <c r="H6" i="38"/>
  <c r="G6" i="38"/>
  <c r="J6" i="38" s="1"/>
  <c r="K1" i="38"/>
  <c r="H6" i="37"/>
  <c r="G6" i="37"/>
  <c r="K1" i="37"/>
  <c r="L6" i="37" s="1"/>
  <c r="B35" i="64" s="1"/>
  <c r="H6" i="36"/>
  <c r="G6" i="36"/>
  <c r="J6" i="36" s="1"/>
  <c r="K1" i="36"/>
  <c r="H6" i="35"/>
  <c r="J6" i="35" s="1"/>
  <c r="G6" i="35"/>
  <c r="K1" i="35"/>
  <c r="H6" i="34"/>
  <c r="G6" i="34"/>
  <c r="J6" i="34" s="1"/>
  <c r="K1" i="34"/>
  <c r="H6" i="33"/>
  <c r="G6" i="33"/>
  <c r="K1" i="33"/>
  <c r="H6" i="32"/>
  <c r="G6" i="32"/>
  <c r="K1" i="32"/>
  <c r="H6" i="31"/>
  <c r="G6" i="31"/>
  <c r="J6" i="31" s="1"/>
  <c r="K1" i="31"/>
  <c r="H6" i="30"/>
  <c r="G6" i="30"/>
  <c r="K1" i="30"/>
  <c r="H6" i="29"/>
  <c r="G6" i="29"/>
  <c r="J6" i="29" s="1"/>
  <c r="K1" i="29"/>
  <c r="H6" i="28"/>
  <c r="G6" i="28"/>
  <c r="J6" i="28" s="1"/>
  <c r="K1" i="28"/>
  <c r="J6" i="37"/>
  <c r="C35" i="64" s="1"/>
  <c r="E35" i="64" s="1"/>
  <c r="J6" i="33"/>
  <c r="L6" i="33" s="1"/>
  <c r="B31" i="64" s="1"/>
  <c r="J6" i="32"/>
  <c r="C30" i="64" s="1"/>
  <c r="E30" i="64" s="1"/>
  <c r="L6" i="32"/>
  <c r="B30" i="64"/>
  <c r="J6" i="30"/>
  <c r="L6" i="30" s="1"/>
  <c r="B28" i="64" s="1"/>
  <c r="E10" i="25"/>
  <c r="C31" i="64"/>
  <c r="E31" i="64" s="1"/>
  <c r="K1" i="27"/>
  <c r="K1" i="26"/>
  <c r="K1" i="25"/>
  <c r="K1" i="24"/>
  <c r="K1" i="23"/>
  <c r="K1" i="22"/>
  <c r="K1" i="21"/>
  <c r="K1" i="20"/>
  <c r="H6" i="27"/>
  <c r="G6" i="27"/>
  <c r="H6" i="26"/>
  <c r="G6" i="26"/>
  <c r="H6" i="25"/>
  <c r="G6" i="25"/>
  <c r="H6" i="24"/>
  <c r="G6" i="24"/>
  <c r="J6" i="24" s="1"/>
  <c r="H6" i="23"/>
  <c r="J6" i="23" s="1"/>
  <c r="G6" i="23"/>
  <c r="H6" i="22"/>
  <c r="G6" i="22"/>
  <c r="J6" i="22" s="1"/>
  <c r="J6" i="27"/>
  <c r="C25" i="64" s="1"/>
  <c r="E25" i="64" s="1"/>
  <c r="J6" i="26"/>
  <c r="C24" i="64"/>
  <c r="E24" i="64" s="1"/>
  <c r="J6" i="25"/>
  <c r="L6" i="25" s="1"/>
  <c r="B23" i="64" s="1"/>
  <c r="C23" i="64"/>
  <c r="E23" i="64"/>
  <c r="H6" i="21"/>
  <c r="G6" i="21"/>
  <c r="J6" i="21" s="1"/>
  <c r="H6" i="20"/>
  <c r="G6" i="20"/>
  <c r="J6" i="20" s="1"/>
  <c r="H6" i="19"/>
  <c r="J6" i="19" s="1"/>
  <c r="G6" i="19"/>
  <c r="K1" i="19"/>
  <c r="H6" i="18"/>
  <c r="G6" i="18"/>
  <c r="J6" i="18" s="1"/>
  <c r="K1" i="18"/>
  <c r="E12" i="17"/>
  <c r="K1" i="17"/>
  <c r="K1" i="16"/>
  <c r="H6" i="16"/>
  <c r="G6" i="16"/>
  <c r="J6" i="16"/>
  <c r="H6" i="17"/>
  <c r="G6" i="17"/>
  <c r="J6" i="17" s="1"/>
  <c r="H6" i="15"/>
  <c r="G6" i="15"/>
  <c r="K1" i="15"/>
  <c r="C14" i="64"/>
  <c r="E14" i="64" s="1"/>
  <c r="L6" i="16"/>
  <c r="B14" i="64" s="1"/>
  <c r="J6" i="15"/>
  <c r="C13" i="64" s="1"/>
  <c r="E13" i="64" s="1"/>
  <c r="K1" i="14"/>
  <c r="L6" i="15"/>
  <c r="B13" i="64" s="1"/>
  <c r="K1" i="13"/>
  <c r="K1" i="12"/>
  <c r="H6" i="14"/>
  <c r="G6" i="14"/>
  <c r="J6" i="14"/>
  <c r="C12" i="64" s="1"/>
  <c r="E12" i="64" s="1"/>
  <c r="H6" i="13"/>
  <c r="G6" i="13"/>
  <c r="H6" i="12"/>
  <c r="G6" i="12"/>
  <c r="J6" i="13"/>
  <c r="C11" i="64" s="1"/>
  <c r="E11" i="64" s="1"/>
  <c r="J6" i="12"/>
  <c r="C10" i="64" s="1"/>
  <c r="E10" i="64" s="1"/>
  <c r="L6" i="12"/>
  <c r="B10" i="64" s="1"/>
  <c r="L6" i="13"/>
  <c r="B11" i="64" s="1"/>
  <c r="H6" i="11"/>
  <c r="G6" i="11"/>
  <c r="J6" i="11"/>
  <c r="C9" i="64" s="1"/>
  <c r="E9" i="64" s="1"/>
  <c r="L6" i="11"/>
  <c r="B9" i="64" s="1"/>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H6" i="10"/>
  <c r="G6" i="10"/>
  <c r="J6" i="10"/>
  <c r="C8" i="64"/>
  <c r="E8" i="64"/>
  <c r="L6" i="10"/>
  <c r="B8" i="64" s="1"/>
  <c r="H6" i="9"/>
  <c r="G6" i="9"/>
  <c r="J6" i="9"/>
  <c r="C7" i="64"/>
  <c r="E7" i="64"/>
  <c r="L6" i="9"/>
  <c r="B7" i="64"/>
  <c r="H6" i="8"/>
  <c r="G6" i="8"/>
  <c r="J6" i="8"/>
  <c r="L6" i="8" s="1"/>
  <c r="B6" i="64" s="1"/>
  <c r="H6" i="7"/>
  <c r="G6" i="7"/>
  <c r="C6" i="64"/>
  <c r="E6" i="64" s="1"/>
  <c r="J6" i="7"/>
  <c r="C5" i="64" s="1"/>
  <c r="E5" i="64" s="1"/>
  <c r="H6" i="6"/>
  <c r="G6" i="6"/>
  <c r="J6" i="6" s="1"/>
  <c r="H6" i="5"/>
  <c r="G6" i="5"/>
  <c r="H6" i="4"/>
  <c r="G6" i="4"/>
  <c r="J6" i="4" s="1"/>
  <c r="H6" i="3"/>
  <c r="G6" i="3"/>
  <c r="J6" i="3" s="1"/>
  <c r="J6" i="5"/>
  <c r="H6" i="2"/>
  <c r="G6" i="2"/>
  <c r="J6" i="2" s="1"/>
  <c r="C3" i="64"/>
  <c r="E3" i="64" s="1"/>
  <c r="C114" i="64" l="1"/>
  <c r="E114" i="64" s="1"/>
  <c r="C113" i="64"/>
  <c r="E113" i="64" s="1"/>
  <c r="L6" i="116"/>
  <c r="B111" i="64" s="1"/>
  <c r="L6" i="115"/>
  <c r="B110" i="64" s="1"/>
  <c r="C110" i="64"/>
  <c r="E110" i="64" s="1"/>
  <c r="C109" i="64"/>
  <c r="E109" i="64" s="1"/>
  <c r="C47" i="64"/>
  <c r="E47" i="64" s="1"/>
  <c r="L6" i="49"/>
  <c r="B47" i="64" s="1"/>
  <c r="C73" i="64"/>
  <c r="E73" i="64" s="1"/>
  <c r="L6" i="77"/>
  <c r="B73" i="64" s="1"/>
  <c r="L6" i="34"/>
  <c r="B32" i="64" s="1"/>
  <c r="C32" i="64"/>
  <c r="E32" i="64" s="1"/>
  <c r="L6" i="56"/>
  <c r="B54" i="64" s="1"/>
  <c r="C54" i="64"/>
  <c r="E54" i="64" s="1"/>
  <c r="L6" i="21"/>
  <c r="B19" i="64" s="1"/>
  <c r="C19" i="64"/>
  <c r="E19" i="64" s="1"/>
  <c r="L6" i="41"/>
  <c r="B39" i="64" s="1"/>
  <c r="C39" i="64"/>
  <c r="E39" i="64" s="1"/>
  <c r="C81" i="64"/>
  <c r="E81" i="64" s="1"/>
  <c r="L6" i="86"/>
  <c r="B81" i="64" s="1"/>
  <c r="L6" i="84"/>
  <c r="B79" i="64" s="1"/>
  <c r="C79" i="64"/>
  <c r="E79" i="64" s="1"/>
  <c r="C86" i="64"/>
  <c r="E86" i="64" s="1"/>
  <c r="L6" i="91"/>
  <c r="B86" i="64" s="1"/>
  <c r="C95" i="64"/>
  <c r="E95" i="64" s="1"/>
  <c r="L6" i="100"/>
  <c r="B95" i="64" s="1"/>
  <c r="E74" i="64"/>
  <c r="C88" i="64"/>
  <c r="E88" i="64" s="1"/>
  <c r="L6" i="93"/>
  <c r="B88" i="64" s="1"/>
  <c r="L6" i="42"/>
  <c r="B40" i="64" s="1"/>
  <c r="C40" i="64"/>
  <c r="E40" i="64" s="1"/>
  <c r="C56" i="64"/>
  <c r="E56" i="64" s="1"/>
  <c r="L6" i="58"/>
  <c r="B56" i="64" s="1"/>
  <c r="C18" i="64"/>
  <c r="E18" i="64" s="1"/>
  <c r="L6" i="20"/>
  <c r="B18" i="64" s="1"/>
  <c r="L6" i="35"/>
  <c r="B33" i="64" s="1"/>
  <c r="C33" i="64"/>
  <c r="E33" i="64" s="1"/>
  <c r="L6" i="36"/>
  <c r="B34" i="64" s="1"/>
  <c r="C34" i="64"/>
  <c r="E34" i="64" s="1"/>
  <c r="L6" i="52"/>
  <c r="B50" i="64" s="1"/>
  <c r="C50" i="64"/>
  <c r="C77" i="64"/>
  <c r="E77" i="64" s="1"/>
  <c r="L6" i="82"/>
  <c r="B77" i="64" s="1"/>
  <c r="L6" i="22"/>
  <c r="B20" i="64" s="1"/>
  <c r="C20" i="64"/>
  <c r="E20" i="64" s="1"/>
  <c r="C2" i="64"/>
  <c r="L6" i="4"/>
  <c r="B2" i="64" s="1"/>
  <c r="L6" i="28"/>
  <c r="B26" i="64" s="1"/>
  <c r="C26" i="64"/>
  <c r="J6" i="67"/>
  <c r="L6" i="71"/>
  <c r="B67" i="64" s="1"/>
  <c r="C67" i="64"/>
  <c r="E67" i="64" s="1"/>
  <c r="L6" i="24"/>
  <c r="B22" i="64" s="1"/>
  <c r="C22" i="64"/>
  <c r="E22" i="64" s="1"/>
  <c r="C72" i="64"/>
  <c r="E72" i="64" s="1"/>
  <c r="L6" i="76"/>
  <c r="B72" i="64" s="1"/>
  <c r="C51" i="64"/>
  <c r="E51" i="64" s="1"/>
  <c r="L6" i="53"/>
  <c r="B51" i="64" s="1"/>
  <c r="C17" i="64"/>
  <c r="E17" i="64" s="1"/>
  <c r="L6" i="19"/>
  <c r="B17" i="64" s="1"/>
  <c r="C21" i="64"/>
  <c r="E21" i="64" s="1"/>
  <c r="L6" i="23"/>
  <c r="B21" i="64" s="1"/>
  <c r="C15" i="64"/>
  <c r="E15" i="64" s="1"/>
  <c r="L6" i="17"/>
  <c r="B15" i="64" s="1"/>
  <c r="L6" i="63"/>
  <c r="B61" i="64" s="1"/>
  <c r="C61" i="64"/>
  <c r="E61" i="64" s="1"/>
  <c r="C45" i="64"/>
  <c r="E45" i="64" s="1"/>
  <c r="L6" i="47"/>
  <c r="B45" i="64" s="1"/>
  <c r="C78" i="64"/>
  <c r="E78" i="64" s="1"/>
  <c r="L6" i="83"/>
  <c r="B78" i="64" s="1"/>
  <c r="C62" i="64"/>
  <c r="L6" i="65"/>
  <c r="B62" i="64" s="1"/>
  <c r="C43" i="64"/>
  <c r="E43" i="64" s="1"/>
  <c r="L6" i="45"/>
  <c r="B43" i="64" s="1"/>
  <c r="L6" i="5"/>
  <c r="B3" i="64" s="1"/>
  <c r="F3" i="6"/>
  <c r="F6" i="6" s="1"/>
  <c r="C41" i="64"/>
  <c r="E41" i="64" s="1"/>
  <c r="L6" i="43"/>
  <c r="B41" i="64" s="1"/>
  <c r="C4" i="64"/>
  <c r="E4" i="64" s="1"/>
  <c r="L6" i="6"/>
  <c r="B4" i="64" s="1"/>
  <c r="L6" i="38"/>
  <c r="B36" i="64" s="1"/>
  <c r="C36" i="64"/>
  <c r="E36" i="64" s="1"/>
  <c r="L6" i="62"/>
  <c r="B60" i="64" s="1"/>
  <c r="C60" i="64"/>
  <c r="E60" i="64" s="1"/>
  <c r="L6" i="69"/>
  <c r="B65" i="64" s="1"/>
  <c r="C65" i="64"/>
  <c r="E65" i="64" s="1"/>
  <c r="L6" i="29"/>
  <c r="B27" i="64" s="1"/>
  <c r="C27" i="64"/>
  <c r="E27" i="64" s="1"/>
  <c r="C42" i="64"/>
  <c r="E42" i="64" s="1"/>
  <c r="L6" i="44"/>
  <c r="B42" i="64" s="1"/>
  <c r="L6" i="87"/>
  <c r="B82" i="64" s="1"/>
  <c r="C82" i="64"/>
  <c r="E82" i="64" s="1"/>
  <c r="L6" i="46"/>
  <c r="B44" i="64" s="1"/>
  <c r="C44" i="64"/>
  <c r="E44" i="64" s="1"/>
  <c r="C29" i="64"/>
  <c r="E29" i="64" s="1"/>
  <c r="L6" i="31"/>
  <c r="B29" i="64" s="1"/>
  <c r="L6" i="18"/>
  <c r="B16" i="64" s="1"/>
  <c r="C16" i="64"/>
  <c r="E16" i="64" s="1"/>
  <c r="L6" i="72"/>
  <c r="B68" i="64" s="1"/>
  <c r="C68" i="64"/>
  <c r="E68" i="64" s="1"/>
  <c r="L6" i="26"/>
  <c r="B24" i="64" s="1"/>
  <c r="L6" i="27"/>
  <c r="B25" i="64" s="1"/>
  <c r="L6" i="75"/>
  <c r="B71" i="64" s="1"/>
  <c r="C66" i="64"/>
  <c r="E66" i="64" s="1"/>
  <c r="C37" i="64"/>
  <c r="E37" i="64" s="1"/>
  <c r="C70" i="64"/>
  <c r="E70" i="64" s="1"/>
  <c r="C38" i="64"/>
  <c r="L6" i="14"/>
  <c r="B12" i="64" s="1"/>
  <c r="C87" i="64"/>
  <c r="E87" i="64" s="1"/>
  <c r="C28" i="64"/>
  <c r="E28" i="64" s="1"/>
  <c r="L6" i="7"/>
  <c r="B5" i="64" s="1"/>
  <c r="C53" i="64"/>
  <c r="E53" i="64" s="1"/>
  <c r="L6" i="113"/>
  <c r="B108" i="64" s="1"/>
  <c r="C107" i="64"/>
  <c r="E107" i="64" s="1"/>
  <c r="L6" i="111"/>
  <c r="B106" i="64" s="1"/>
  <c r="C105" i="64"/>
  <c r="E105" i="64" s="1"/>
  <c r="C104" i="64"/>
  <c r="E104" i="64" s="1"/>
  <c r="L6" i="108"/>
  <c r="B103" i="64" s="1"/>
  <c r="L6" i="107"/>
  <c r="B102" i="64" s="1"/>
  <c r="C102" i="64"/>
  <c r="E102" i="64" s="1"/>
  <c r="C101" i="64"/>
  <c r="E101" i="64" s="1"/>
  <c r="L6" i="105"/>
  <c r="B100" i="64" s="1"/>
  <c r="L6" i="104"/>
  <c r="B99" i="64" s="1"/>
  <c r="L6" i="103"/>
  <c r="B98" i="64" s="1"/>
  <c r="C98" i="64"/>
  <c r="J6" i="102"/>
  <c r="C97" i="64" s="1"/>
  <c r="E97" i="64" s="1"/>
  <c r="C96" i="64"/>
  <c r="E96" i="64" s="1"/>
  <c r="D121" i="64" l="1"/>
  <c r="F121" i="64"/>
  <c r="D25" i="64"/>
  <c r="F25" i="64"/>
  <c r="E2" i="64"/>
  <c r="F13" i="64" s="1"/>
  <c r="D13" i="64"/>
  <c r="D61" i="64"/>
  <c r="E50" i="64"/>
  <c r="F61" i="64" s="1"/>
  <c r="E38" i="64"/>
  <c r="F49" i="64" s="1"/>
  <c r="D49" i="64"/>
  <c r="F3" i="7"/>
  <c r="F6" i="7" s="1"/>
  <c r="K2" i="6"/>
  <c r="C63" i="64"/>
  <c r="E63" i="64" s="1"/>
  <c r="L6" i="67"/>
  <c r="B63" i="64" s="1"/>
  <c r="E62" i="64"/>
  <c r="F73" i="64" s="1"/>
  <c r="D73" i="64"/>
  <c r="D37" i="64"/>
  <c r="E26" i="64"/>
  <c r="F37" i="64" s="1"/>
  <c r="F85" i="64"/>
  <c r="D85" i="64"/>
  <c r="E98" i="64"/>
  <c r="F109" i="64" s="1"/>
  <c r="D109" i="64"/>
  <c r="D97" i="64"/>
  <c r="F97" i="64"/>
  <c r="L6" i="102"/>
  <c r="B97" i="64" s="1"/>
  <c r="H1" i="64" s="1"/>
  <c r="F3" i="8" l="1"/>
  <c r="F6" i="8" s="1"/>
  <c r="K2" i="7"/>
  <c r="K2" i="8" l="1"/>
  <c r="F3" i="9"/>
  <c r="F6" i="9" s="1"/>
  <c r="K2" i="9" l="1"/>
  <c r="F3" i="10"/>
  <c r="F6" i="10" l="1"/>
  <c r="K2" i="10" s="1"/>
  <c r="F3" i="11"/>
  <c r="F6" i="11" s="1"/>
  <c r="F3" i="12" l="1"/>
  <c r="F6" i="12" s="1"/>
  <c r="K2" i="11"/>
  <c r="F3" i="13" l="1"/>
  <c r="F6" i="13" s="1"/>
  <c r="K2" i="12"/>
  <c r="K2" i="13" l="1"/>
  <c r="F3" i="14"/>
  <c r="F6" i="14" s="1"/>
  <c r="F3" i="15" l="1"/>
  <c r="F6" i="15" s="1"/>
  <c r="K2" i="14"/>
  <c r="F3" i="16" l="1"/>
  <c r="F6" i="16" s="1"/>
  <c r="K2" i="15"/>
  <c r="F3" i="17" l="1"/>
  <c r="F6" i="17" s="1"/>
  <c r="K2" i="16"/>
  <c r="F3" i="18" l="1"/>
  <c r="F6" i="18" s="1"/>
  <c r="K2" i="17"/>
  <c r="F3" i="19" l="1"/>
  <c r="F6" i="19" s="1"/>
  <c r="K2" i="18"/>
  <c r="K2" i="19" l="1"/>
  <c r="F3" i="20"/>
  <c r="F6" i="20" s="1"/>
  <c r="K2" i="20" l="1"/>
  <c r="F3" i="21"/>
  <c r="F6" i="21" s="1"/>
  <c r="F3" i="22" l="1"/>
  <c r="F6" i="22" s="1"/>
  <c r="K2" i="21"/>
  <c r="F3" i="23" l="1"/>
  <c r="F6" i="23" s="1"/>
  <c r="K2" i="22"/>
  <c r="F3" i="24" l="1"/>
  <c r="F6" i="24" s="1"/>
  <c r="K2" i="23"/>
  <c r="F3" i="25" l="1"/>
  <c r="F6" i="25" s="1"/>
  <c r="K2" i="24"/>
  <c r="F3" i="26" l="1"/>
  <c r="F6" i="26" s="1"/>
  <c r="K2" i="25"/>
  <c r="F3" i="27" l="1"/>
  <c r="F6" i="27" s="1"/>
  <c r="K2" i="26"/>
  <c r="F3" i="28" l="1"/>
  <c r="F6" i="28" s="1"/>
  <c r="K2" i="27"/>
  <c r="K2" i="28" l="1"/>
  <c r="F3" i="29"/>
  <c r="F6" i="29" s="1"/>
  <c r="F3" i="30" l="1"/>
  <c r="F6" i="30" s="1"/>
  <c r="K2" i="29"/>
  <c r="F3" i="31" l="1"/>
  <c r="F6" i="31" s="1"/>
  <c r="K2" i="30"/>
  <c r="F3" i="32" l="1"/>
  <c r="F6" i="32" s="1"/>
  <c r="K2" i="31"/>
  <c r="K2" i="32" l="1"/>
  <c r="F3" i="33"/>
  <c r="F6" i="33" s="1"/>
  <c r="K2" i="33" l="1"/>
  <c r="F3" i="34"/>
  <c r="F6" i="34" s="1"/>
  <c r="F3" i="35" l="1"/>
  <c r="F6" i="35" s="1"/>
  <c r="K2" i="34"/>
  <c r="K2" i="35" l="1"/>
  <c r="F3" i="36"/>
  <c r="F6" i="36" s="1"/>
  <c r="F3" i="37" l="1"/>
  <c r="F6" i="37" s="1"/>
  <c r="K2" i="36"/>
  <c r="F3" i="38" l="1"/>
  <c r="F6" i="38" s="1"/>
  <c r="K2" i="37"/>
  <c r="K2" i="38" l="1"/>
  <c r="F3" i="39"/>
  <c r="F6" i="39" s="1"/>
  <c r="F3" i="40" l="1"/>
  <c r="F6" i="40" s="1"/>
  <c r="K2" i="39"/>
  <c r="F3" i="41" l="1"/>
  <c r="F6" i="41" s="1"/>
  <c r="K2" i="40"/>
  <c r="F3" i="42" l="1"/>
  <c r="F6" i="42" s="1"/>
  <c r="K2" i="41"/>
  <c r="K2" i="42" l="1"/>
  <c r="F3" i="43"/>
  <c r="F6" i="43" s="1"/>
  <c r="F3" i="44" l="1"/>
  <c r="F6" i="44" s="1"/>
  <c r="K2" i="43"/>
  <c r="F3" i="45" l="1"/>
  <c r="F6" i="45" s="1"/>
  <c r="K2" i="44"/>
  <c r="K2" i="45" l="1"/>
  <c r="F3" i="46"/>
  <c r="F6" i="46" s="1"/>
  <c r="K2" i="46" l="1"/>
  <c r="F3" i="47"/>
  <c r="F6" i="47" s="1"/>
  <c r="K2" i="47" l="1"/>
  <c r="F3" i="48"/>
  <c r="F6" i="48" s="1"/>
  <c r="K2" i="48" l="1"/>
  <c r="F3" i="49"/>
  <c r="F6" i="49" s="1"/>
  <c r="F3" i="50" l="1"/>
  <c r="F6" i="50" s="1"/>
  <c r="K2" i="49"/>
  <c r="F3" i="51" l="1"/>
  <c r="F6" i="51" s="1"/>
  <c r="K2" i="50"/>
  <c r="K2" i="51" l="1"/>
  <c r="F3" i="52"/>
  <c r="F6" i="52" s="1"/>
  <c r="F3" i="53" l="1"/>
  <c r="F6" i="53" s="1"/>
  <c r="K2" i="52"/>
  <c r="F3" i="54" l="1"/>
  <c r="F6" i="54" s="1"/>
  <c r="K2" i="53"/>
  <c r="K2" i="54" l="1"/>
  <c r="F3" i="55"/>
  <c r="F6" i="55" s="1"/>
  <c r="F3" i="56" l="1"/>
  <c r="F6" i="56" s="1"/>
  <c r="K2" i="55"/>
  <c r="F3" i="57" l="1"/>
  <c r="F6" i="57" s="1"/>
  <c r="K2" i="56"/>
  <c r="F3" i="58" l="1"/>
  <c r="F6" i="58" s="1"/>
  <c r="K2" i="57"/>
  <c r="K2" i="58" l="1"/>
  <c r="F3" i="59"/>
  <c r="F6" i="59" s="1"/>
  <c r="F3" i="60" l="1"/>
  <c r="F6" i="60" s="1"/>
  <c r="K2" i="59"/>
  <c r="K2" i="60" l="1"/>
  <c r="F3" i="61"/>
  <c r="F6" i="61" s="1"/>
  <c r="K2" i="61" l="1"/>
  <c r="F3" i="62"/>
  <c r="F6" i="62" s="1"/>
  <c r="F3" i="63" l="1"/>
  <c r="F6" i="63" s="1"/>
  <c r="K2" i="62"/>
  <c r="F3" i="65" l="1"/>
  <c r="F6" i="65" s="1"/>
  <c r="K2" i="63"/>
  <c r="K2" i="65" l="1"/>
  <c r="F3" i="67"/>
  <c r="F6" i="67" s="1"/>
  <c r="K2" i="67" l="1"/>
  <c r="F3" i="68"/>
  <c r="F6" i="68" s="1"/>
  <c r="F3" i="69" l="1"/>
  <c r="F6" i="69" s="1"/>
  <c r="K2" i="68"/>
  <c r="F3" i="70" l="1"/>
  <c r="F6" i="70" s="1"/>
  <c r="K2" i="69"/>
  <c r="K2" i="70" l="1"/>
  <c r="F3" i="71"/>
  <c r="F6" i="71" s="1"/>
  <c r="K2" i="71" l="1"/>
  <c r="F3" i="72"/>
  <c r="F6" i="72" s="1"/>
  <c r="F3" i="73" l="1"/>
  <c r="F6" i="73" s="1"/>
  <c r="K2" i="72"/>
  <c r="F3" i="74" l="1"/>
  <c r="F6" i="74" s="1"/>
  <c r="K2" i="73"/>
  <c r="F3" i="75" l="1"/>
  <c r="F6" i="75" s="1"/>
  <c r="K2" i="74"/>
  <c r="K2" i="75" l="1"/>
  <c r="F3" i="76"/>
  <c r="F6" i="76" s="1"/>
  <c r="F3" i="77" l="1"/>
  <c r="F6" i="77" s="1"/>
  <c r="K2" i="76"/>
  <c r="K2" i="77" l="1"/>
  <c r="F3" i="78"/>
  <c r="F6" i="78" s="1"/>
  <c r="K2" i="78" l="1"/>
  <c r="F3" i="80"/>
  <c r="F6" i="80" s="1"/>
  <c r="F3" i="81" l="1"/>
  <c r="F6" i="81" s="1"/>
  <c r="K2" i="80"/>
  <c r="F3" i="82" l="1"/>
  <c r="F6" i="82" s="1"/>
  <c r="K2" i="81"/>
  <c r="F3" i="83" l="1"/>
  <c r="F6" i="83" s="1"/>
  <c r="K2" i="82"/>
  <c r="F3" i="84" l="1"/>
  <c r="F6" i="84" s="1"/>
  <c r="K2" i="83"/>
  <c r="K2" i="84" l="1"/>
  <c r="F3" i="85"/>
  <c r="F6" i="85" s="1"/>
  <c r="F3" i="86" l="1"/>
  <c r="F6" i="86" s="1"/>
  <c r="K2" i="85"/>
  <c r="K2" i="86" l="1"/>
  <c r="F3" i="87"/>
  <c r="F6" i="87" s="1"/>
  <c r="F3" i="88" l="1"/>
  <c r="F6" i="88" s="1"/>
  <c r="K2" i="87"/>
  <c r="K2" i="88" l="1"/>
  <c r="F3" i="89"/>
  <c r="F6" i="89" s="1"/>
  <c r="F3" i="90" l="1"/>
  <c r="F6" i="90" s="1"/>
  <c r="K2" i="89"/>
  <c r="K2" i="90" l="1"/>
  <c r="F3" i="91"/>
  <c r="F6" i="91" s="1"/>
  <c r="K2" i="91" l="1"/>
  <c r="F3" i="92"/>
  <c r="F6" i="92" s="1"/>
  <c r="F3" i="93" l="1"/>
  <c r="F6" i="93" s="1"/>
  <c r="K2" i="92"/>
  <c r="F3" i="94" l="1"/>
  <c r="F6" i="94" s="1"/>
  <c r="K2" i="93"/>
  <c r="F3" i="95" l="1"/>
  <c r="F6" i="95" s="1"/>
  <c r="K2" i="94"/>
  <c r="F3" i="96" l="1"/>
  <c r="F6" i="96" s="1"/>
  <c r="K2" i="95"/>
  <c r="K2" i="96" l="1"/>
  <c r="F3" i="97"/>
  <c r="F6" i="97" s="1"/>
  <c r="F3" i="98" l="1"/>
  <c r="F6" i="98" s="1"/>
  <c r="K2" i="97"/>
  <c r="F3" i="99" l="1"/>
  <c r="F6" i="99" s="1"/>
  <c r="K2" i="98"/>
  <c r="F3" i="100" l="1"/>
  <c r="F6" i="100" s="1"/>
  <c r="K2" i="99"/>
  <c r="F3" i="101" l="1"/>
  <c r="F6" i="101" s="1"/>
  <c r="K2" i="100"/>
  <c r="K2" i="101" l="1"/>
  <c r="F3" i="102"/>
  <c r="F6" i="102" s="1"/>
  <c r="K2" i="102" l="1"/>
  <c r="F3" i="103"/>
  <c r="F6" i="103" s="1"/>
  <c r="K2" i="103" l="1"/>
  <c r="F3" i="104"/>
  <c r="F6" i="104" s="1"/>
  <c r="K2" i="104" l="1"/>
  <c r="F3" i="105"/>
  <c r="F6" i="105" s="1"/>
  <c r="F3" i="106" l="1"/>
  <c r="F6" i="106" s="1"/>
  <c r="K2" i="105"/>
  <c r="K2" i="106" l="1"/>
  <c r="F3" i="107"/>
  <c r="F6" i="107" s="1"/>
  <c r="K2" i="107" l="1"/>
  <c r="F3" i="108"/>
  <c r="F6" i="108" s="1"/>
  <c r="F3" i="109" l="1"/>
  <c r="F6" i="109" s="1"/>
  <c r="K2" i="108"/>
  <c r="F3" i="110" l="1"/>
  <c r="F6" i="110" s="1"/>
  <c r="K2" i="109"/>
  <c r="K2" i="110" l="1"/>
  <c r="F3" i="111"/>
  <c r="F6" i="111" s="1"/>
  <c r="K2" i="111" l="1"/>
  <c r="F3" i="112"/>
  <c r="F6" i="112" s="1"/>
  <c r="K2" i="112" l="1"/>
  <c r="F3" i="113"/>
  <c r="F6" i="113" s="1"/>
  <c r="K2" i="113" l="1"/>
  <c r="F3" i="114"/>
  <c r="F6" i="114" s="1"/>
  <c r="K2" i="114" l="1"/>
  <c r="F3" i="115"/>
  <c r="F6" i="115" s="1"/>
  <c r="K2" i="115" l="1"/>
  <c r="F3" i="116"/>
  <c r="F6" i="116" s="1"/>
  <c r="F3" i="117" l="1"/>
  <c r="F6" i="117" s="1"/>
  <c r="K2" i="116"/>
  <c r="K2" i="117" l="1"/>
  <c r="F3" i="118"/>
  <c r="F6" i="118" s="1"/>
  <c r="K2" i="118" l="1"/>
  <c r="F3" i="119"/>
  <c r="F6" i="119" s="1"/>
  <c r="K2" i="119" l="1"/>
  <c r="F3" i="120"/>
  <c r="F6" i="120" s="1"/>
  <c r="F3" i="66" l="1"/>
  <c r="F6" i="66" s="1"/>
  <c r="K2" i="66" s="1"/>
  <c r="K2" i="120"/>
</calcChain>
</file>

<file path=xl/sharedStrings.xml><?xml version="1.0" encoding="utf-8"?>
<sst xmlns="http://schemas.openxmlformats.org/spreadsheetml/2006/main" count="5257" uniqueCount="2997">
  <si>
    <t>Rotexmedica Lager</t>
  </si>
  <si>
    <t>Übertrag aus Vormonat:</t>
  </si>
  <si>
    <t>Datum</t>
  </si>
  <si>
    <t>Ein-
lagerung</t>
  </si>
  <si>
    <t>Aus-
lagerung</t>
  </si>
  <si>
    <t>Zu- / 
Abgang</t>
  </si>
  <si>
    <t>Lagerbestand
ist</t>
  </si>
  <si>
    <t>Bewegung
Einlagerung</t>
  </si>
  <si>
    <t>Bewegung
Auslagerung</t>
  </si>
  <si>
    <t>Summe
Bewegungen</t>
  </si>
  <si>
    <t>EB-Nummer(n)</t>
  </si>
  <si>
    <t>469387, 471423, 471424, 471425, 471426, 471427, 471428, 469381, 469382, 469383, 
469384, 469385, 469386, 471325, 471326, 471327, 471328, 471329, 471330, 471413, 
471414, 471415, 471416, 471417, 471418, 471419, 471420, 471421, 471422, 468400, 
468401, 468402, 468403, 469861, 469862, 469863, 469864, 469865, 469866, 469867</t>
  </si>
  <si>
    <t>411219, 467551, 467552, 467553, 467554, 456633, 456634, 467365, 467366, 467367, 467369, 468965, 468966, 468967, 468968, 469955, 469956, 469957, 469958, 469959, 469960, 469961, 469962, 469963, 469964, 469965, 469966, 469967, 469968, 469969, 469970, 469971, 469972, 416989, 435089, 435122, 448095, 449589, 449590, 449591, 449592, 449593, 449594, 449595, 449596, 449597, 449598, 466984, 466985, 466986, 363722, 363723, 363724, 363725, 363726, 363727, 636728, 363729</t>
  </si>
  <si>
    <t>373324, 373325, 373326, 418778, 418779, 422536, 428126, 428127, 428128, 428129, 428130, 415147, 415148, 415149, 415150, 469538, 469539, 469540, 469541, 469542, 469543, 416795, 418775, 418776, 418777, 469547, 469548, 469549, 411727, 472332, 472333, 472334, 472335, 472336, 472337, 472338, 472339, 469842, 469843, 469844, 469845, 469846, 469847, 469848, 469849, 469850, 404327, 443412, 443413, 443414, 443415, 402096, 415512, 415513, 415514</t>
  </si>
  <si>
    <t>439326, 458556, 467712, 467715, 467716, 462178, 439228, 448452, 468485, 466813, 431527, 463265, 463707, 463709, 463713, 426168, 431956, 448164, 453003, 441385, 461826, 461827, 460805, 431519, 426170, 441376, 417714, 470910, 470911, 470912, 470913, 470914, 470915, 470916, 444963, 400696, 400697, 416469, 407965, 472255, 472256, 472257, 472258, 472259, 417717, 417718, 417719, 402733, 415156, 472811, 472812, 472813, 472814, 472815, 472816</t>
  </si>
  <si>
    <t xml:space="preserve">
8 reservierte Plätze für ROTEXMEDICA: Regal C / Fach 4-5-6-7
C13,12,11,10 / C31 / C75,74,73</t>
  </si>
  <si>
    <t>472255, 472256, 472257, 472258, 472259</t>
  </si>
  <si>
    <t>469381, 469382, 469383, 469384, 469385, 469386, 469387</t>
  </si>
  <si>
    <t>Traffic Bewegungen : Kontingent</t>
  </si>
  <si>
    <t>468965, 468966, 468967, 468968, 472332, 472333, 472335</t>
  </si>
  <si>
    <t>472337, 472338, 472339</t>
  </si>
  <si>
    <t>472336, 471413, 471414, 471415, 471416, 471417, 471418</t>
  </si>
  <si>
    <t>472811, 472812, 472813, 428126</t>
  </si>
  <si>
    <t>476805, 476806, 476807, 476808, 476809, 476810, 476811, 476812, 476813, 476814</t>
  </si>
  <si>
    <t>469955, 469956, 469957, 469958, 469959, 469960, 469961, 469962, 469963, 469964,
469965, 469966, 469967, 469968, 469969, 469970, 469971, 469972</t>
  </si>
  <si>
    <t xml:space="preserve">Lösemittelentsorgungskanister </t>
  </si>
  <si>
    <t>Abgeholt und eingelagert nach Rg.Schluss am 31.01.17</t>
  </si>
  <si>
    <t>477377, 477378, 477379, 477380, 477381, 477382, 477383, 477384, 477385, 477386, 
477387, 477388, 477389, 477390, 477391, 477392</t>
  </si>
  <si>
    <t>470910, 470911, 470912, 470913, 470914, 470915, 470916</t>
  </si>
  <si>
    <t>471325, 471326, 471327, 471328, 471329, 471330, 418775, 418777, 441376, 
466813 (davon nur ein Bulk = 1 Paket)</t>
  </si>
  <si>
    <t>469482, 469843, 469844, 469845, 469846, 469847, 469848, 469849, 469850</t>
  </si>
  <si>
    <t>469482 wurde telef. nachgefordert und mit der 2. Tour geliefert!</t>
  </si>
  <si>
    <t>477554, 477555, 477556, 477557, 477558, 477562, 477563, 477564,477565, 477566, 477567, 477568, 477569</t>
  </si>
  <si>
    <t>450797, 450798, 450800, 457463, 457464, 457465, 468395, 468396, 468397, 468398, 
468399, 472412, 472413, 476270, 476271, 476272, 474889</t>
  </si>
  <si>
    <t>Abruf telefonisch Thomas Zeh</t>
  </si>
  <si>
    <t>478662, 478663, 478664, 478665, 478666, 478667, 478668, 478669, 478670, 478671, 
478672, 478673, 478674, 478675, 478676, 478677, 478678, 478679, 478680, 478681, 478682, 478683</t>
  </si>
  <si>
    <t xml:space="preserve">Rotexmedica Lager </t>
  </si>
  <si>
    <t>Kontingent:</t>
  </si>
  <si>
    <t>Verfügbar:</t>
  </si>
  <si>
    <t>471419, 471420, 471421</t>
  </si>
  <si>
    <t>457925 (+457696+457970+457971+457972+457973=Stapel1)
457974 (+457976+457977+457978+457980+457981=Stapel2)
457982 (+457983+457984+457985+457986+457987=Stapel3)
479307, 479308, 479309, 479810, 399339, 448256, 462771, 462772, 462773VS, 477039, 
456180, 439506, 465539VS, 471862, 471863, 471867, 471868, 471869, 471870, 459742, 459743VS, 459744, 447579, 448261</t>
  </si>
  <si>
    <t>Lager-Erweiterung ab heute auf 252 Plätze</t>
  </si>
  <si>
    <t xml:space="preserve">363723, 363724, 415514, 471422, 471423, 471424, 471425, 471426, 477562, 477563
477564, 428127, 428128, 477377, 477378, 477379, 477380, 477381, 477382, 472814
472815, 472816
Bitte einen vollen Karton von der EB 399339.
und eb0Lösemittelentsorgungskanister mit den leeren Kanistern.
</t>
  </si>
  <si>
    <t>399339 (Rest:3 Krt)</t>
  </si>
  <si>
    <t>445232, 416424, 420039, 421352, 475878, 373322, 373323, 452407, 460962, 476707, 
476708, 476709, 476710, 476711, 469090, 468041, 469535, 469536, 469537, 449741, 468242, 469969, 469970, 469971, 469972, 472044, 472045, 437052, 447694, 479221</t>
  </si>
  <si>
    <t>467712, 467715, 467716, Fahrkorb</t>
  </si>
  <si>
    <t>415514, 363724, 363723, Arbeitskorb</t>
  </si>
  <si>
    <t>441385, 462178, 471427, 471428, 478662, 478663, 478664, 469969, 469970, 469971, 
469972</t>
  </si>
  <si>
    <t>481583, 481584, 481585, 481586, 481587, 481588, 481589, 481590, 481591, 481592, 481593, 481594, 481595, 481596, 481597, 481598, 481599, 481600, 481601, 481602, 481603, 481604, 481605, 481606, 481607, 481608, 481609, 481610</t>
  </si>
  <si>
    <t>Direkt-Anlieferung i.A. Rotex per Container. Papiere wurden bei  Rotex gemacht.</t>
  </si>
  <si>
    <t>477383, 477384, 477385, 477386, 477387, 477388, 477389, 477390, 477391, 477392</t>
  </si>
  <si>
    <t>478665, 478666, 478667, 478668, 471862, 471863, 477565, 477566, 472044, 472045, 456633, 456634</t>
  </si>
  <si>
    <t>482500, 482501, 482502, 482503, 482504, 482505, 482506, 482507, 482508, 482509</t>
  </si>
  <si>
    <t>468041, 469090, 477567, 477568, 477569, 469535</t>
  </si>
  <si>
    <t>482761, 482762, 482763, 482764, 482765, 482766, 482767, 482768</t>
  </si>
  <si>
    <t>417717, 417718, 417719, 402733, 416469, 415147, 415148, 415149, 415150, 400696, 400697, 407965, 417714</t>
  </si>
  <si>
    <t>Umfuhr Vernichtung</t>
  </si>
  <si>
    <t>476707, 476708, 476709, 476710, 476711, 447964, 479221, 445232, 452407, 460962, 
468395, 468396, 468397, 468398, 468399, 468400, 468401, 468402, 468403, 469861, 
469862, 469863, 469864, 469865, 469866, 469867</t>
  </si>
  <si>
    <t>481813, 481814, 481815, 481816, 481817, 481818, 481819, 481820, 481713, 481714,
481715, 481716, 481717, 481718, 481719, 481720, 481721, 481722, 481723, 481724, 481725, 481726, 481727, 481728</t>
  </si>
  <si>
    <t>468485, 472412, 472413, 466813, 482500, 482501, 482502 , 482503, 482504, 482505, 482506, 482507, 482508, 482509</t>
  </si>
  <si>
    <t>480035, 480036, 480037, 480038, 480039, 479184, 479185, 480453, 480344, 480345, 
457992, 471670, 475830, 479876, 480277, 470113</t>
  </si>
  <si>
    <t>481721, 481722, 481723, 481724, 481725, 481726, 481727, 481728, 478669, 478670, 478671, 478672, 478673, 478674, 482761, 482762, 477554, 448452, 447579</t>
  </si>
  <si>
    <t>465539, 469547, 469548, 469549</t>
  </si>
  <si>
    <t>481593, 481594, 481595, 481596, 481597, 481598, 481599, 481600, 481601, 481602, 481603, 481604, 481605, 481606, 481607, 481608, 481609, 481610</t>
  </si>
  <si>
    <t>eb0 Arbeitskorb</t>
  </si>
  <si>
    <t>eb0 Arbeitskorb abgeholt für Datalogger, danach direkt wieder zurück</t>
  </si>
  <si>
    <t>481713, 481714, 481715, 481716, 480035, 480036, 480277, 418778, 418779, 478675, 478676, 478677, 478678, 482763, 482764, 482765, 477555</t>
  </si>
  <si>
    <t>485323, 485324, 485325, 485326, 485327, 485328, 485329, 485330, 485331, 483870, 483871, 483872, 483865, 483866, 483867, 483868, 483869, GrKis1, GrKis3, GrKis3, 485309, 485310, 485311, 485312, 485313, 485314, 469547, 469548, 469549, 485566, 485567, 485568, 485569, 485570, ArbKor</t>
  </si>
  <si>
    <t xml:space="preserve">481583, 481584, 481585, 481586 </t>
  </si>
  <si>
    <t>486242, 486243, 486244, 486245, 486246, 486247, 486248, 486249, 486250, 486251, 486252, 486253, 486254, 486255, 486256, 486257, 486258, 486259, 486260, 486261, 486262, 486263, 486270, 486271, 486272, 486273, 486274, 486275</t>
  </si>
  <si>
    <t>486283, 486284, 486285, 486286, 486287, 486288, 486289, 486290, 486291, 486292, 486293, 486294, 486295, 486296, 486297, 486298, 486299, 486300, 486301, 486302, 486303, 486304</t>
  </si>
  <si>
    <t>363722 Teilentnahme</t>
  </si>
  <si>
    <t>431519  Teilentnahme (26 Kartons)</t>
  </si>
  <si>
    <t>475830, 479876</t>
  </si>
  <si>
    <t>457925 (+457696+457970+457971+457972+457973=Stapel1)
457974 (+457976+457977+457978+457980+457981=Stapel2)
457982 (+457983+457984+457985+457986+457987=Stapel3)
479184, 479185, 459742, 478679, 478680, 478681, 478682, 482766, 482767, 482768, 
485323, 477556, 477557, 477558, 404327, 443412, 443413, 443414, 443415, 449589, 
449590, 449591, 449592, 449593, 467365, 467366, 485566, 485567, 485568</t>
  </si>
  <si>
    <t>488594, 488595, 488596, 488603, 488604, 488605, 488606, 488607, 488608, 488609, 488610, 488611, 488612, 488597, 488598, 488621, 488622, 488623, 488624, 488625, 488626, 487804, 487805, 487806, 487807, 487808, 487758, 487759, 487760, 487761, 487672, 488655, 488656, 488657, 488658, 488659, 488660, 488661, 488662, 488278</t>
  </si>
  <si>
    <t>481587, 481588, 481589, 481590, 481591, 481592</t>
  </si>
  <si>
    <t>480038, 480039, 437052</t>
  </si>
  <si>
    <t>480037, 488621, 488622, 488623, 488624, 488625, 488626, 488278, 488594, 488595, 
488596</t>
  </si>
  <si>
    <t>490232, 490233, 490234, 490235, 490236, 490237, 490238, 490239, 490240, 490249, 
490250, 490251, 490252, 490253, 490254, 490255, 490256, 490257</t>
  </si>
  <si>
    <t>490336, 490337, 490338, 490339, 490340, 490341, 490342, 490343, 490344, 490345, 490346, 490347, 490348</t>
  </si>
  <si>
    <t>Lager-Erweiterung ab heute auf 264 Plätze</t>
  </si>
  <si>
    <t xml:space="preserve">481717, 481718, 481719, 481720, 481813, 486242, 486243, 486244, 486245, 486246, 
486247, 486248, 486249, 486250, 486251, 487804, 487805, 487806, 487807, 487808, 
480453, 478683, 486283, 486284, 486285, 486286, 486287, 471867, 485324, 485325, 
485326, 485327, 486270, 486271, 488597, 488598, 485569, 485570, 480344, 480345, 
483865, 483866, 483867
</t>
  </si>
  <si>
    <t>489891, 489892, 489893, 482253, 490244, 490245, 490246, 490247, 440879, 440881, 
485515, 489572, 489580, 489581, 489584, 489585, 489589, 489591, 489596, 490064, 
490065, 490066, 490067, 490068, 490069, 490072, 490074, 490075, 490076, 490077, 
490080, 490081, 490082, 490083, 490302</t>
  </si>
  <si>
    <t>eb0ArbKor</t>
  </si>
  <si>
    <t>Lager-Erweiterung ab heute auf 276 Plätze</t>
  </si>
  <si>
    <t>491572, 491573, 491574, 491575, 491576, 491577, 491578, 491579, 491580, 491581, 
491582, 491583, 491497, 491498, 491499, 491500, 491501, 491502, 491503, 491504, 
491505, 491506</t>
  </si>
  <si>
    <t>485515, 489572, 486288, 486289, 486290</t>
  </si>
  <si>
    <t>491997, 491998, 491999, 492000, 492001, 492002, 492003</t>
  </si>
  <si>
    <t>488603, 488604, 488605, 488606, 488607, 488608, 485309, 485310, 483869, 483870, 
483871 ,490232, 490233, 490234, 490235, 490236, 490249, 490250, 490251, 490252, 
490253, 490244, 490245, 490246, 490247, 489580, 489581</t>
  </si>
  <si>
    <t>492519, 492520, 492521, 492522, 492523, 492524, 492525, 492526</t>
  </si>
  <si>
    <t>Extra 
Handling</t>
  </si>
  <si>
    <t>490337 bis 490348 = 12 Pal. Auslagern, jeweils 62 Vials entnehmen, 
in Karton packen, beschriften, auf EWP verpacken</t>
  </si>
  <si>
    <t>490337 bis 490348 = 12 Pal. Einlagern</t>
  </si>
  <si>
    <t>493451, 493452, 493453, 493454, 493455, 493456, 493457, 493458, 493459, 493460,
493461, 493462, 493463, 493464, 493465, 493466, 493467, 493468, 493469, 493470,
493471, 493472, 493473, 493474, 493475, 496476</t>
  </si>
  <si>
    <t>Lager-Erweiterung ab heute auf 288 Plätze</t>
  </si>
  <si>
    <t>493719, 493420, 493721, 493722, 493723, 493724, 493725, 493726, 493727, 493728,
493729, 493730, 493731, 493732, 493733, 493734, 493735, 493736, 493737, 493738,
493739, 493740, 493741, 493742, 493743, 493744, ArbKor</t>
  </si>
  <si>
    <r>
      <t xml:space="preserve">Lager-Erweiterung ab heute (13.11.2017) um 132 auf 420 Plätze (siehe email, Ronny Wulff)
</t>
    </r>
    <r>
      <rPr>
        <sz val="11"/>
        <rFont val="Calibri"/>
        <family val="2"/>
        <scheme val="minor"/>
      </rPr>
      <t>es fehlen: 493743 + 473744, dafür 493722 dreimal vorhanden (13.11.17) -- wurde am 14.11.17 korrigiert! MK</t>
    </r>
  </si>
  <si>
    <t>493870, 493872, 493873, 493874, 493875, 493876, 493877, 493878, 493879</t>
  </si>
  <si>
    <t>493957, 493958, 493959, 493960, 493961, 493962, 493963, 493964, 493965, 493966,
493967, 493968, 493969, 493970, 493971, 493972</t>
  </si>
  <si>
    <t>490254, 490255, 490256, 490257</t>
  </si>
  <si>
    <t>494074, 494075, 494076, 494077, 494078, 494079, 494080, 494081, 492471, 492472</t>
  </si>
  <si>
    <t>486272, 486273, 486274, 486275</t>
  </si>
  <si>
    <t>489891, 489892, 489893</t>
  </si>
  <si>
    <t xml:space="preserve">000001, 000002, 000003, 000004, 000005, 000006, 000007, 000008, 000009, 000010, 
000011, 000012, 000013, 000014, 000015, 000016, 000017, 494410, 494411 </t>
  </si>
  <si>
    <t>494444, 494445, 494446, 494447, 494448, 494449, 494450, 494451, 494452, 494453, 494454, 494455, 494456, 494457</t>
  </si>
  <si>
    <t>493451, 493452, 493453, 493454, 493455, 493957, 493958, 493959, 493960, 493961, 
493962, 493963, 493694</t>
  </si>
  <si>
    <t>Handling Zwischenlager Block - Paletten labeln</t>
  </si>
  <si>
    <r>
      <t xml:space="preserve">35x Doppelpaletten eb0 (Fremdanlieferung) </t>
    </r>
    <r>
      <rPr>
        <sz val="11"/>
        <color rgb="FFFF0000"/>
        <rFont val="Calibri"/>
        <family val="2"/>
        <scheme val="minor"/>
      </rPr>
      <t>wird gedoppelt Eingelagert = 18 Pal.</t>
    </r>
  </si>
  <si>
    <t>449594, 449595, 449596, 449597, 449598, 459743, 459744, 486291, 486292, 486293, 
486294, 489584, 489585, 489589, 489591, 491497, 491498, 491499, 492519, 492520, 492521</t>
  </si>
  <si>
    <t>494810, 494811, 494812, 494813, 494814, 494815, 494816, 494817, 000018A, 000018B, 000019A, 000019B</t>
  </si>
  <si>
    <t>494736, 494947, 494948, 494949, 494950, 494951, 494952, 494953, 494954, 494955, 494956, 494957, 494958, 494959, 494960, 494961, 494962, 494963</t>
  </si>
  <si>
    <t>493965, 493966, 493465, 493466, 485328, 485329, 487758, 491997, 467367</t>
  </si>
  <si>
    <t>494444, 494445, 494446, 494447, 494448, 489596, 490064, 490065, 490066, 493473, 
493474, 493475, 493476, 486295, 486296, 486297, 493720, 493721, 493722, 493723, 
491998</t>
  </si>
  <si>
    <t>483868, 483872, 488655, 493467, 493468, 493469, 493470, 494449, 494450, 494451, 
494452, 494453, 486298, 486299, 486300, 491500, 491501, 491502, 491503, 488609, 
488610, 488611, 488612</t>
  </si>
  <si>
    <t>495672, 495673, 495674, 495675, 495676, 495677</t>
  </si>
  <si>
    <t>492522, 492523, 492524, 492525, 492526</t>
  </si>
  <si>
    <t>000020, 000021, 000022, 000023, 000024, 000025, 000026, 000027, 000028, 000029, 
000030, 000031, 000032, 000033, 000034, 000035, 000036, 000037, 000038, 000039, 
000040</t>
  </si>
  <si>
    <t>485311, 485312, 493967, 493968, 493969, 494454, 494455, 494456, 494457, 494074, 494075, 494076, 494077, 494078, 494079, 494080, 494081, 486301, 486302, 485330, 485331, 493872, 493873, 487759, 487760, 490339, 490340, 490341, 467369, 490240, 491572, 491573, 491574, 491575, 491576, 491577, 491578, 492472, 440881, 440879, 492471</t>
  </si>
  <si>
    <t>485313, 485314, 469548, 469547, 491504, 491505, ArbKor</t>
  </si>
  <si>
    <t>444963, 431956, 416424, 426168, 462771, 439326, 448261, 456180, 448256, 477039, 
399339, 416795, 428129, 000022, 000023, 000024, 476272 (Teilentnahme!)</t>
  </si>
  <si>
    <t>496598, 496599, 496600, 496601, 496602, 496603, 496604, 496605, 496607, 496608, 
496609, 496610, 496611, 496612, 496613, 496614, 496615, 496616, 496618, 496619, 
496620, 496621, 496622, 496623, 496624, 496625, 496626, 496627, 496628, 496629, 
496630, 496632, 496633, 496635, 496636, 496637, 496638, 496639, 496671, ArbKor</t>
  </si>
  <si>
    <t>494810, 494811, 494812, 494813, 494814, 494815, 494816, 494817, 493719, 493724, 
493725, 493726, 493970, 493971, 493972</t>
  </si>
  <si>
    <t>496846, 496847, 496848, 496849, 496850</t>
  </si>
  <si>
    <t>497036, 497037, 497038, 497039, 497040, 497041, 497042, 497043, 459743, 459744, 
487928, 481813, 479024, 492192, 479023</t>
  </si>
  <si>
    <t>431527, 467551, 467552, 467553, 416989, 435089, 435122</t>
  </si>
  <si>
    <t>497180, 497181, 497182, 497183, 497184, 497185, 497187, 497068, 497069 EUP def., 
497071, 497073, 497144, 497145, 497146, 497147, 497148, 497188, 497074</t>
  </si>
  <si>
    <t>493456, 493457, 493458, 493459, 493460, 493461, 493462, 493463, 491999, 492000, 
491506, 486303, 486304</t>
  </si>
  <si>
    <t>480148, 480822, 486080, 487851, 489447, 489448, 492102, 492103, 492104, 492105, 492107, 492108, 493016, 493017, 493018, 496524, 497379, 497380, ohneEB-Nr.</t>
  </si>
  <si>
    <t>497480, 497481, 497482, 497483, 497484, 497485, 497553, 497554, 497555, 497556, 
497557, 497486, 497494, 497495, 497496, 497497, 497498, 497501, 497502, 497503, 
497504, 497505, 497506, 497507, 497508, 497509, 497510, 497511, 497512, 497513, 
497514, 497515, 497516, 497517, 497518, 497519, 497520, 497521, 497522, 497523, 
497524, 497525, 497526, 497527, 497528, 497529, 497530, 497531, 497532, 497533, 
489224</t>
  </si>
  <si>
    <t>ohneEB-Nr.</t>
  </si>
  <si>
    <t>000026, 493727, 493728, 493729, 493730, 493731, 493732, 493733, 493734, 493735, 
493736, 493737, 493738, 493739, 493740, 493741, 493742, 493743, 493744</t>
  </si>
  <si>
    <t>490068, 490069, 490072, 490074, 490075, 488656, 488657, 488658, 488659, 488660</t>
  </si>
  <si>
    <t>494410, 494411, 497480, 490237, 490238, 490239, 491579, 479309</t>
  </si>
  <si>
    <t>497916, 497917, 497918, 497919, 497920, 497921, 497922, 497923, 497924, 497925,
497926, 497927, 497928, 497929, 497930, 497931, 497932, 497933, 497934, 497935,
497936, 497937, 497938, 497939, 497940, 497941, 497942, 497943, 497944, 497945,
497946, 497947, 497948, 497949, 497950, 497951, 497952, 497953, 497954, 497955,
497956, 497957, 497958, 497905, 497906, 497907, 497908, 497909, 497910, 497911, 
498062, 498063, 498064, 498065, 498066, 498067, 498068, 498069, 498070, 498071, 
498072, 498073, 498074, 498075, 498076, 498077, 498078, 498079, 498080, 498081</t>
  </si>
  <si>
    <t>000026, 498096, 498097, 498098, 498099, 498100, 498101, 498102, 498150, 498151, 498152, 498153, 498154, 498155, 498156, 498157, 498158, 498159</t>
  </si>
  <si>
    <t>Lager-Erweiterung ab heute auf 456 Plätze</t>
  </si>
  <si>
    <t>496598, 496599, 496600, 496601, 491580, 491581, 490067, 490076, 493870, 493874, 493875, 494736, 494947, 457992, 471670</t>
  </si>
  <si>
    <t>498362, 498363, 498364, 498365, 498366, 498367, 498368, 498369, 498370, 498371, 
498372, 498373, 498375, 000041, 000042</t>
  </si>
  <si>
    <t>498507, 498508, 498509, 498510, 498511, 498512, 498513, 498514, 498515, 498516</t>
  </si>
  <si>
    <t>497501, 497502, 497503, 497504, 497505, 497506, 497507, 497508, 497509, 497510, 
497511, 497512, 497513, 497514, 498062, 498063, 494948, 494949, 494950, 496602, 
496603, 496604, 490077, 490080, 490081</t>
  </si>
  <si>
    <t>QS zieht Paletten-Nr.: 0026, 0016, 0017, 0027, 0033, 0034, 0035, 0036, 0038</t>
  </si>
  <si>
    <t>363722, 363723, 363724, 363725, 363726, 363727, 363728, 363729</t>
  </si>
  <si>
    <t>zur Vernichtung</t>
  </si>
  <si>
    <t>Lager-Erweiterung ab heute auf 492 Plätze</t>
  </si>
  <si>
    <t>Proben ziehen, auf EW-Pal. packen und an Rotex liefern</t>
  </si>
  <si>
    <t>4+5 Trays auf 1 EW-Pal.</t>
  </si>
  <si>
    <t>498769, 498770, 498771, 498772, 498773, 498774, 498775, 498776, 498777, 498778, 498779, 498780, 498781, 498782, 498812, 498813, 498814, 498815, 498816, 498817, 498818, 498819, 498820, 498821, 498822, 498823, 498824, 498783, 498784, 498785, 498786, 498787, 498788, 498789, 498790, 498791, 498792, 498793, 498794, 498795, 498796, 498797, 498798, 498799, 498800, 498801, 498802, 498803, 498804, 498805, 498806, 498807, 498808, 498809, 498810, 498811, 000043, 000044, 000045, 000046</t>
  </si>
  <si>
    <t>496618, 496619, 496620, 496605, 496607, 491582, 491583, 496632</t>
  </si>
  <si>
    <t>498941, 498942, 498943, 498944</t>
  </si>
  <si>
    <t>490082, 490083</t>
  </si>
  <si>
    <t>499118, 499119, 499120, 499121, 499124, 499127, 499128, 499129, 499130, 499133, 
499134, 499135, 499136</t>
  </si>
  <si>
    <t>497905, 497906, 497907, 498769, 498770, 498771, 498772, 498773, 498774, 498775, 498776, 498777, 498778, 498779, 497780, 498781, 498782</t>
  </si>
  <si>
    <t>497515, 497516, 497517, 497518, 497519, 497520, 497521, 497522, 497523, 497524, 497525, 497526, 497527, 497037, 488661, 488662, 497036, 490302, 498362, 498363</t>
  </si>
  <si>
    <t>499452, 499453, 499454, 499455, 499456, 499457, 499458, 499459, 499460, 499461, 499462, 499463, 499464, 499465, 499466, 499467</t>
  </si>
  <si>
    <t>498064, 498065, 498066, 498067, 498068, 498069, 497528, 467529, 497530, 497531, 
497532, 497533, 497908, 494951, 494952, 493876, 493877, 493878, 493364, 493365</t>
  </si>
  <si>
    <t>497481, 498070, 460805, 497038, 497379, 494953, 494954, 487761, 497909, 496633, 496635, 496636, 496637, 496621, 496622, 496623, 496624, 496625, 498366</t>
  </si>
  <si>
    <t>499803, 499804, 499805, 499806, 499807, 499808, 499809, 499810, 499811, 499812, 
499813</t>
  </si>
  <si>
    <t>498783, 498784, 498785, 498786, 498787, 498788, 498789, 498790, 498791, 498792, 498793, 498794, 498795, 498796, 498797, 498798, 498367, 498368, 498369, 498370</t>
  </si>
  <si>
    <t>479308, 479310</t>
  </si>
  <si>
    <t>498071, 498072, 498073, 498074, 498075, 498076, 498077, 498078, 486252, 486253, 
486254, 486255, 486256, 486257, 486258, 486259, 486260, 486261, 486262</t>
  </si>
  <si>
    <t>"Regalbau" 2 Packstücke, gesamt 354x113x113 = 4,5 kbm</t>
  </si>
  <si>
    <t>Blocklager! Abrg. Lagergeld erfolgt gesondert über Rg. Pos.4</t>
  </si>
  <si>
    <t>498079, 498080, 498081</t>
  </si>
  <si>
    <t>498371, 498372, 498373, 498375, 499118, 497039, 497040, 497041, 497042, 497043</t>
  </si>
  <si>
    <t>498799, 498800, 498801, 498802, 498803, 498804, 498805, 498806</t>
  </si>
  <si>
    <t>500706, 500707, 500708, 500709, 500710, 500711, 500712, 500713, 500714, 500715, 
500716, 500717, 500718, 500719</t>
  </si>
  <si>
    <t>498807, 498808, 498809, 498810, 498811, 498941, 498942, 498943, 498944</t>
  </si>
  <si>
    <t>498812, 498813, 498814, 498815, 498816, 498817, 498818, 498819, 498820, 498821, 498822, 498823, 498824, 497930, 497931, 497932, 497933, 497934, 497935, 497936, 495672</t>
  </si>
  <si>
    <t>501008, 501009, 501010, 501011, 501012, 501013</t>
  </si>
  <si>
    <t>494955, 494956, 493879, 497180, 497181, 487762, 497068, 494957</t>
  </si>
  <si>
    <t>499452, 499453, 499454, 499455, 498150</t>
  </si>
  <si>
    <t>501092, 501093, 501094, 501095, 501096, 501097, 501098, 501099, 501100, 501101, 501102, 501103, 501104, 501105, 501106, 501107, 501108, 501109, 501110, 501111, 501112, 501113, 501114, 501115, 501116, 501117, 501118, 501119, 501120, 501121, 501122, 501123, 501124, 501125, 501126</t>
  </si>
  <si>
    <t>501339, 501340, 501341, 501342, 501343, 501344, 501345, 501346, 501347, 501348, 501349, 501350, 501351, 501352, 501353, 501354, 501355, 501356, 501357, 501358, 501359</t>
  </si>
  <si>
    <t>494958, 494959, 494960, 497182, 497069</t>
  </si>
  <si>
    <t>501545, 501546, 501547, 501548, 501549, 501550, 501551, 501552, 501553, 501554</t>
  </si>
  <si>
    <t>499456, 499457, 499458, 499459, 499460</t>
  </si>
  <si>
    <t>499119, 499120, 499121, 499124, 499127, 499128, 499461, 499462, 499463, 499464, 499465, 499466, 499467</t>
  </si>
  <si>
    <t>501868, 501869, 501870, 501871, 501872, 501874, 501875, 501876, 501877, 501878, 
501879, 501880, 501881</t>
  </si>
  <si>
    <t>501904, 501905, 501906, 501907, 501908, 501895, 501896, 501897, 501898, 501915, 501916, 501917, 501918, 501919, 501920, 501927, 501928, 501929, 501930, 501931, 501926</t>
  </si>
  <si>
    <t>497937, 497938, 497939, 497940, 497941</t>
  </si>
  <si>
    <t>Sonderfahrt</t>
  </si>
  <si>
    <t>499803, 499804</t>
  </si>
  <si>
    <t>502148, 502149, 502150, 502151, 502152, 502153, 502154, 502155, 502156, 502157, 502158, 502159, 502160, 502161, 502162, 502163, 502164, 502169, 502170, 502171, 502172, 502173, 502175</t>
  </si>
  <si>
    <t>490337, 490338, 490342, 490343, 500706, 500707, 500708, 500709, 476270, 476271, 476272, 496846, 496847, 496848</t>
  </si>
  <si>
    <t>502439, 502440, 502441, 502443, 502444, 502445, 502447, 502448, 502449, 502451</t>
  </si>
  <si>
    <t>Proben ziehen und an Rotex liefern</t>
  </si>
  <si>
    <t>502551, 505552, 502553, 502554, 502555, 502556, 502557, 502558, 502559, 502560, 
502561, 502562, 502563, 502564, 502565, 502566, 502567, 502568, 502569, 502570, 
502571, 502572, 502573, 502573, 502574, 502575, 502576, 502577, 502578, 502579, 
502580, 502581, 502582, 502583, 502584, 502586</t>
  </si>
  <si>
    <t>459743, 459744</t>
  </si>
  <si>
    <t>497144, 497145, 500710, 500711, 500712, 500713, 500714, 500715, 498096, 498097, 
498098, 498099, 498100, 497942, 497943, 497944, 497945, 497946, 497947, 497948, 
497949, 497950, 497951, 494961, 494962, 494963, 497183, 497184, 497071, 000045</t>
  </si>
  <si>
    <t>497910, 497911, 501545</t>
  </si>
  <si>
    <t>502859, 502860, 502861, 502862, 502863, 502864, 502865, 502866, 502877, 502878, 502879, 502870, 502871, 502872, 502873, 502874, 502875, 000045, 000047-A, 000047-B</t>
  </si>
  <si>
    <t>503010, 503011, 503012, 503013, 501314, 503015, 503016, 503017, 503018, 503019, 503020, 503021, 503022, 503023, 503024, 503025, 503026, 503027, 503028, 503029, 503030, 503031, 503032, 503033, 503034, 503035</t>
  </si>
  <si>
    <t>497952, 497953, 497954, 497955, 497956, 497957, 497958, 501099, 501100, 501101, 501102, 501103, 501104, 501105, 501106, 501107, 501108, 501109, 501110, 501111, 501112, 501113, 501114, 501115, 501116, 501117, 500716, 500717, 500718, 500719, 501339, 501340, 501341, 501342, 501343, 501344, 501345, 501346, 501347, 501348, 501349, 501350, 501351, 497380</t>
  </si>
  <si>
    <t>503060, 503061, 503064, 503059, 503063, 503058, 503062, 503080, 503089, 503088, 
503090, 503091, 503092, 503093, 503083, 503077, 503079, 503087, 503086, 503082, 
503085, 503084, 503081, 503078, 501564, 501565, 501566, 501567, 502072, 502071, 
469548, 498913, 498914, 498915, 476271, 499777, 486261, 469547, 469550, 486260, 
501569, 501570, 486259, 480833, 480384, 480835, 476270, 501568</t>
  </si>
  <si>
    <t>431519, 496608, 496609, 496610, 497073</t>
  </si>
  <si>
    <t>503386, 503387, 503388, 503260, 503265, 503264, 503263, 503262, 503261</t>
  </si>
  <si>
    <t>496611, 496612, 496613, 496614</t>
  </si>
  <si>
    <t>503410, 503411, 503412, 503413, 503414</t>
  </si>
  <si>
    <t>503894, 503895, 503896, 503897, 503898, 503899, 503900, 503901, 503902, 503903</t>
  </si>
  <si>
    <t>499805, 499806, 499807, 499808, 499809, 499810, 499811, 499812, 501352</t>
  </si>
  <si>
    <t>501118, 501119, 501120, 501121, 501122, 501123, 501124, 501125, 502148, 502149, 498151, 486259, 486260, 486261, 486263, 498507, 498508, 498509</t>
  </si>
  <si>
    <t>504000, 504001, 504002, 504003, 503997, 503998, 503999, ArbKor</t>
  </si>
  <si>
    <t>496626, 496627, 496628, 496629, 502169, 502170, 502171, 502172, 502173, 502175, 
502150, 502151, 502152, 502153, 502154, 502155, 498152</t>
  </si>
  <si>
    <t>504326, 504327, 504328, 504329, 504330, 504331, 504332, 504333, 504334, 504335, 504336, 504337, 504338, 504339, 504321, 504322, 504323, 504324</t>
  </si>
  <si>
    <t>503010, 418776 (jeweils Muster ziehen)</t>
  </si>
  <si>
    <t>501008, 501009, 501010, 501011, 499129, 499130, 499133, 499134</t>
  </si>
  <si>
    <t>496638, 496639, 501915</t>
  </si>
  <si>
    <t>498153, 498154</t>
  </si>
  <si>
    <t>504496, 504495, 504494, 504493, 504492, 504487, 504486, 504482, 504481, 504480, 504479, 504478, 504477, 504476, 504475, 504474</t>
  </si>
  <si>
    <t>501869, 501870, 471868, 497074, 501546, 501547, 497146, 497147, 487851, 502551, 502156, 502157, 502158, 502159, 502160, 502161, 502162, 502163, 502164</t>
  </si>
  <si>
    <t>497498, 497497</t>
  </si>
  <si>
    <t>504487, 504589, 504591, 504592, 504593, 504594, 502368, 502370, 502371</t>
  </si>
  <si>
    <t>504720, 504719, 504718, 504717, 504714, 504713, 504712, 504711, 504710, 504709, 504708, 504707, 504706, 504705, 504704, 504703, 504702, 504701, 504700, 504699, 504698, 504697, 504696</t>
  </si>
  <si>
    <t>498101, 498102, 498155, 502552, 502553, 502554, 502555, 502556, 502557, 502558, 502559, 502560, 502561</t>
  </si>
  <si>
    <t>504781, 504782, 504783, 504784, 504785, 504786, 504792, 504793, 504794, 504795, 
504796, 504797, 504798, 504801, 504802, 504803, 504804</t>
  </si>
  <si>
    <t>499813, 503058, 503059, 503060</t>
  </si>
  <si>
    <t>Sonderfahrt bis 06:00 Uhr! (957kg)</t>
  </si>
  <si>
    <t>505022, 505023, 505024, 505025, 505026, 505027, 505028, 505029, 505030, 505031, 505032, 505033, 505034, 505035, 505036, 505037, 505038, 505039, 505040, 505041, 505042, 505043, 505044, 505045, 505046, 505047, 505048, 505049, 505050, 505051, 505052, 505053, 505054, 505055, 505056, 505057, 505058, 505059, 505060, 505061, 505062, 505063</t>
  </si>
  <si>
    <t>Lager-Erweiterung ab heute (+102 Block F)  auf 594 Plätze</t>
  </si>
  <si>
    <t>501916, 501917, 501918, 501919, 501920, 501871, 501872, 497185, 497187, 497188</t>
  </si>
  <si>
    <t>504714, 505057, 505051, 505022 (jeweils Muster ziehen)</t>
  </si>
  <si>
    <t>501926, 504801, 504802, 504803, 504804, 503387, 503388, 496615, 496616, 502870, 
502871, 502872, 499135, 499136, 502439, 502440, 502441, 502443, 501012, 501013, 
502562, 502563, 502564</t>
  </si>
  <si>
    <t>496849, 496850, 501548, 501549</t>
  </si>
  <si>
    <t>502565, 502566, 502567, 502568, 502569, 502570, 497482, 497483, 497484, 497485, 498156, 498157, 498158</t>
  </si>
  <si>
    <t>486166, 496525, 500933, 497032, 502173, 498160, 501745, 501744, 501743, 501742, 
501741, 498161, 498162, 498163, 483039, 486314, 505166, 501747, 501748, 501749, 
501750, 484543, 491589, 495334, 499773, 505312, 505313, 505314, 505315, 505316, 
505340, 505349, 505350, 505351, 505352, 505353, 505355, 505356, 505357, 505358, 
505359, 505360, 505361, 505362, 505363, 505364, 505365, 505366, 505367, 505368</t>
  </si>
  <si>
    <t>505514, 505515, 505516, 505517, 505518, 505519, 505520, 505521, 000048, 000049, 
000050-A, 000050-B</t>
  </si>
  <si>
    <t>504792, 504793</t>
  </si>
  <si>
    <t>505692, 505693, 505687, 505688, 505689, 505690, 505691</t>
  </si>
  <si>
    <t xml:space="preserve"> 505753, 505754, 505755, 505756, 505757, 505758, 505759, 505760, 505761, 505762</t>
  </si>
  <si>
    <t>502571, 502572, 502573, 502574, 502575, 502576, 502577, 501550, 501551</t>
  </si>
  <si>
    <t>Sonderfahrt LKW</t>
  </si>
  <si>
    <t>498159, 503064, 505349</t>
  </si>
  <si>
    <t>Sonderfahrt Sprinter</t>
  </si>
  <si>
    <t>497486, 497494, 497495, 501353, 501354, 503077, 503078, 503079, 503080, 502444, 
502445, 502447</t>
  </si>
  <si>
    <t>504696, 504697, 504698, 504699</t>
  </si>
  <si>
    <t>501552, 501553, 502578, 502579, 502580, 502581, 502582, 502583, 502584, 502585, 502586</t>
  </si>
  <si>
    <t>506266, 506265, 506264, 506263, 506262, 506261, 506260, 506259, 506258, 506257, 506256, 506255, 506254, 506253</t>
  </si>
  <si>
    <t>000007, 000008, 000013</t>
  </si>
  <si>
    <t>08.06./12:00 @ HIGHSPEED: Bitte Pal. zur Besichtigung bereitstellen, Rotexmedica  Herr Ihde (07,08,13), danach wieder einlagern</t>
  </si>
  <si>
    <t>492001, 492002, 492003, 503061, 503062, 503063, 501355, 501356, 501357, 501358, 
505367, 505368, 497496, 504700</t>
  </si>
  <si>
    <t>506346, 506344, 506342, 506341, 506339, 506338, 506337, 506336, 506335, 506334, 
506333, 506332, 506331, 506330, 506329</t>
  </si>
  <si>
    <t>1 Pal. Akten zur Vernichtung Herr Ihde</t>
  </si>
  <si>
    <t>506424, 506425, 506426, 506427, 506428, 506429, 506430, 506431, 506432, 506433, 506434, 506435, 506436, 506437, 506438, 506439, 506440, 506441, 506442, 506443, 506444, 506445, 506446, 506447, 506448, 506449, 506450, 506451, 506452, 506453, 506454, 506455, 506456, 506457, 506458, 506459</t>
  </si>
  <si>
    <t>479023, 476270, 502173 (je 2 Bulks Muster ziehen)</t>
  </si>
  <si>
    <t>ArbKor, 000007, 000013</t>
  </si>
  <si>
    <t>007 + 013 z.Hd. Herr Ihde</t>
  </si>
  <si>
    <t>502448, 502449, 502451, 503260, 506424, 506425, 506426, 506427, 506428, 506429, 506430, 506431, 506264, 506265</t>
  </si>
  <si>
    <t>493471, 493472</t>
  </si>
  <si>
    <t>000008</t>
  </si>
  <si>
    <t>12.06./12:00 @ HIGHSPEED: Bitte Pal. zur Besichtigung bereitstellen, Rotexmedica  Herr Ihde (000008), danach wieder einlagern</t>
  </si>
  <si>
    <t>ArbKor</t>
  </si>
  <si>
    <t>506259, 501554, 502873, 502874, 496630, 496671, 504701</t>
  </si>
  <si>
    <t>506618, 506619, 506620, 506621, 506622, 506623</t>
  </si>
  <si>
    <t>506258, 503386</t>
  </si>
  <si>
    <t>1 Pal. Akten zur Vernichtung Herr Ihde
505355, 505356, 505357, 503084, 480833, 501874, 501875, 502859, 502860, 503410, 
503261, 503262, 503263, 503264, 501904, 501905, 501906, 506432, 506433, 506434, 
506435, 506436, 506437, 506438, 506439, 506440, 506441, 506442, 506443, 506444</t>
  </si>
  <si>
    <t>480834, 471869, 502861</t>
  </si>
  <si>
    <t>Sonderfahrt 2xSprinter</t>
  </si>
  <si>
    <t>504794, 504795, 506260, 506261, 502875, 504781, 495673, 495674, 000046, 501876, 502862, 501741, 501742, 501743, 501744, 501745</t>
  </si>
  <si>
    <t>503997, 501359, 504327, 504328, 504329, 504330, 504331, 504332, 504333, 504334, 
504335, 504326, 502071, 503085, 503086, 497916, 497917, 497918, 497919, 497920, 
497921, 497922, 493464</t>
  </si>
  <si>
    <t>499777, 502072</t>
  </si>
  <si>
    <t>507144, 507145, 507146, 507147, 507148, 507149, 507150</t>
  </si>
  <si>
    <t>505358, 505359, 505360, 505361, 493016, 493017, 493018, 501747, 503999, 504000, 
504001, 504002, 504702, 504703, 504704, 504705, 504706, 504707, 497923, 497924, 
497925, 497926, 497927, 497928, 497929, 501092, 501093, 501094, 501095, 501096, 
492102, 492103, 492104, 501877, 495675, 495676, 501895, 506253, 506254, 506266, 
502877, 501927, 504782, 504783, 501564</t>
  </si>
  <si>
    <t>504708, 504709</t>
  </si>
  <si>
    <t>000018A, 000018B, 000019A, 000019B, 000047A, 000047B</t>
  </si>
  <si>
    <t>507920, 507921, 507922, 507923, 507924, 507925, 507926, 507927, 507928, 507929, 507930, 507931, 507932, 507933, 507934, 507935</t>
  </si>
  <si>
    <t>474889, 463709, 422536</t>
  </si>
  <si>
    <t>505730, 505731, 505732, 505733, 505734, 505735, 505736, 505737, 505738, 505739, 
506819, 506820, 506821, 506822, 506823, 000047A, 000047B, 000051, 000052, 000053, 000054, 000055, 000056, 000057, 000058, 000059, 000060</t>
  </si>
  <si>
    <t>eb0Regalbau "Regalbau" 2 Packstücke, gesamt 354x113x113 = 4,5 kbm</t>
  </si>
  <si>
    <t>000001, 000002, 000004 Bereitstellung zur Prüfung; 
Teilentnahme + Neuverpackung von 000004</t>
  </si>
  <si>
    <t>Sonderfahrt Kombi</t>
  </si>
  <si>
    <t>000057, 000041</t>
  </si>
  <si>
    <t>420039, 421352, 439506</t>
  </si>
  <si>
    <t>508387, 508388, 508389, 508390, 508391, 508392, 508393, 508394, 508395, 508396, 508397, 508398, 508399, 508400, 508401, 508402, 508403, 508404, 508405, 508406, 000019A, 000019B, 000018A, 000018B</t>
  </si>
  <si>
    <t>504711, 506618, 506619, 506620, 506621, 501896, 501897, 495677, 504587, 501097, 
501098, 503010, 503011, 503012, 503013, 503014, 503015, 503016, 503017, 503018, 
503019, 503020, 503021</t>
  </si>
  <si>
    <t>483039, 501878, 501879, 502863, 503411, 501908, 501898</t>
  </si>
  <si>
    <t>501928, 501929, 501930, 501931, 504336, 504337, 504338, 504339</t>
  </si>
  <si>
    <t>505362, 505363, 505364, 505365, 505350, 507920, 507921, 507922, 507923, 504003, 505514, 505515, 505166, 503022, 503023, 503024, 503025, 503026, 503027, 503028, 503029</t>
  </si>
  <si>
    <t>000011, 000051 (ausgelagert; nachverpackt, eingelagert)</t>
  </si>
  <si>
    <t>505366, 505312, 505313, 505314, 505315, 504589, 504591, 507924, 507925, 507926, 
507927, 466984, 466985, 466986, 504492, 504486</t>
  </si>
  <si>
    <t>508703, 508704, 508705, 508706, 508707, 508708, 508709, 508710, 508711, 508851, 
508852, 508853, 508854, 508855, 508856, 508857, 508858, 508859, 508860, 508861</t>
  </si>
  <si>
    <t>508989, 508990, 508991, 508992, 508993, 508994, 508995, 508996, 508997, 508998</t>
  </si>
  <si>
    <t>505316, 508387, 508388, 508389, 508390, 505516, 506622, 506623, 489447, 489448, 
492105, 492107, 492108</t>
  </si>
  <si>
    <t>506255, 506256, 506257</t>
  </si>
  <si>
    <t>501565, 501566</t>
  </si>
  <si>
    <t>504592, 504593, 504594, 504493, 504494, 503894, 503895, 502864, 502865, 501567, 501568, 501569, 501570</t>
  </si>
  <si>
    <t>509667, 509668, 509669, 509670, 509671, 509672</t>
  </si>
  <si>
    <t>497148, 497553, 505517, 505518, 505519, 505520</t>
  </si>
  <si>
    <t>509800, 509801, 509802, 509803, 509804, 509805, 509806, 509807, 509808, 509809, 
509810, 509811, 509812, 509813, 509814, 509828, 509829, 509830, 509831, 509832, 
509833</t>
  </si>
  <si>
    <t xml:space="preserve">508391, 508392, 508393, 508394, 508395, 505692, 505693, 503030, 503031, 503032, 
503033, 503034, 503035, 505053, 505054, 505055, 505056, 505057, 505058, 505059, 
505060, 505061, 505062, 505063                  </t>
  </si>
  <si>
    <t>506445, 506446, 506447, 506448, 506449</t>
  </si>
  <si>
    <t>SONDERFAHRT LKW</t>
  </si>
  <si>
    <t>510203, 510204, 510205, 510206, 510207, 510208, 510209, 510210, 510211, 510212, 510213, 510214, 510215, 510216, 510217, 510218, 510219, 510220</t>
  </si>
  <si>
    <t>i.V. mit SoFa-Anlieferung</t>
  </si>
  <si>
    <t>510221, 510222, 510223, 510224, 510225, 510226, 510227, 510228, 510229, 510230, 
510161, 510238, 510240, 510243, 510244, 510246, 510248, 510249</t>
  </si>
  <si>
    <t>503087, 503088, 503089, 503090, 503091, 503092, 503093</t>
  </si>
  <si>
    <t>504784, 504785, 504786, 498160, 504474</t>
  </si>
  <si>
    <t>506329, 506330, 506331, 505754, 505755, 505756, 506450, 506451, 506452</t>
  </si>
  <si>
    <t>SONDERFAHRT TRA</t>
  </si>
  <si>
    <t>501880, 501881, 502866, 503413, 503414, 505753, 502368, 502370, 502371, 504712, 504713, 504714, 501748, 501749, 501750</t>
  </si>
  <si>
    <t>506453, 506454</t>
  </si>
  <si>
    <t>506455, 506456, 506457, 506458, 503896, 503265</t>
  </si>
  <si>
    <t>508851, 508852, 508853, 508854</t>
  </si>
  <si>
    <t>511484, 511485, 511486, 511487, 511488, 511489, 511490, 511491, 511492, 511493, 511494, 511495</t>
  </si>
  <si>
    <t>506332, 506333, 506334, 506335</t>
  </si>
  <si>
    <t>504796, 504797, 504798, 506459, 510161, 510203, 510204, 510205, 510206, 510207, 
505022, 505023, 505024, 505025, 505026, 505027, 505028, 505029, 505030, 505031, 
505032, 505033, 505034, 505035, 505036</t>
  </si>
  <si>
    <t>SONDERFAHRT ZUG</t>
  </si>
  <si>
    <t>486314, 498161, 498162, 498163, 505521, 505688</t>
  </si>
  <si>
    <t>511700, 511701, 511702, 511703, 511704</t>
  </si>
  <si>
    <t>509800, 509801, 509802, 508703, 508704, 508705, 504495, 504496, 508855, 508856, 508857, 505730, 505736, 506819, 506820, 506821</t>
  </si>
  <si>
    <t>504487, 505340, 505037, 505038, 505039, 505040, 505041, 505042, 505043, 505044, 505045, 505046, 505047, 505048, 505049, 505050</t>
  </si>
  <si>
    <t>512073, 512074, 512075, 512076, 510615, 511907, 463709, 508109, 508110, 508111, 508112, 490880, 511637, 511638, 511639, 511640, 511641, 509237, 509238, 509239, 509240, 509241, 497763, 504713, 508974, 508975, 505065, 505066, 505067, 498828, 474889, 508515, 508205, 508206, 508207, 508208, 497035, 507108, 507109, 507110</t>
  </si>
  <si>
    <t>482253, 509667, 505687, 505689, 505690, 508396, 508397, 508398, 508399, 508400, 
508401, 508402, 508403, 508404, 508405, 508406</t>
  </si>
  <si>
    <t>512260, 512261, 512262, 512263, 512264, 516265, 512266, 512267, 512268, 512269, 
512270, 512271, 512272, 512273, 512274</t>
  </si>
  <si>
    <t>508706, 509803, 509668, 504321, 504322, 504478, 504479, 504480, 504481, 504482, 
497554, 510208, 510209, 510210, 510211, 510212, 510213, 510214, 510215, 510216, 
510217</t>
  </si>
  <si>
    <t>505731, 511700, 505691, 509828, 509829, 509830</t>
  </si>
  <si>
    <t>505737, 511701, 509669</t>
  </si>
  <si>
    <t>SONDERFAHRT Sprinter</t>
  </si>
  <si>
    <t>512866, 512867, 512868, 512869, 512670, 512871, 512872, 512873, 512874, 512875, 
512876, 512877, 512878, 512879, 512880, 512881, 512882, 512883, 512884, 512885, 
512886, 512887, 512888, 512889, 512890, 512891, 512892, 512893, 512894, 512895,
512896, 512897, 512898, 512899, 512900, 512901, 512902, 512903, 512904, 512905,
512906, 512907, 512908, 512909, 512910, 512911, 512912, 512913, 512914, 512915,
512916, 512917, 512918, 512919, 512920, 512921, 512922, 512923</t>
  </si>
  <si>
    <t>513027, 513028, 513029, 513030, 513031, 513032, 513033, 513034, 513035, 513036, 513037, 513038, 513039, 513040, 513041, 513042</t>
  </si>
  <si>
    <t>512260, 512261, 512262, 512263, 512264, 512265, 512266, 512267, 512268, 512269, 480835, 476270, 476271, 503081, 503082, 503083, 508707</t>
  </si>
  <si>
    <t>jeweils ein Muster ziehen und an Rotex: 512893, 512923, 512920, 512917, 512889</t>
  </si>
  <si>
    <t>jeweils ein Muster ziehen und an Rotex</t>
  </si>
  <si>
    <t>000051 für Durchsicht durch Rotex Bereitgestellt; Ausgelagert, nachverpackt, eingelagert</t>
  </si>
  <si>
    <t>513306, 513307, 513308, 513309, 513310, 513311, 513312, 513313, 513314, 513315, 513316, 513317, 513318</t>
  </si>
  <si>
    <t>509831, 513027, 513028</t>
  </si>
  <si>
    <t>513487, 513488, 513489, 513490</t>
  </si>
  <si>
    <t>474889, 469536, 469537, 469538, 469539</t>
  </si>
  <si>
    <t>486166, 509670</t>
  </si>
  <si>
    <t>513689, 513690, 513691, 513692, 513693, 513694, 513695, 513696, 513697, 513698, 
513699, 513700, 513701, 513702, 513703</t>
  </si>
  <si>
    <t>505351, 509804, 500933, 509832, 509833, 510218, 510219, 510220, 510221, 510222, 510223, 510224, 506336, 503897</t>
  </si>
  <si>
    <t>513768, 513769, 513770, 513771, 513772, 513773, 513774, 513775, 513776, 513777, 
513778, 513779, 513780, 513781, 513782, 513783, 513784, 513786, 513787, 513788</t>
  </si>
  <si>
    <t>514866, 514867, 514868, 514869, 514870, 514871, 514872, 000041, 000061, 000062</t>
  </si>
  <si>
    <t>505353, 505352, 508708, 505732, 505738, 505739, 509805</t>
  </si>
  <si>
    <t>506822, 506823</t>
  </si>
  <si>
    <t>515076, 515077, 515074, 515075</t>
  </si>
  <si>
    <t>515220, 515221, 515222, 515223, 515224, 515225, 515212, 515213, 515214, 515215, 
515206, 515207, 515208</t>
  </si>
  <si>
    <t>506337, 506338, 506339, 505757, 505758, 503898, 484543, 491589</t>
  </si>
  <si>
    <t>512458, 512459, 515238, 515239, 515240, 515241, 515242, 515243, 515244, 515298, 
515299, 515300, 515301, 515302</t>
  </si>
  <si>
    <t>509237, 509238, 509239, 509240, 509241</t>
  </si>
  <si>
    <t>511907, 513487, 504323, 504324, 513029, 505051, 505052, 507928, 507929, 507930, 507931, 507932, 507933, 507934, 507935</t>
  </si>
  <si>
    <t>direktanlieferung</t>
  </si>
  <si>
    <t>512866, 512867, 512868, 512869, 512870, 512871, 512872, 512873, 512874, 512875, 512876, 512877, 512878, 512879, 512880, 512881, 512882, ArbKor</t>
  </si>
  <si>
    <t>515661, 515662, 515663, 515664, 515665, 515666, 515667, 515668, 515669, 515670, 
515671, 515672, 515658, 515659, 515660, 515673, 515674, 515675, 515676, 515677, 
515678, 515679, 515680, 515681, 515682, 515683, 515684, 515685, 515686, 515687, 
515688, 513029</t>
  </si>
  <si>
    <t>515702, 515701, 515700, 515699, 515698, 515697, 515696, 515695, 515694</t>
  </si>
  <si>
    <t>Einlagerung aus Direktanlieferung</t>
  </si>
  <si>
    <t>508974, 508975, 513029, 515658, 515659, 515660, 497555, 513306, 513307, 513308, 
512458, 512459</t>
  </si>
  <si>
    <t>512270, 512271, 512272, 512273, 512274, 508205, 508206, 515077, 497032, 513038, 513039, 513040, 513041, 513042, 487928, 512883, 512884, 512885, 512886, 512887, 512888, 512889, 512890</t>
  </si>
  <si>
    <t>513309, 513310, 513311, 513312, 513313, 509806, 509814, 508709, 508710, 505733, 515212</t>
  </si>
  <si>
    <t>517145, 517147, 517149, 517151, 517152</t>
  </si>
  <si>
    <t>517167, 517168, 517169, 517170, 517171, 517172, 517173, 517174, 517175, 517176, 517177, 517178, 517179, 517180, 517181, 517182, 517183, 517184, 517185, 517186, 517187, 517188, 517189, 517190, 517191, 517192, 517193, 517194, 517195, 517196, 517197, 517198, 517199</t>
  </si>
  <si>
    <t>MUSTER ziehen (je 1 Colli) von folgenden Pal:
517169, 517172, 517175, 517178, 517181, 517184</t>
  </si>
  <si>
    <t>517367, 517368, 517369, 517370, 517371, 517372, 517373</t>
  </si>
  <si>
    <t>506262, 506263, 515206, 515207, 515208, 513314, 513315, 513316, 513317, 513318, 514866, 514867, 514868, 514869, 514870, 514871, 514872, 000041, 000062</t>
  </si>
  <si>
    <t>517941, 517942, 517943, 517944, 517945, 517946, 517947, 517948, 517949, 517950, 
517951, 517952, 517953, 517954, 517955, 517956, 517957, 517958, 517959, 517560, 
517561, 517962, 517963, 517694, 517965, 517966, 517967, 517968, 517969</t>
  </si>
  <si>
    <t>515298, 515299, 513030, 513031, 513032, 513033, 513034, 511637, 511638, 511639, 511640, 511641, 496525</t>
  </si>
  <si>
    <t>515673, 515674</t>
  </si>
  <si>
    <t>509807, 509808, 515675, 515676</t>
  </si>
  <si>
    <t>509809, 509810, 515677, 515678, 515679, 515680, 515681, 515682, 515683, 515684, 
515685, 515686, 515687, 515688</t>
  </si>
  <si>
    <t>518374, 518375, 518376, 518377, 518379, 518380, 518381, 518393, 518394, 518395, 
518396, 518397, 518398, 514866, 514867, 518382, 514868, 514869, 514870, 514871, 
517060, 517061, 517062, 517063, 517064, 517065, 517066, 517067, 517068, 517069, 
517070, 517071</t>
  </si>
  <si>
    <t>516117, 516118, 516119, 516120, 516121, 516122, 518503, 518504, 518505, 518506, 518507, 518508, 511995, 511996, 512305, 512306, 512307, 512308, 510222, 510223, 510224, 480833, 480834, 480835, 505757, 505758, 503897, 503898, 480453, 507233, 515094, 508531, 516620, 516621, 516623, 516624, 516635, 516636, 508241, 506337, 506338, 506339, 490505</t>
  </si>
  <si>
    <t>515300, 515301, 515302, 509811, 509812, 509813, 515220, 515221, 508711, 513035, 
513036, 513037, 515661, 515662, 515663, 515664</t>
  </si>
  <si>
    <t>518899, 518900, 518901, 518902, 518903, 518904, 518905, 518906, 518907, 518908, 
518909, 518910</t>
  </si>
  <si>
    <t>515694, 515695, 515665, 515666, 515667, 515668, 515669, 515670, 515671, 515672, 507144, 507145, 507146, 507147, 507148, 507149, 507150</t>
  </si>
  <si>
    <t>519110, 519111, 519112, 519113, 519114, 519115, 519116, 519117, 519118, 519119, 519120, 519121</t>
  </si>
  <si>
    <t>Inventur 449 Pal. lt. Zählliste (Abgleich Material/eb-Nr/Stückzahl lt. Fahrbefehl)</t>
  </si>
  <si>
    <t>518899, 518900, 518901, 508207, 508208</t>
  </si>
  <si>
    <t>505734, 505735, 515224, 515225, 515696, 515697</t>
  </si>
  <si>
    <t>519352, 519353, 519354</t>
  </si>
  <si>
    <t>515698, 515699, 515700, 515701, 515702, 509671, 513489, 513490</t>
  </si>
  <si>
    <t>513780, 513781, 513782, 513783, 513784, 510615, 518902, 518903, 518904</t>
  </si>
  <si>
    <t>519900, 519901, 519902, 519903, 519961, 519967, 519968, 519969, 519970, 519971, 519972, 519973, 519974, 519975</t>
  </si>
  <si>
    <t>Eb0000026 Auslagern-Bereitstellen; Neuverpacken; Einlagern</t>
  </si>
  <si>
    <t>zur Bearbeitung durch Hr.Ihde bereitstellen und danach wieder einlagern</t>
  </si>
  <si>
    <t xml:space="preserve">519354, 373323, 373324 </t>
  </si>
  <si>
    <t>(Muster ziehen) lt. Email 11.01.19</t>
  </si>
  <si>
    <t>511702, 515074, 515075, 515076, 492192, 510222, 505758, 505759, 506337, 506338</t>
  </si>
  <si>
    <t xml:space="preserve">SONDRFAHRT LKW </t>
  </si>
  <si>
    <t>513689, 513690, 513691, 513692, 519900</t>
  </si>
  <si>
    <t>*</t>
  </si>
  <si>
    <t>519967, 519968</t>
  </si>
  <si>
    <t>521292, 521293, 521294, 521295, 521296, 521297, 521298, 521299</t>
  </si>
  <si>
    <t>495334, 505757, 505760, 505761, 506339, 506341</t>
  </si>
  <si>
    <t>515222, 515223, 502878, 502879, 498510, 598511, 498512, 498513, 498514, 498515</t>
  </si>
  <si>
    <t>508326, 508327, 508328, 508329, 521532, 521533, 521534, 521535, 521537, 521542, 000063, 000064, 000065, 000066, 000067, 000068</t>
  </si>
  <si>
    <t>519961, 519969</t>
  </si>
  <si>
    <t>521979, 521980, 521981, 521982, 521983, 521984, 521985, 521986, 521987, 521988</t>
  </si>
  <si>
    <t>522062, 522061, 522060, 522059, 522058</t>
  </si>
  <si>
    <t>522273, 522274, 522275, 522276, 522277, 522278, 522279, 522280, 522281, 522282, 000069, 000070, 000071, 000072</t>
  </si>
  <si>
    <t>506342, 506344, 506346, 511484, 511485, 511486, 511487, 511488, 511489, 505762, 
508989, 508990, 508991, 508992, 508993, 513693, 513694, 513695</t>
  </si>
  <si>
    <t>522441, 522442, 522443, 522444, 522445, 522446, 522447, 522448, 522449, 522450</t>
  </si>
  <si>
    <t>519970, 511490, 519901, 490505, 510238, 510240, 510243, 510244, 510246, 510248, 510249, 510223, 510224, 510225, 510226</t>
  </si>
  <si>
    <t>502173, 448164, 519903, 519902</t>
  </si>
  <si>
    <t>522704, 522705, 522706, 522707, 522708, 522709, 522710, 522711</t>
  </si>
  <si>
    <t>522882, 522883, 522884, 522885, 522886, 522889, 522891, 522894, 522895, 522896, 522897, 522898, 522899, 522901, 522902, 522903, 522904, 522905, 522906, 522909, 522910, 522911, 522912, 522913, 522914</t>
  </si>
  <si>
    <t>523041, 523042, 523043, 523044, 523045, 523046, 523047, 523048, 523049</t>
  </si>
  <si>
    <t>540717, 504718, 504719, 504720</t>
  </si>
  <si>
    <t>523100, 523102, 523103, 523104, 523107, 523108, 523110, 523112, 523115, 523116, 523117, 523118, 523119, 523164, 523165, 523166, 523167, 523168, 523169</t>
  </si>
  <si>
    <t>507108, 507109, 507110</t>
  </si>
  <si>
    <t>518905, 518906, 518907, 518908, 518909, 518910, 508515, 513696, 513697, 513698, 
513699, 513700, 513701, 513702, 513703, 518503, 518504, 518505, 518506, 518507, 
518508, 509672, 516620, 511703, 511704</t>
  </si>
  <si>
    <t>Chagennummern abgleichen: 508994, 508995, 508996, 508997, 508998</t>
  </si>
  <si>
    <t>lt. Telef./Email Herr Heinrich am 19.03.19</t>
  </si>
  <si>
    <t>Eb-Nummer vernichten; Austauschen mit 523541</t>
  </si>
  <si>
    <t>516621, 516623, 523041</t>
  </si>
  <si>
    <t>514869, 514868, 514870, 517062, 517063, 517060, 517065, 517061, 517064, 517066, 514871, 511996, 511995, 517067, 517068, 514867, 514866</t>
  </si>
  <si>
    <t>497557, 521983, 521982, 521981, 521980, 521979, 497556, 504475, 504477, 504476, 523042, 523100, 505067, 505066, 498828, 505065</t>
  </si>
  <si>
    <t>503897, 503898, 508858, 508859, 518393, 518394, 518395, 521292, 521293, 523043, 523102, 523103</t>
  </si>
  <si>
    <t>511493, 511492, 519112, 519111, 519110, 519971, 000040, 510227, 510228, 510229, 510230, 512891, 512892, 512893, 512894, 512895, 512896, 512897, 498516, 515238, 521987, 521986, 521985, 521984, 508995, 511495, 511494, 508994, 503899, 511491, ArbKor</t>
  </si>
  <si>
    <t>524219, 524220</t>
  </si>
  <si>
    <t>521425, 521529, 522010, 524294, 524295, 524296, 524297, 524298, 505733, 505734, 
505735, 469538, 469539</t>
  </si>
  <si>
    <t>515239, 512898, 512899, 512900, 512901, 512902, 512903, 512904, 512905, 512906, 518374, 515240, 522058, 508997, 508998</t>
  </si>
  <si>
    <t>524648, 524649, 524650, 524651, 524652, 524653, 524654, 524655, 524656, 524657, 524658, 524659, 524660, 524661</t>
  </si>
  <si>
    <t>524939, 524940, 524641, 524942, 524943, 524944, 524945, 524946, 524947, 524948, 524949, 524950, 524951, 524952, 524953, 524954, 524955, 524956, 524957, 524958, 524959, 524960, 524961, 524962, 524963, 524964</t>
  </si>
  <si>
    <t>einlagerung aus direktanlieferung</t>
  </si>
  <si>
    <t>512907, 512908, 512909, 512910, 512911, 515241, 515242, 516624, 523044, 503900, 524648, 524649</t>
  </si>
  <si>
    <t>524681, 524682, 524683, 524684, 524685</t>
  </si>
  <si>
    <t>522273, 522274, 522275, 522276, 522277, 522278, 522279, 522280, 522281, 522282, 519972, 519973</t>
  </si>
  <si>
    <t>521988, 522441, 471870</t>
  </si>
  <si>
    <t>518382, 515243, 515244, 521295, 521294, 519975, 519974, 518379, 517145, 518380, 518381, 518375, 518377, 518376, 517147, 517149, 523541</t>
  </si>
  <si>
    <t>525520, 525521, 525522, 525523, 525526, 525527, 525528, 525529, 525531</t>
  </si>
  <si>
    <t>524939 (Muster ziehen)</t>
  </si>
  <si>
    <t>525938, 525939, 525940, 525941, 525942, 525943, 525944, 525945, 525946, 525947, 525948, 525949, 525950, 525951, 525952</t>
  </si>
  <si>
    <t>522882, 517151, 517152, 522883, 512912, 512913, 512914, 512915, 512916, 512917, 512918, 512919, 512920, 512921, 521296, 503902, 503903, 502901, 522442, 522443</t>
  </si>
  <si>
    <t>526416, 526417, 526418, 526419, 526439, 526440, 526441, 526442, 526443, 526444, 526445, 526446, 526514, 526515, 526517, 526518, 526519, 526520, 526521, 526522, 526523, 523363, 523364, 523365, 523366, 523367, 523368, 523015, 520790, 518387, 522272, 511635, 476270, 476271</t>
  </si>
  <si>
    <t>526746, 526749, 526751, 526753, 526755, 526756, 526757, 526758, 526759, 526760, 
526761, 526762, 526763, 526764, 526765, 526779, 526780, 526781, 526782, 526783, 
526784, 526785, 526786, 526787</t>
  </si>
  <si>
    <t>522444, 522445, 522446, 522447, 508241, 480453, 480833, 000066, 480834, 480835, 525520, 525521</t>
  </si>
  <si>
    <t>508860, 508861, 526439, 515213, 515214, 515215</t>
  </si>
  <si>
    <t>522448, 522449, 522450, 523104, 523107, 516635, 517069, 517070, 517071, 517941, 517942, 517943, 517944, 517945, 517946, 517947, 517948, 517949</t>
  </si>
  <si>
    <t>527248, 527249, 527250, 527251, 527252, 527037, 527038, 527039, 527040, 527041, 527042</t>
  </si>
  <si>
    <t>450797, 518384, 497035, 463265, 517950, 517951, 517952, 517953</t>
  </si>
  <si>
    <t>527378, 527379, 527380, 527381, 527382, 527383, 527384, 527385, 527386, 527387, 527388, 527389, 527390, 527391, 527392</t>
  </si>
  <si>
    <t>525938, 525939, 525940, 525941, 525942, 525943</t>
  </si>
  <si>
    <t>SONDERFAHRT 2019/221</t>
  </si>
  <si>
    <t>489224, 524681, 584682, 584683, 584684, 584685</t>
  </si>
  <si>
    <t>SONDERFAHRT 2019/222</t>
  </si>
  <si>
    <t>512922, 512923, 517167, 517168, 517169, 517170, 517171, 517172, 517173, 522884, 522885, 527248, 527249, 525522, 525523, 521297, 521298</t>
  </si>
  <si>
    <t>525944, 527250, 527251, 527252, 517175, 517176, 517177, 517178, 517179, 517180, 518181, 522886, 522889, 522891</t>
  </si>
  <si>
    <t>527921, 527922, 527923, 527924, 527925, 527926, 527927, 527928, 527929</t>
  </si>
  <si>
    <t>528119, 528120, 528121, 528122, 528123, 528124, 528125, 528126, 528127, 528128, 528129, 528130, 528131, 528132, 528133, 528134, 528135, 528136, 528137, 528138, 528139, 528140, 528141, 528142, 528143</t>
  </si>
  <si>
    <t>SONDERFAHRT 2019/248-1</t>
  </si>
  <si>
    <t>513768, 505733, 505734, 505735, 524650, 524651, 524652, 524653, 524654, 524655, 524656, 524657, 525526, 525527, 525528, 525529</t>
  </si>
  <si>
    <t>SONDERFAHRT 2019/248-2</t>
  </si>
  <si>
    <t>496524, 512305, 512306, 512307, 512308, 526779, 526780, 521299, 525531</t>
  </si>
  <si>
    <t>SONDERFAHRT 2019/261-1</t>
  </si>
  <si>
    <t>528481, 528482, 528483, 528484, 528485, 528486, 528487, 528488, 528489, 528490, 528492, 528493, 528494, 528495, 528496</t>
  </si>
  <si>
    <t>525841, 527253, 527254, 527255, 527256, 527257, 527370, 527371, 527372, 528530, 528531, 528532, 528533, 528534, 528535, 528536</t>
  </si>
  <si>
    <t>525048, 502173, 520794, 527800, 527801, 520791, 527537, 519111, 527542, 524372, 524667, 523669, 527697, 527698, 527699, 527700, 526775, 526776, 526777, 526778, 528603, 528607, 528608</t>
  </si>
  <si>
    <t>527800, 523108, 527037, 527038, 508326, 508327, 508328, 508329, 521532, 521533, 512073, 512074, 512075, 512076, 526746, 526749, 523110, 
000068 (davon 1 Behälter Klericide)</t>
  </si>
  <si>
    <t>SONDERFAHRT 2019/263-1</t>
  </si>
  <si>
    <t>000067, 000068 (Auslagern, 1 Behälter entnehmen, Einlagern)</t>
  </si>
  <si>
    <t>480822, 498913, 498914, 498915</t>
  </si>
  <si>
    <t>SONDERFAHRT 2019/263-2</t>
  </si>
  <si>
    <t>523116, 516117, 516118, 516119, 516120, 516121, 516122, 524939, 524940, 524941, 524942, 524943, 524944, 524945, 524946, 522894, 522895, 522896, 507233, 515094</t>
  </si>
  <si>
    <t>521425, 521529, 522010</t>
  </si>
  <si>
    <t>519354, 519352, 519353, 522272, 524947, 524948, 524949, 524950, 524951, 524952,
524953, 524954, 524955, 524956, 524957, 524958, 524959, 524960, 523117, 525945, 525946, 525947, 525948, 527697, 527698, 527699, 527700</t>
  </si>
  <si>
    <t>529102, 529103, 529104, 529105, 529106, 529107, 529108, 529109</t>
  </si>
  <si>
    <t>SONDERFAHRT LKW 2019/272-1</t>
  </si>
  <si>
    <t>529208, 529209, 529205, 529206, 529210, 529211</t>
  </si>
  <si>
    <t>490880, 502173, 525841, 527253, 527254, 527255, 517174, 517182, 517183, 517184, 522059, 522060, 526751, 526753, 528603</t>
  </si>
  <si>
    <t>SONDERFAHRT LKW 2019/272-2</t>
  </si>
  <si>
    <t>522897, 522898</t>
  </si>
  <si>
    <t>529518, 529519, 529520, 529521, 000073, 000074, 000075, 000076, 000077, 000078, 
000079</t>
  </si>
  <si>
    <t>527256, 527257</t>
  </si>
  <si>
    <t>SONDERFAHRT LKW 2019/292-1</t>
  </si>
  <si>
    <t>529677, 529678</t>
  </si>
  <si>
    <t>000018A, 000018B,  000019A, 000019B, 000047A, 000047B</t>
  </si>
  <si>
    <t>SONDERFAHRT LKW 2019/295-1</t>
  </si>
  <si>
    <t>529827, 529828, 529829, 529830</t>
  </si>
  <si>
    <t>524658, 524659, 524660</t>
  </si>
  <si>
    <t>SONDERFAHRT LKW 2019/297-1</t>
  </si>
  <si>
    <t>530153, 530154, 530155, 530156, 530157, 530158, 530159, 530160, 530161, 530162, 530163, 530164, 530165, 530166, 530167, 530168, 530169, 530170, 530171, 530172, 530173, 530174, 530175, 530176, 530177, 530178, 530179, 530180</t>
  </si>
  <si>
    <t>530150, 530151, 530152, 530144, 530145, 530146, 530147, 530148, 530149</t>
  </si>
  <si>
    <t>526755, 526756, 526757, 526514, 526515, 526517, 508109, 508110, 508111, 508112</t>
  </si>
  <si>
    <t>Je 1 Muster: 
530157, 530158, 530160, 530173, 530174, 530175, 530177, 530178, 530179</t>
  </si>
  <si>
    <t>530482, 530483, 530484, 530485, 530486, 530487, 530488, 530489, 530490, 530491, 
530492, 530493, 530494, 530495, 530496, 530497, 530478, 530479, 530480, 530481, 
000080, 000081, 000082</t>
  </si>
  <si>
    <t>526440, 526441, 526442</t>
  </si>
  <si>
    <t>524661, 527921, 527922, 527923, 527924, 522061, 522062</t>
  </si>
  <si>
    <t>526758, 526759, 526760, 520791</t>
  </si>
  <si>
    <t>SONDERFAHRT 2019/331</t>
  </si>
  <si>
    <t>Je 1 Muster:
530153, 530156, 530159</t>
  </si>
  <si>
    <t>528481, 528482, 528483, 528484, 528485, 528486, 528487, 528488, 528489, 528490, 527378, 527379, 527380, 527381, 527382, 527383, 527384, 527385, 527386, 527387, 527388, 527389, 527390, 527391, 527392</t>
  </si>
  <si>
    <t>530673, 530674, 530675, 530676, 530677, 530678, 530679, 530680, 530681, 530682, 
530683, 530684, 530685, 530686, 530687, 530688, 530689, 530690, 530691, 530692, 
530693, 530694, 530695, 530696, 530697, 530698, 530699, 530700, 530701, 530586, 
530587, 530588, 000083, 000084, 000085, 000086, ArbKor</t>
  </si>
  <si>
    <t>Traffic über gesamten Zeitraum</t>
  </si>
  <si>
    <t>523112, 528530, 525950, 525951, 529102, 527801</t>
  </si>
  <si>
    <t>530672, 530956, 530957, 530958, 530659, 530960, 530961, 530971</t>
  </si>
  <si>
    <t>531023, 531024, 531025, 531026, 531027, 531028, 531029, 531037, 531038, 531039, 531040, 531041</t>
  </si>
  <si>
    <t>528607, 528608</t>
  </si>
  <si>
    <t>526775, 526776, 526777, 526778, 526761, 526762, 526443, 526444, 526445, 526446, 525952, 000064, 000082</t>
  </si>
  <si>
    <t>531233, 531234, 531235, 531236, 531237</t>
  </si>
  <si>
    <t>SONDERFAHRT LKW 2019/344-1</t>
  </si>
  <si>
    <t>523363, 523364, 523365, 523366, 528531, 528532, 528533, 529827, 529828, 529829, 529830</t>
  </si>
  <si>
    <t>531461, 531462, 531463, 531464, 531465, 531466, 531467, 531468, 531469, 531470, 531492, 531493, 531494, 531495, 531496</t>
  </si>
  <si>
    <t>531551, 531552, 531553, 531554, 531555, 531556, 531557, 531558, 531559, 531560, 531561, 531562, 531563, 531564, 531565, 531566, 531567, 531568, 531569, 531570, 531571, 531573, 531574, 531575, 531577, 531578, 531579, 531580, 531581, 531582, 531583, 531584, 531585, 531586, 531588, 531589</t>
  </si>
  <si>
    <t>530539, 531668, 531669</t>
  </si>
  <si>
    <t>529103, 529104, 529105, 529106, 529107, 529108, 529109</t>
  </si>
  <si>
    <t>SONDERFAHRT LKW 2019/352-1</t>
  </si>
  <si>
    <t>MUSTERZUG aus:
531577, 531575, 531579, 531580, 531569, 531571, 531570, 531568</t>
  </si>
  <si>
    <t>000064</t>
  </si>
  <si>
    <t>526518, 526519, 526520, 526763, 526764, 523045, 523046, 527039, 527040, 531233, 531234, 531235, 531236, 531237, 513786, 513787, 513788, 530144, 530145</t>
  </si>
  <si>
    <t>531969, 531970, 531971, 531973, 531974, 531975</t>
  </si>
  <si>
    <t>531903, 531904, 531905, 531906, 531907, 531908, 531909, 531910, 531911, 531912, 531913, 531914, 531915, 531916, 531917, 531887, 531888, 531889, 531890, 531891, 531892, 531893, 531894, 531895</t>
  </si>
  <si>
    <t>517954, 517955, 517956, 517957, 517958, 517959, 517960, 527042, 529205, 529206, 529208, 529209, 522914, 528492, 531492</t>
  </si>
  <si>
    <t>sollte eigentlich erst am 17.09. zugestellt werden. In Absprache mit Panpharma geändert.</t>
  </si>
  <si>
    <t>531993, 531994, 531995, 531996, 531997, 531998, 531999, 532000, 532001, 532002, 532003, 532004, 532005, 532006, 532008</t>
  </si>
  <si>
    <t>531493, 531494, 531495, 531496</t>
  </si>
  <si>
    <t>530153, 530154, 530155, 530156, 530157, 530158, 530159, 530160, 530161, 530162, 
530163, 530164, 530165, 530166, 530167, 524372, 530697, 530698, 530699, 530700, 
530701, 526765, 526781, 530146</t>
  </si>
  <si>
    <t>532159, 532160, 532161, 532162, 532163</t>
  </si>
  <si>
    <t>SONDERFAHRT 2019/363-1</t>
  </si>
  <si>
    <t>Musterzug aus Direktanlieferung: 4 Trays von 4 Paletten</t>
  </si>
  <si>
    <t>Musterzug aus Direktanlieferung: 4x von 4 Paletten braune Flaschen</t>
  </si>
  <si>
    <t>517961, 517962, 517963, 517964, 517965, 517966, 517967, 517968, 527041, 528534, 
528535, 528536</t>
  </si>
  <si>
    <t>531461, 531642, 531463, 531464</t>
  </si>
  <si>
    <t>532388, 532389, 532390, 532391, 532392, 532393, 532394, 532395, 532396, 532397, 532398, 532399, 532400, 532401, 532402, 532403, 532404, 532405, 532406, 532407, 532408, 532409, 532410, 532411, 532412, 532413, 532414, 532415, 532416, 532417, 532418, 532419, 532420, 532421, 532422, 532423, 532424, 532425, 532426, 524247</t>
  </si>
  <si>
    <t>SONDERFAHRT 2019/363-2</t>
  </si>
  <si>
    <t>529210, 529211, 531969, 528493, Muster v. 23.09.19</t>
  </si>
  <si>
    <t>Musterzug aus Direktanlieferung: 6 Trays von 6 Paletten</t>
  </si>
  <si>
    <t>531023, 531024, 531025, 531026, 517367, 517368, 517369, 529518, 529519, 529520, 522899, 522901, 522902, 522903, 531903, 531904, 526521, 517185, 
Muster vom 24.09.19</t>
  </si>
  <si>
    <t>532625, 532626, 532627, 532628, 532629, 532630, 532631, 532632, 532633, 532634, 
532635</t>
  </si>
  <si>
    <t>532565, 532566, 532567, 532568, 532569, 532570, 532571, 532572, 532573, 532574, 
532575, 532576, 532577, 532578, 532579, 532580, 532581, 532582, 532583, 532584, 
532585, 532586, 532587, 532588, 532589, 532590, 532591, 532592, 532593, 532594,
532595, 532596, 532597, 532598, 532599, 532600, 532601, 532602, 532603, 532604,
532605, 532606, 532607, 532608, 532609, 532610, 532611, 532612, 532613, 532614,
532615, 532616</t>
  </si>
  <si>
    <t>Einlagerung aus Direktanlieferung vom 24.09.</t>
  </si>
  <si>
    <t>517186, 517187, 517188, 517189, 517190, 517191, 517192, 517193, 517194, 511635</t>
  </si>
  <si>
    <t>MUSTERZUG: jeweils 60 Stück abzählen aus jeder Palette
532415, 532416, 532417, 532418, 532419, 532420, 532421, 532422, 532423, 532424, 532425, 532426, 532427</t>
  </si>
  <si>
    <t>527925, 527926, 527927, 527928, 527929</t>
  </si>
  <si>
    <t>530147, 530148, 526522, 526523, 517195, 517196, 517197, 517198, 517199, 530539, 531573, 531574, 531575, 531577, 531578, 000078</t>
  </si>
  <si>
    <t>530478, 530479, 530480, 530481, 527370, 527371, 527372, 486080</t>
  </si>
  <si>
    <t>SONDERFAHRT 2019/382-1</t>
  </si>
  <si>
    <t>532986, 532987, 532988, 532989, 532990, 532991, 532992, 532993</t>
  </si>
  <si>
    <t>000073, 000074, 000075, 000076, 000077, 000079, 522904, 522905, 529521, 530586, 531905</t>
  </si>
  <si>
    <t>533102, 533103, 533104, 533105, 000073, 000074, 000075, 000076, 000077, 000078, 000040</t>
  </si>
  <si>
    <t>499773, 524294, 524295, 524296, 524297, 524298, 530168, 530169, 530170, 530171, 530172, 530173, 531551, 531552, 531553, 531554, 530687, 530688, 530689, 513769</t>
  </si>
  <si>
    <t>SONDERFAHRT 2019/388-1</t>
  </si>
  <si>
    <t>533530, 533531, 533532, 533533, 533534, 533535, 533536, 533537, 533538, 533539, 533540, 533541, 533542, 533543, 533544, 533545, 533546, 533547, 533548, 533549, 533550</t>
  </si>
  <si>
    <t>Einlagerung aus Direktanlieferung v. 16.10.</t>
  </si>
  <si>
    <t>533491, 533496, 533497, 533498, 533499, 533500, 533501, 533502, 533503, 533504, 533505, 533506, 533507, 533508, 533509, 533510, 533511, 533512, 533513, 533514, 533515, 533516, 533517, 533518, 533519, 533520, 533521, 533522, 533523, 533524, 533525, 533526</t>
  </si>
  <si>
    <t>MUSTERZUG: jeweils 156/158 Stück aus jeder Palette
Auslagern. Tray ziehen, 156/158 Stück abzählen und verpacken, Rest-Tray wieder auf Palette und Verpacken, Einlagern. 
SONDERFAHRT 2019/396-1</t>
  </si>
  <si>
    <t>MUSTERZUG: jeweils 60 Stück aus jeder Palette
Auslagern. Tray ziehen, 60 Stück abzählen und verpacken, Rest-Tray wieder auf Palette und Verpacken, Einlagern. 
SONDERFAHRT 2019/371-1</t>
  </si>
  <si>
    <t>MUSTERZUG: jeweils 156/158 Stück abzählen aus jeder Palette
533515, 533516, 533517, 533518, 533519, 533520, 533525, 533526</t>
  </si>
  <si>
    <t>523047, 528494, 530690, 530691, 530692, 530693, 530694, 530695, 530696, 531555, 531556, 531557, 531558, 531559, 531560</t>
  </si>
  <si>
    <t>Abruf zu Freitag, 18.10. (nach Absprache auf Veranslassung durch uns bereits am Do. geliefert)</t>
  </si>
  <si>
    <t>530482, 530483, 530484, 530485, 530486, 530487</t>
  </si>
  <si>
    <t>SONDERFAHRT 2019/404-1</t>
  </si>
  <si>
    <t>533660, 533661, 533662, 533663, 533664</t>
  </si>
  <si>
    <t>533929, 533930, 533931, 533932, 533933, 533934, 533935, 533936, 533937, 533938, 533939, 533940, 533941, 533942, 533943, 533944, 533945, 533946</t>
  </si>
  <si>
    <t>530956, 530957, 530958, 530959, 523115, 529677, 531906, 531907</t>
  </si>
  <si>
    <t>523164, 523165, 523166, 523167, 523168, 523169, 532415, 532416, 532417, 532418, 532419, 532420, 532421, 532422</t>
  </si>
  <si>
    <t>533954, 533955, 533956, 533957, 533958, 533959, 533960</t>
  </si>
  <si>
    <t>531468, 531465, 531466, 431467</t>
  </si>
  <si>
    <t>SONDERFAHRT 2019/411-1</t>
  </si>
  <si>
    <t>532625, 532626, 532627, 532628, 520794, 531908, 532986, 513770, 513771, 513772, 
530152, 533539, 533540</t>
  </si>
  <si>
    <t>526416, 526417, 532629, 532630, 532631, 532632, 532633, 530672, 530673, 530674, 530675, 530676, 530677</t>
  </si>
  <si>
    <t>Sonderfahrt 2019/422-1</t>
  </si>
  <si>
    <t>534487, 534488, 534489, 534490, 534491, 534492, 534465, 534471, 534472, 534473, 534474, 534475, 534476, 534477, 534478, 534479, 534480, 534481, 534482, 534483, 534484, 534485, 534486, 000087</t>
  </si>
  <si>
    <t>531027, 531028, 531029, 531909, 531037</t>
  </si>
  <si>
    <t>Sonderfahrt 2019/422-2</t>
  </si>
  <si>
    <t>Sonderfahrt 2019/422-3</t>
  </si>
  <si>
    <t>463709, 480148, 531469, 531470, 531910, 532987, 530149, 530150, 530151</t>
  </si>
  <si>
    <t>530488, 530489, 530678, 530679, 530680, 530681, 532988, 531911</t>
  </si>
  <si>
    <t>463713, 533541, 533542, 533530, 533531, 533532, 533533</t>
  </si>
  <si>
    <t>535005, 535006, 535007, 535008</t>
  </si>
  <si>
    <t>535403, 535404, 535405, 535406, 535407, 535408, 535409, 535410, 535411, 535412, 535413, 535421, 535423, 535424, 535425, 535426, 535427, 535428, 535429, 535430, 535431, 535432, 535433, 535434, 535420</t>
  </si>
  <si>
    <t>533954, 533955, 533956, 533957, 533958, 533959, 533960, 530490, 530491, 530492, 
530493, 530494, 530495, 530496, 530497, 531912, 532989</t>
  </si>
  <si>
    <t>519111, 519113, 519114, 519115, 519116, 519117, 519118, 533545, 533546</t>
  </si>
  <si>
    <t>532417, 532418, 532419, 532420, 532421, 532422, 530168, 530169, 530170, 530171, 530172, 530173, 531551, 531552, 531553, 531554, 531555, 531556, 531557, 531558, 531559, 531560, 523164, 523165, 523166, 523167, 523168, 523169</t>
  </si>
  <si>
    <t>Sonderfahrt 2019/448-1</t>
  </si>
  <si>
    <t>525048, 530682, 530683, 530684, 531038, 531039, 000086, 000040, 000083</t>
  </si>
  <si>
    <t>531914, 531913, 530685, 530686, 531993, 531994, 531995, 533534</t>
  </si>
  <si>
    <t>536316, 536315, 536318, 536319, 536320, 536321</t>
  </si>
  <si>
    <t>536339, 536340, 536341, 536342, 536343, 536344, 536345, 536330, 536331, 536332, 
536333, 536334, 536325, 536326, 536327, 536328, 536329</t>
  </si>
  <si>
    <t>eb0000076</t>
  </si>
  <si>
    <t>536607, 536608, 536609, 536610, 536611, 536612</t>
  </si>
  <si>
    <t>nur das Vorhandensein der EB-Nummern abgleichen.</t>
  </si>
  <si>
    <t xml:space="preserve">Vereinfachte Inventur Lagerbestand per 13.12.19: 0,5 Aufwand x 573 Paletten </t>
  </si>
  <si>
    <t>462772, 462773 (Artikelfeststellung)</t>
  </si>
  <si>
    <t>411727, 462772, 462773</t>
  </si>
  <si>
    <t>SONDERFAHRT TRA 2019/473-1</t>
  </si>
  <si>
    <t>522906, 522911, 522912, 522909, 522910, 522913, 535420, 535421, 535423, 535424, 
535427</t>
  </si>
  <si>
    <t>535428, 535429, 535430, 533535, 533536, 533537, 533538</t>
  </si>
  <si>
    <t>SONDERFAHRT LKW 2019/473-2</t>
  </si>
  <si>
    <t>527537, 535005, 535006, 535007, 535008</t>
  </si>
  <si>
    <t>531915, 531916, 531917</t>
  </si>
  <si>
    <t>SONDERFAHRT LKW 2019/477-1</t>
  </si>
  <si>
    <t>537006, 537007, 537008, 537009, 537010, 537011, 537012, 537013</t>
  </si>
  <si>
    <t>469538, 533547, 533548, 532634, 532635, 535403, 535404, 535405, 535406, 535407, 531996, 531997, 531998, 531999, 532000, 532001, 532002</t>
  </si>
  <si>
    <t>SONDERFAHRT LKW+Sprinter 477-3 + 477-2</t>
  </si>
  <si>
    <t>536607, 532990, 532991</t>
  </si>
  <si>
    <t>Panpharma Lager</t>
  </si>
  <si>
    <t>537290, 537291, 537292, 537293, 537294, 537295, 537296, 537297, 537299, 537300, 537301, 537302, 537303, 537304, 537305, 537306, 537307, 537308</t>
  </si>
  <si>
    <t>SONDERFAHRT LKW 2020/11-1</t>
  </si>
  <si>
    <t>SONDERFAHRT LKW 2020/11-2</t>
  </si>
  <si>
    <t>536325, 536326, 536327, 536328, 536329, 504713, 520790</t>
  </si>
  <si>
    <t>537575, 537577, 537578, 537579, 537580, 537581, 537582, 537583, 537584, 000076, 000083, 000088</t>
  </si>
  <si>
    <t>SONDERFAHRT LKW 2020/15-1</t>
  </si>
  <si>
    <t>533543, 533544, 536608</t>
  </si>
  <si>
    <t>537290, 537291, 537292, 532003, 532004, 532005, 532006, 532007, 533929, 533930, 533931, 535408, 535409, 535410, 535411, 535412, 535413, 530960, 530961, 527542, 532992</t>
  </si>
  <si>
    <t>SONDERFAHRT LKW 2020/20-1</t>
  </si>
  <si>
    <t>eb0000027 zur Prüfung bereitstellen und danach wieder einlagern</t>
  </si>
  <si>
    <t>533218, 523364, 529830, 523116, 534856, 523365, 527543, 536873, 530698, 523117, 536872, 528494, 535849, 528492, 523366, 529118, 529376, 524297, 531407, 527529, 502800, 000089, 000090, 000091, 000092, 000093, 000094, 000095, 537744, 537745, 537746, 537747, 537748, 537749, 537750</t>
  </si>
  <si>
    <t>536872, 536873</t>
  </si>
  <si>
    <t>SONDERFAHRT LKW 2020/21-1</t>
  </si>
  <si>
    <t>535425, 533935, 533932, 533933, 533934, 536339, 536340, 536341, 536342</t>
  </si>
  <si>
    <t>SONDERFAHRT LKW 2020/21-2</t>
  </si>
  <si>
    <t>537949, 537950, 537951, 537952, 537953, 537954, 537955, 537956, 537957</t>
  </si>
  <si>
    <t>536343, 536344, 536345, 536330, 536331, 536332, 533936, 533937, 533938, 533939, 533940, 533941, 533942</t>
  </si>
  <si>
    <t>SONDERFAHRT LKW 2020/34-1</t>
  </si>
  <si>
    <t>535431, 535432, 535433, 537293, 537294, 532993, 531040</t>
  </si>
  <si>
    <t>SONDERFAHRT LKW 2020/39-1</t>
  </si>
  <si>
    <t>SONDERFAHRT LKW 2020/44-1</t>
  </si>
  <si>
    <t>538413, 538414, 538415, 538416, 538417, 538418, 538419, 538420, 538421, 538422, 
538427, 538428, 538429, 538430, 538431, 538432, 538433, 538434, 538435, 538436,
000096, 000097, 000098, 000099, 000100, 000101</t>
  </si>
  <si>
    <t>SONDERFAHRT LKW 2020/44-2</t>
  </si>
  <si>
    <t>536333, 536334, 537949, 537950, 533549, 533550, 536609, 531041, 538427, 538428, 538429, 538430, 538431, 538432, 538433, 538434, 538435, 538436, 538420</t>
  </si>
  <si>
    <t>538606, 538607, 538608, 538609, 538610, 538611, 538612, 538613, 538614, 538615, 538645, 538646, 538647, 538648, 538649, 538650, 538678, 538679, 538680, 538681, 538682, 538683</t>
  </si>
  <si>
    <t>SONDERFAHRT 2020/55</t>
  </si>
  <si>
    <t>aus direktanlieferung vom 03.02.20</t>
  </si>
  <si>
    <t>538827, 538828, 538829, 538830, 538831, 538832, 538833, 538834, 538835, 538836, 538837, 538838</t>
  </si>
  <si>
    <t>530168, 530169, 530170, 530171, 530172, 530173, 531551, 531552, 531553, 531554, 531555, 531556, 531557, 531558, 528494, 531970, 531971</t>
  </si>
  <si>
    <t>535434, 467554, 537295, 537296, 537297, 532417, 532418, 532419, 532420, 532421, 528492</t>
  </si>
  <si>
    <t>526234, 526235, 526236, 526237, 526240, 526241, 526242, 526243, 526244, 526245, 526246, 526247, 526248, 526249, 526250, 526251, 526252, 526253, 526254, 526255</t>
  </si>
  <si>
    <t>SONDERFAHRT 2020/59-1</t>
  </si>
  <si>
    <t>SONDERFAHRT 2020/59-2</t>
  </si>
  <si>
    <t>523116 davon 1 Krt à 4.000, 523117 davon 2 Krt à 4.000</t>
  </si>
  <si>
    <t>517969, 526234, 526235, 526236, 526237, 526240, 526241, 526242, 526243, 526244, 526245, 526246, 526247, 526248, 526249, 526250, 526251, 526252</t>
  </si>
  <si>
    <t>SONDERFAHRT 2020/61-1</t>
  </si>
  <si>
    <t>528495, 528496, 537747, 537748, 537749, 537750, 531973</t>
  </si>
  <si>
    <t>532415, 532416, 532417, 532418, 532419, 532420, 532421, 532428, 532429</t>
  </si>
  <si>
    <t>GESPERRTE WARE!!!</t>
  </si>
  <si>
    <t>Umlagerung nach GESPERRTE:
532422, 532423, 532424, 532425, 532426, 532427</t>
  </si>
  <si>
    <t xml:space="preserve">Eb000067 </t>
  </si>
  <si>
    <t>Auslagern; Produktfotos fertigen; einlagern</t>
  </si>
  <si>
    <t>539241, 539242, 539243, 539174, 539175, 539176, 539177, 539178, 539179</t>
  </si>
  <si>
    <t>538606, 538607, 538608, 538609, 518396, 518397, 518398, 534465, 534471, 534472, 537575, 537577, 537578, 531974, 531975, 532159, 532160</t>
  </si>
  <si>
    <t>538610, 538611, 538612, 526253, 526254, 526255, 528119, 528120, 528121, 528122, 528123, 528124, 528125, 528126, 528127, 528128, 528129, 528130</t>
  </si>
  <si>
    <t>529376, 534856, 537308, 537299, 537579, 534487, 534488, 534489, 532161</t>
  </si>
  <si>
    <t>SONDERFAHRT 2020/77-1</t>
  </si>
  <si>
    <t>539793, 539794, 539795, 539796, 539797, 539798, 539799, 539800, 539801, 539802, 539803, 539804, 539805, 539806, 539807, 539808, 539809</t>
  </si>
  <si>
    <t>531579, 531580, 531581, 531582, 531583, 531584, 531585, 531586, 531588, 535426, 536315, 536316, 530587, 538413, 538414, 538415, 538416</t>
  </si>
  <si>
    <t>SONDERFAHRT 2020/80-1</t>
  </si>
  <si>
    <t>533943, 533944, 533945, 533946, 539174, 539175, 539176, 539177, 539178, 539179, 537744, 531589, 531668, 531669, 533491, 533496, 533497, 537951, 537952, 537953, 536318, 536319, 536320, 536321, 530588, 537300, 521534, 521535, 521537</t>
  </si>
  <si>
    <t>540094, 540095, 540096</t>
  </si>
  <si>
    <t>540448, 540449, 540450, 540451, 540453, 540454, 540455, 540456, 540459, 540460, 540461, 540462, 540463, 540464, 540465, 540466, 540467, 540468, 540473, 540474, 540475, 540476, 540477</t>
  </si>
  <si>
    <t>SONDERFAHRT 2020/100-1</t>
  </si>
  <si>
    <t>540510, 540511, 540512, 540513, 540514, 540515, 540516, 540517, 540518, 540519, 540520, 540521</t>
  </si>
  <si>
    <t>533660, 533661, 533662, 533498, 533499, 533500, 533501, 533502, 533503, 533504, 533505, 533506, 533507, 533508, 533509, 533510, 533511, 537301, 537580, 537581, 537582, 538417, 538418, 538419, 538421, 538422, 536610, 536611, 539795, 539796, 513773, 513774, 513775, 526782, 476270, 476271</t>
  </si>
  <si>
    <t>537306, 537307, 538613, 538614, 538615, 540510, 540511, 526418, 526419, 523164, 523165, 523166, 537302, 526783, 526784, 537954, 539801, 539802, 539803, 000069, 000070</t>
  </si>
  <si>
    <t>513776, 539804, 539805, 539806, 539807, 539808, 540512, 540513, 540514, 540515</t>
  </si>
  <si>
    <t>SONDERFAHRT 2020/113-1</t>
  </si>
  <si>
    <t>541047, 541048, 541049, 541050, 541051, 541052, 541053, 541054, 541055, 541056, 541057, 541058, 541059, 541060, 541061, 541062, 541063, 541064, 541065, 541066, 541068, 541069, 541070, 541071, 541072, 541073, 541074, 524426, 527920</t>
  </si>
  <si>
    <t>000067, 000068</t>
  </si>
  <si>
    <t>000069, 000070</t>
  </si>
  <si>
    <t>533512, 533513, 533514, 533515, 533516, 533517, 533518, 533519, 533520, 533521, 517370, 517371, 528131, 528132, 528133, 528134, 528135, 528136, 528137, 528138, 528139, 528140, 528141, 528142, 528143, 532388, 532389, 532390, 533663, 533664, 534479, 537303</t>
  </si>
  <si>
    <t>527529, 540516, 540517, 540518, 540519, 540520, 540521, 539241, 539242, 539243</t>
  </si>
  <si>
    <t>SONDERFAHRT 2020/122-1</t>
  </si>
  <si>
    <t>541461, 541462, 541463, 541464, 541465, 541466, 541467, 541468</t>
  </si>
  <si>
    <t>541617, 541618, 541619, 541620, 541621, 541622, 541623, 541624, 541625, 541626, 541627, 541628, 541629, 541630, 541631, 541632, 541633, 541634, 541635, 541636, 541637, 541638</t>
  </si>
  <si>
    <t>541772, 541773, 541774, 541775, 541776, 541777, 541778, 541779, 541780, 541781, 541782, 541783, 541784</t>
  </si>
  <si>
    <t>SONDERFAHRT 2020/125-1</t>
  </si>
  <si>
    <t>SONDERFAHRT 2020/139-1</t>
  </si>
  <si>
    <t>537304, 537305, 537955, 537956, 537957, 541057, 541058, 541059, 541060, 540453, 540454, 540455, 540456, 537006, 537007, 537008, 537009, 537010</t>
  </si>
  <si>
    <t>542064, 542062, 542061, 542063, 542070, 542071, 542065, 542066, 542067, 000102</t>
  </si>
  <si>
    <t>542128, 542129, 542130, 542131, 542132, 542133, 542134, 542135, 542136, 542137, 
542138, 542139, 542140, 542141, 542142, 542143, 542144, 542145, 542146, 542147, 
542148, 542149, 542150, 542151, 542152, 542153, 542154, 542155, 542156, 542157, 
542158, 542159, 542160, 542161, 542162</t>
  </si>
  <si>
    <t>Einlagerung aus direktanlieferung</t>
  </si>
  <si>
    <t>MUSTERZUG aus 8 Paletten (Charge: N302093 + N392798)</t>
  </si>
  <si>
    <t>529678, 523015, 519119, 519120, 519121, 522704, 522705, 522706, 000095</t>
  </si>
  <si>
    <t>SONDERFAHRT 2020/142-1</t>
  </si>
  <si>
    <t>522707, 522708, 522709, 522710, 522711</t>
  </si>
  <si>
    <t>531559, 531560, 531561, 531562, 531563, 531564, 531565, 531566, 531567, 531568, 531569, 531570, 531571, 542128, 542129, 542130, 542131, 542132, 542133, 534490, 534491, 532162, 532163, 536612, 541047, 541061, 541062, 541063, 523669, 541068, 539809</t>
  </si>
  <si>
    <t>SONDERFAHRT 2020/147-1</t>
  </si>
  <si>
    <t>532415, 532416, 532417, 532418, 532419, 532420, 532421, 532422, 532423, 532424, 538645, 532425, 532426, 532427, 532428, 532429</t>
  </si>
  <si>
    <t>SONDERFAHRT 2020/147-2</t>
  </si>
  <si>
    <t>534492, 538678, 538679, 538646, 538647, 538648, 539797, 539798, 539799, 540448, 540449, 540450, 540451, 540473, 540459, 540460, 540461, 540462, 540463, 540464</t>
  </si>
  <si>
    <t>SONDERFAHRT 2020/158-1</t>
  </si>
  <si>
    <t>531888, 531887, 531890, 531889, 541618, 530698, 542071, 521542, 524426, 537584, 
541779, 541778, 541775, 541774, 541069, 541070, 542070, 541071, 540474, 541048, 
541772, 541773, 541049, 527920, 530971, 541617, 537583</t>
  </si>
  <si>
    <t>530174, 530175, 530176, 530177, 542134, 542135, 542159, 542160, 542161, 542162, 538680, 540475, 540476, 540477, 541619, 541620, 541074</t>
  </si>
  <si>
    <t>543656, 543657, 543658, 543659, 543660, 543661, 543662, 543663, 543664, 543665, 543666, 543667, 543668, 543669, 543670, 543671, 543672, 543673, 543674, 543653, 543654</t>
  </si>
  <si>
    <t>542136, 542137, 542138, 542139, 542140, 542141, 542142, 542143, 542144, 542145, 
542146, 542147, 542148, 542149, 542150, 542151, 542152, 542153 , 541621, 541461,
539793, 539794, 543666, 543667, 543668</t>
  </si>
  <si>
    <t>Sonderfahrt 2020/176-1</t>
  </si>
  <si>
    <t>538681, 538682, 538683, 538649, 538650</t>
  </si>
  <si>
    <t>544134, 544135, 544136, 544137, 544138, 544139, 544140, 544195, 544196, 544197, 544198, 544199, 544200, 544201, 544202, 544203, 544204, 544205, 544206, 544207, 544208, 544209</t>
  </si>
  <si>
    <t>523367, 523368, 537745, 537746, 532391, 532392, 532393, 532394, 532395, 532396, 533522, 533523, 533524, 533525, 533526, 542065, 542154, 542155</t>
  </si>
  <si>
    <t>Sonderfahrt 2020/181-1</t>
  </si>
  <si>
    <t>544508, 544509, 544510, 544511, 544512, 544513, 544514, 544515, 544516, 544517, 544518, 544519, 544520, 544521, 544522, 544523, 544524, 544525, 544526, 544527, 544528, 544529, 544530, 544531, 544532, 544533, 544534, 544535, 544536</t>
  </si>
  <si>
    <t>aus direktanlieferung vom 18.05.2020</t>
  </si>
  <si>
    <t>Musterzug; je 1 Bulk von : 544532, 544529, 544526, 544523</t>
  </si>
  <si>
    <t>Sonderfahrt 2020/186-1</t>
  </si>
  <si>
    <t>544645, 544659, 544660, 544661, 544662, 544663, 544664, 544665, 544666, 544667, 544668, 544669, 544670, 544671, 544672, 544673</t>
  </si>
  <si>
    <t>aus direktanlieferung vom 19.05.2020</t>
  </si>
  <si>
    <t>544134, 544135, 544136, 544137, 544138, 508531, 524961, 524962, 524963, 524964, 
532565, 532566, 532567, 532568, 532569, 532570, 532571, 532572, 532573, 532574, 
523117, 541622, 541623, 541624, 541462, 541064, 541065, 541066, 539800, 542061</t>
  </si>
  <si>
    <t>544871, 544872, 544873, 544874, 544875, 544876, 544877, 544878, 544928, 544929, 
544930, 544931, 544932, 544933, 539816, 539817, 539818</t>
  </si>
  <si>
    <t>544195, 544196, 544197, 544198, 540465, 540466, 540467, 540468, 543656, 543657, 543658</t>
  </si>
  <si>
    <t>Sonderfahrt (der 2. Teil) 2020/206-1</t>
  </si>
  <si>
    <t>545244, 545245, 545246, 545247, 545248, 545249, 545250, 545251, 545252, 545253, 545254, 545255</t>
  </si>
  <si>
    <t>Einlagerung aus Direktanlieferung vom 02.06.2020</t>
  </si>
  <si>
    <t>544871, 544872, 544873, 544659, 544660, 544661, 544662, 544663, 544664, 544665, 544666, 544667, 541050, 541051, 541052, 539816, 534480, 534481</t>
  </si>
  <si>
    <t>545457, 545458, 545459, 545460, 545461, 545462, 545463</t>
  </si>
  <si>
    <t>545572, 545573, 545574, 545575, 545576, 545577, 545578, 545579</t>
  </si>
  <si>
    <t>Sonderfahrt 2020/211-1</t>
  </si>
  <si>
    <t>523167, 523168, 523169, 529118, 541625, 541626, 469539, 544928, 544929</t>
  </si>
  <si>
    <t>545754, 545755, 545756</t>
  </si>
  <si>
    <t>545890, 545891, 545892, 545893, 545894, 545897, 545898, 545899, 545900, 545901, 545902, 545903, 545904, 545905, 545906, 545907, 545908, 545909, 545910, 545911, 545912, 545913, 545914, 545915, 545916, 545917, 545918, 545919, 545920, 545921, 545922, 545923, 545924, 545925, 545926</t>
  </si>
  <si>
    <t>Einlagerung aus Direktanlieferung vom 12.06.2020</t>
  </si>
  <si>
    <t>532397, 532398, 532399, 532400, 532401, 532402, 532403, 532404, 532405, 532406, 532407, 532408, 532409, 532410, 532411, 532412, 532413, 532414, 544874, 544875, 541627, 541628, 541463, 542062, 513777</t>
  </si>
  <si>
    <t>546022, 546023, 546024, 546025, 546026, 546072, 546073, 546065, 546066, 546067, 546068, 546069, 546070, 546071</t>
  </si>
  <si>
    <t>546241, 546242, 546243, 546244, 546245, 546246, 546247, 546248</t>
  </si>
  <si>
    <t>Sonderfahrt 2020/222-1</t>
  </si>
  <si>
    <t>544876, 544877, 544878, 538827, 538828, 538829, 538830, 538831, 538832, 538833, 538834, 538835, 538836, 538837, 538838, 545244, 545245, 545246, 545247, 545248, 541464, 541645, 543669, 542063, 539817, 541776, 543654</t>
  </si>
  <si>
    <t>526785, 526786, 526787</t>
  </si>
  <si>
    <t>Sonderfahrt 2020/231-1</t>
  </si>
  <si>
    <t>Einlagerung aus Direktanlieferung vom 23.06.2020</t>
  </si>
  <si>
    <t>546560, 546561, 546562, 546563, 546564, 546565, 546566, 545567, 546568, 546569, 546570, 546571, 546572, 546573, 546574, 546575, 546576, 546577, 546578, 546580, 546581, 546582, 546583, 546584</t>
  </si>
  <si>
    <t>546376, 546377, 546378, 546379, 546380, 546381, 546446, 546447, 546448, 546449, 546450, 546451</t>
  </si>
  <si>
    <t>Einlagerung aus Direktanlieferung vom 30.06.2020</t>
  </si>
  <si>
    <t>546898, 546899, 546900, 546901, 546902, 546903, 546904, 546905, 546906, 546907, 
546908, 546909, 546910, 546911, 546912, 546913, 546914, 546915, 546916, 546917, 
546918, 546919, 546920, 546921, 546922, 546923</t>
  </si>
  <si>
    <t>546241, 546242, 546243, 546244, 546245, 531891, 523048, 544199, 544200, 544201, 
544202, 544203, 544204, 544205, 544206, 544207, 544208, 544209, 541629, 541630, 
541053, 543670, 543671, 543672, 539818</t>
  </si>
  <si>
    <t>Musterzug 1 Karton von Art.AMP3D125 aus Direktanl. vom 30.06.2020</t>
  </si>
  <si>
    <t>546911, 546912, 546913, 546914, 546915, 546916, 546917, 546918, 546919, 546920, 546921, 546922, 546923</t>
  </si>
  <si>
    <t>Mit neuen EB-Nummern versehen; wieder eingelagert</t>
  </si>
  <si>
    <t>Auslagerung zur Änderung der EB-Nummern; alte EB-Nummern entfernen 
(Lieferantencharge wurde nicht erfasst)</t>
  </si>
  <si>
    <t>547028, 547029, 547030, 547031, 547032, 547033, 547034, 547035, 547036, 547037, 547038, 547039, 547040</t>
  </si>
  <si>
    <t>000094, 545249, 545250, 545251, 546376, 546377, 546378, 541631, 541632, 541466, 
543673, 543674, 545890, 545891, 542156, 542157, 542158, 544508</t>
  </si>
  <si>
    <t>544509, 544510, 544511, 544512, 544513, 544514, 544515, 544516, 544517, 544518, 544519, 544520, 544521, 544522, 544523, 544524, 544525, 544526</t>
  </si>
  <si>
    <t>547482, 547483, 547484, 547485, 547486, 547487</t>
  </si>
  <si>
    <t>541633, 541634, 541635, 546898, 546899, 546900, 546901, 542064, 541777</t>
  </si>
  <si>
    <t>Musterzug 2 Karton von 373323,
541467, 541468, 545457, 541636, 541637, 542066, 541054, 545903, 541780, 541781, 541782, 541783, 541784, 545892, 545893, 545894, 543659, 543660</t>
  </si>
  <si>
    <t>Einlagerung aus Direktanlieferung vom 16.07.2020</t>
  </si>
  <si>
    <t>547888, 547889, 547890, 547891, 547892, 547893, 547894, 547895, 547896, 547897, 
547898, 547899, 547900, 547901, 547902, 547905, 547906, 547907, 547908, 547909, 
547910, 547911, 547912, 547913</t>
  </si>
  <si>
    <t>547995, 547996, 547997, 547998, 548136, 548137, 548138, 548139, 548140</t>
  </si>
  <si>
    <t>2. Direktanlieferung am 29.07.2020 PANPHARMA 15 Pal. getauscht</t>
  </si>
  <si>
    <t>3. Direktanlieferung am 29.07.2020 PANPHARMA 7 Pal. getauscht</t>
  </si>
  <si>
    <t>1. Direktanlieferung am 29.07.2020 PANPHARMA 14 Pal. getauscht</t>
  </si>
  <si>
    <t xml:space="preserve">Einlagerung aus 1. Direktanlieferung am 29.07.2020 </t>
  </si>
  <si>
    <t>548348, 548349, 548350, 548351, 548352, 548353, 548354, 548355, 548356, 548357, 
548358, 548359, 548360, 548361</t>
  </si>
  <si>
    <t>543661, 543662, 543663, 543664, 543665, 541638, 546560, 545458, 542067</t>
  </si>
  <si>
    <t>548365, 548366, 548367, 548368, 548369, 548370, 548371, 548372, 548373, 548374, 
548375, 548376, 548377, 548378, 548379</t>
  </si>
  <si>
    <t xml:space="preserve">Einlagerung aus 2. Direktanlieferung am 29.07.2020 </t>
  </si>
  <si>
    <t>548390, 548391, 548392, 548393, 548394, 548395, 548396</t>
  </si>
  <si>
    <t xml:space="preserve">Einlagerung aus 3. Direktanlieferung am 29.07.2020 </t>
  </si>
  <si>
    <t>542067 war am 29.07.2020 physisch bei HS nicht auffindbar, laut Goncharov bereits am 22.07.2020 an Panpharma geliefert. Suche bei HS erfolgte, da freier Platz hätte belegt sein müssen (MK)</t>
  </si>
  <si>
    <t>541638 wurde zwar heute ausgeliefert, aber bereits am 22.07.2020 ausgebucht</t>
  </si>
  <si>
    <t>541072, 541073, 545904, 545905, 545897, 545898, (541638), 548390, 546379, 402096, 415512, 415513, 415515, 426170, 450798</t>
  </si>
  <si>
    <t>545912, 545913</t>
  </si>
  <si>
    <t>548250, 548251, 548252, 548253, 548458, 548459, 548460, 548461, 548462, 548463</t>
  </si>
  <si>
    <t>10 Pal. aus Einl.07.08. ausgelagert, Chargen korrekt zugewiesen (Fehler von Panpharma), wieder eingelagert</t>
  </si>
  <si>
    <t>1. Direktanlieferung am 07.08.2020 PANPHARMA</t>
  </si>
  <si>
    <t>2. Direktanlieferung am 07.08.2020 PANPHARMA</t>
  </si>
  <si>
    <t>Einlagerung aus 1. Direktanlieferung am 07.08.2020 PANPHARMA</t>
  </si>
  <si>
    <t>548570, 548571, 548572, 548573, 548574, 548575, 548576, 548577, 548578, 548579, 548580, 548581, 548582, 548583, 548584, 548585, 548586, 548587, 548588, 548589, 548590, 548591, 548592, 548593, 548594, 548595, 548534, 548535, 548536, 548539</t>
  </si>
  <si>
    <t>548544, 548545, 548546, 548547, 548548, 548549, 548550, 548551, 548552, 548553, 548554, 548555, 548556, 548557, 548558, 548559, 548560, 548561, 548562, 548563, 548564, 548565, 548566, 548567, 548568, 548569, 548596, 548597, 548598, 548599, 548540</t>
  </si>
  <si>
    <t>Einlagerung aus 2. Direktanlieferung am 07.08.2020 PANPHARMA</t>
  </si>
  <si>
    <t>548539, 548534, 548574
Paletten ausgelagert, 12xMusterzug, eingelagert</t>
  </si>
  <si>
    <t>Sonderfahrt 2020/270-2</t>
  </si>
  <si>
    <t>545906, 545907, 544930, 544931, 546902, 546903, 546904, 546905, 546906, 546907, 546908, 546909, 546910, 548348, 548349, 548350, 548351, 548352, 548353, 548354, 544645, 547028, 547029, 547030, 547031
548539 ausgelagert; Musterzug; eingelagert</t>
  </si>
  <si>
    <t>546380, 546381, 544527, 544528, 544529, 544530, 544531, 544532, 545914, 545915, 545916, 545917, 545899, 545900</t>
  </si>
  <si>
    <t>Sonderfahrt 2020/279-1</t>
  </si>
  <si>
    <t>1. Direktanlieferung am 24.08.2020 PANPHARMA</t>
  </si>
  <si>
    <t>2. Direktanlieferung am 24.08.2020 PANPHARMA (Pal. getauscht)</t>
  </si>
  <si>
    <t>Einlagerung aus 1. Direktanlieferung am 24.08.2020 PANPHARMA</t>
  </si>
  <si>
    <t>Musterzug je 1 Tray aus Palette
548951, 548952, 548953, 548954, 548969, 548972, 548967, 548965, 548963</t>
  </si>
  <si>
    <t>548951, 548952, 548953, 548954, 548956, 548957, 548958, 548959, 548960, 548961, 548962, 548963, 548964, 548965, 548966, 548967, 548968, 548969, 548970, 548971, 548972, 548973, 548974, 548975, 548976, 548977, 548978</t>
  </si>
  <si>
    <t>Einlagerung aus 2. Direktanlieferung am 24.08.2020 PANPHARMA</t>
  </si>
  <si>
    <t>548993, 548994, 548995, 548996, 548997, 548998, 548999, 549000, 549001</t>
  </si>
  <si>
    <t>548355, 548356, 548357, 548358, 548359, 548360, 548361</t>
  </si>
  <si>
    <t>Sonderfahrt 2020/280-1</t>
  </si>
  <si>
    <t>546561, 546562, 546563, 547893, 547894, 547032, 547033, 547034, 547035, 547036, 547037, 547038, 547039, 547040, 547482, 547483, 544932, 544933, Muster v. 24.08.</t>
  </si>
  <si>
    <t>Direktanlieferung am 26.08.2020 PANPHARMA</t>
  </si>
  <si>
    <t>549001 Auslagerung; Musterzug durch Panpharma-MA; Einlagerung</t>
  </si>
  <si>
    <t>Einlagerung aus Direktanlieferung am 26.08.2020 PANPHARMA</t>
  </si>
  <si>
    <t>549125, 549126, 549127, 549128, 549129, 549130, 549131, 549132, 549133, 549134</t>
  </si>
  <si>
    <t>547484, 547485, 547486, 544139, 544140, 548365, 548391, 513778, 545908, 548559, 
548560, 548561</t>
  </si>
  <si>
    <t>Direktanlieferung am 28.08.2020 PANPHARMA (Pal. getauscht)</t>
  </si>
  <si>
    <t>548544, 548545, 548546, 546564, 548366, 548367, 548368, 548369, 548370, 546246, 546247, 546248</t>
  </si>
  <si>
    <t>549274, 549275, 549276, 549277, 549278, 549279, 549280, 549281, 549282</t>
  </si>
  <si>
    <t>Palette öffnen; Bulk entnehmen; jeweils 26-27 Muster abzählen; 
Muster verpacken; Bulk wieder auf Palette; Palette verschließen.
549329, 549338, 549340, 549351, 549352, 549353</t>
  </si>
  <si>
    <t>549329, 549330, 549331, 549332, 549333, 549334, 549335, 549336, 549337, 549338, 549339, 549340, 549341, 549345, 549346, 549347, 549348, 549349, 549350, 549351, 549352, 549353, 549354</t>
  </si>
  <si>
    <t>Direktanlieferung am 31.08.2020_1 PANPHARMA</t>
  </si>
  <si>
    <t>Einlagerung aus Direktanlieferung am 31.08.2020_1 PANPHARMA</t>
  </si>
  <si>
    <t>Einlagerung aus Direktanlieferung am 28.08.2020_1 PANPHARMA</t>
  </si>
  <si>
    <t>548628, 548629, 548630, 548631, 548632, 548633</t>
  </si>
  <si>
    <t>544534, 544535, 544536, 548570, 548571, 548572, 548573, 548547, 545909, 545910, 545911, 548562</t>
  </si>
  <si>
    <t>Sonderfahrt 287-2</t>
  </si>
  <si>
    <t>Direktanlieferung am 02.09.2020_1 PANPHARMA</t>
  </si>
  <si>
    <t>Direktanlieferung am 02.09.2020_2 PANPHARMA</t>
  </si>
  <si>
    <t>544533, 548574, 548575, 548576, 548577, 548578, 548579, 548580, 548581, 548582, 548583, 548584, 548585, 548586, 548587</t>
  </si>
  <si>
    <t>549582, 549583, 549584, 549585, 549586, 549587, 549588, 549589</t>
  </si>
  <si>
    <t>Einlagerung aus Direktanlieferung am 02.09.2020_1 PANPHARMA</t>
  </si>
  <si>
    <t>549582, 549583, 549584, 549585, 549586, 549587, 549588, 549589
Musterzug je 1 Tray</t>
  </si>
  <si>
    <t>541055, 541056, 547898, 547899, 548563, 548564, 548565, 548371, 548372, 548373, 546565, 548392, 548393</t>
  </si>
  <si>
    <t>Sonderfahrt 287-3</t>
  </si>
  <si>
    <t>Musterzug von 1 Palette aus Direktanlieferung am 02.09.2020_2 PANPHARMA</t>
  </si>
  <si>
    <t>Auftrag pers. Herr Goncharov am 04.09.2020</t>
  </si>
  <si>
    <t>000025 Ausglagern; zählen; einlagern (gezählte Menge Aluflaschen: 67)</t>
  </si>
  <si>
    <t>Einlagerung aus Direktanlieferung am 02.09.2020_2 PANPHARMA</t>
  </si>
  <si>
    <t>549597, 549598, 549599, 549600, 549601, 549602, 549603, 549604, 549605, 549606</t>
  </si>
  <si>
    <t>Ausgelagert: 549589, 549588, 549587; umgekennzeichnet;
Eingelagert: 549594, 549593, 549592</t>
  </si>
  <si>
    <t>Umkennzeichnung wegen falscher Menge auf Restpal.</t>
  </si>
  <si>
    <t>Direktanlieferung am 07.09.2020_1 PANPHARMA (11 Paletten getauscht!)</t>
  </si>
  <si>
    <t>Einlagerung aus Direktanlieferung am 07.09.2020_1 PANPHARMA (11 Paletten zurück erhalten)</t>
  </si>
  <si>
    <t>549796, 549797, 549798, 549799, 549800, 549801, 549802, 549803, 549804, 549805, 549806</t>
  </si>
  <si>
    <t>Auslagern; 6 Aluflaschen von 000025 entnehmen; einlagern</t>
  </si>
  <si>
    <t>545918, 545919, 545920, 545921, 545922, 545923, 545924, 546566, 546567, 547995, 
547996, 546066, 546067, 546069, 547900</t>
  </si>
  <si>
    <t>549617, 549618, 549620, 549621, 549622, 549623, 549679, 549680, 549681, 549682, 
549683, 549684, 549685, 549686</t>
  </si>
  <si>
    <t>Auslagern; Deckel + 6 Aluflaschen von 000025 entnehmen; einlagern</t>
  </si>
  <si>
    <t>549621 Auslagern; zum Prüfen bereitstellen und wieder verpacken; einlagern</t>
  </si>
  <si>
    <t>Goncharov + Kollegin möchten Pal. prüfen</t>
  </si>
  <si>
    <t>548374, 548375, 548376, 548377, 548378, 548379, 548628, 548629, 548548, 548549, 548550, 530178, 530179, 530180, 548539, 549796, 549797</t>
  </si>
  <si>
    <t>549883, 549884, 549885, 549886, 549887, 549888</t>
  </si>
  <si>
    <t>Sonderfahrt 2020/301-1</t>
  </si>
  <si>
    <t>548534, 548535, 548536, 548250, 548251, 548252, 548253, 548458, 549125, 549126, 549127, 549679, 545925, 545926, 546072, 546073, 545459, 546568</t>
  </si>
  <si>
    <t>550169, 550170, 550171, 550172, 550173, 550174, 550175, 000103, 000104, 000105,
 000106, 000107</t>
  </si>
  <si>
    <t>548394, 545754, 547888, 547889, 547890, 546569, 546570, 546571, 545460, 545461, 
549617, 547901, 547902, 547487, 548993, 548994, 548995</t>
  </si>
  <si>
    <t>550102, 550103, 550104, 550105, 550106, 550421, 550422, 550423, 550424, 550425, 
550426, 550516, 550517, 550518, 550519, 550520, 550521</t>
  </si>
  <si>
    <t>Direktanlieferung am 22.09.2020_1 PANPHARMA</t>
  </si>
  <si>
    <t>Einlagerung aus Direktanlieferung am 22.09.2020_1 PANPHARMA</t>
  </si>
  <si>
    <t>550655, 550656, 550657, 550658, 550659, 550660, 550661, 550662, 550663, 550664, 
550665</t>
  </si>
  <si>
    <t>MUSTERZUG je 1 Pack
550665, 550663, 550661, 550659</t>
  </si>
  <si>
    <t>Sonderfahrt 2020/312-1</t>
  </si>
  <si>
    <t>547892, 550102, 550103, 550104</t>
  </si>
  <si>
    <t xml:space="preserve">Direktanlieferung am 23.09.2020_1 PANPHARMA </t>
  </si>
  <si>
    <t xml:space="preserve">Einlagerung aus Direktanlieferung am 23.09.2020_1 PANPHARMA </t>
  </si>
  <si>
    <t>550717, 550718, 550719, 550720, 550721, 550722, 550723, 550724, 550725, 550726, 
550727, 550728</t>
  </si>
  <si>
    <t>548996, 545572, 545573, 545574, 545575, 545576, 548588, 548589, 548590, 548591, 
548592, 548593, 548594, 548595, 549582, 549583, 549584, 549585, 549586, 549592, 
549618, 545462, 547891, 546065, 546068, 545755</t>
  </si>
  <si>
    <t>550528, 550529, 550530, 550531, 550532, 550533, 550523, 550524, 550525, 550739, 
550740, 550741, 550742, 550730, 550731, 550732, 550733, 550734, 550735, 000108</t>
  </si>
  <si>
    <t>Wiedereinlagerung 550421, 550422, 550423, 550424</t>
  </si>
  <si>
    <t>Direktanlieferung am 28.09.2020_1 PANPHARMA</t>
  </si>
  <si>
    <t>550961, 550962, 550963, 550964, 550965, 550966, 550967, 550968, 550969, 550970, 550971</t>
  </si>
  <si>
    <t xml:space="preserve">Einlagerung aus Direktanlieferung am 28.09.2020_1 PANPHARMA </t>
  </si>
  <si>
    <t>Bereitstellung zum Musterzug durch Panpharma
550717, 550718, 550719</t>
  </si>
  <si>
    <t>Bereitstellung zur Beschau / Kontrolle durch Panpharma
550421, 550422, 550423, 550424</t>
  </si>
  <si>
    <t>545252, 545253, 545254, 545255, 546446, 546447, 546448, 546449, 546450, 546451, 
548951, 548952, 548953, 548954, 550734, 550735, 549620, 549621, 548395, 548396, 
545463, 469540, 547905, 547906, 547907, 548551, 549680, 549681, 547895, 543653</t>
  </si>
  <si>
    <t>550943, 550944, 551056, 551057, 551058, 551059, 550945, 550946, 550947, 550948, 
550949, 550950, 550951, 550952, 000109, 000110, 000111</t>
  </si>
  <si>
    <t>Bereitstellung zum Musterzug durch Panpharma
550421, 550422, 550423, 550943, 550944</t>
  </si>
  <si>
    <t>Direktanlieferung am 02.10.2020_1 PANPHARMA</t>
  </si>
  <si>
    <t>Einlagerung aus Direktanlieferung am 02.10.2020_1 PANPHARMA</t>
  </si>
  <si>
    <t>551269, 551270, 551271, 551272, 551273, 551274, 551275, 551276, 551277, 551278, 
551279, 551280, 551281, 551282, 551283, 551284, 551285, 551286, 551287, 551288, 
551289, 551290, 551291, 551292, 551293, 551294, 551295</t>
  </si>
  <si>
    <t>548997, 548998</t>
  </si>
  <si>
    <t>Sonderfahrt 2020/332-1</t>
  </si>
  <si>
    <t>551205, 551206, 551207, 551208, 551209, 551210, 551211, 551212, 551213, 000112, 000113, 000114</t>
  </si>
  <si>
    <t>Sonderfahrt 2020/332-2</t>
  </si>
  <si>
    <t>Sonderfahrt 2020/332-3</t>
  </si>
  <si>
    <t>551520, 551521, 551522, 551523, 551524, 551525</t>
  </si>
  <si>
    <t>Bereitsstellung; Kennzeichnung als gesperrte Ware; Einlagerung</t>
  </si>
  <si>
    <t>547908, 547909, 547910, 547911, 547912, 547913</t>
  </si>
  <si>
    <t>551270, 551271, 549682, 546572, 546573, 549274, 550730, 550731, 550732, 550733, 549622, 549623, 548956, 548957, 548958, 548959, 548960, 548961, 548962, 548963</t>
  </si>
  <si>
    <t>Direktanlieferung am 14.10.2020_1 PANPHARMA</t>
  </si>
  <si>
    <t>Direktanlieferung am 15.10.2020_1 PANPHARMA</t>
  </si>
  <si>
    <t>548136, 548137, 548138, 551056, 551057, 551058, 551059, 549341, 549345, 549346, 549347, 549348, 546574, 546575, 534473, 551280, 549683, 547896, 546070, 548596, 548566, 548567, 544668, 544669, 544670, 544671, 544672, 544673, 550655, 550656, 546022, 534482, 534483, 545577, 545578, 545579, 548999, 549000</t>
  </si>
  <si>
    <t>551792, 551793, 551794, 551795, 551796, 551797, 551798, 551801, 551729, 551730, 551732, 551733</t>
  </si>
  <si>
    <t>Einlagerung aus Direktanlieferung am 14.10.2020_1 PANPHARMA</t>
  </si>
  <si>
    <t>551863, 551864, 551865, 551866, 551867, 551868, 551869, 551870, 551871, 551872, 551873, 551874, 551875, 551876, 551877, 551878, 551879, 551880, 551881, 551882</t>
  </si>
  <si>
    <t>Einlagerung aus Direktanlieferung am 15.10.2020_1 PANPHARMA</t>
  </si>
  <si>
    <t>551936, 551939, 551940, 551941, 551942, 551943, 551944, 551949, 551950, 551951, 551952, 551953, 551954, 551955, 551956, 551957, 551958, 551959, 551960, 551961, 551962, 551964, 551965, 551966</t>
  </si>
  <si>
    <t>Sonderfahrt 2020/336-1</t>
  </si>
  <si>
    <t>Direktanlieferung am 22.10.2020_1 PANPHARMA</t>
  </si>
  <si>
    <t>Direktanlieferung am 22.10.2020_2 PANPHARMA (Palettentausch)</t>
  </si>
  <si>
    <t>532575, 532576, 532577, 532578, 532579, 532580, 532581, 532582, 532583, 532584, 
532585, 532586, 532587, 532588, 532589, 532590, 532591, 532592, 532593, 532594, 
532595, 532596, 532597, 532598, 532599, 523118, 524219, 546576, 549275, 548552, 
549684, 549685, 549686, 551269, 551272, 551273, 550945, 550946, 550947, 550948, 
550949, 550950, 550739</t>
  </si>
  <si>
    <t>546578, 546580, 546581, 524220</t>
  </si>
  <si>
    <t>Sonderfahrt 2020/343-1</t>
  </si>
  <si>
    <t>Musterzug von Direktanlieferung 
am 22.10.2020_1 PANPHARMA (von 4 Paletten je 20 Muster)</t>
  </si>
  <si>
    <t>Einlagerung aus Direktanlieferung am 22.10.2020_1 PANPHARMA</t>
  </si>
  <si>
    <t>Einlagerung aus Direktanlieferung am 22.10.2020_2 PANPHARMA (Palettentausch)</t>
  </si>
  <si>
    <t>Herr Ihde</t>
  </si>
  <si>
    <t>Bereitstellung zur Durschsicht durch Panpharma; Einlagerung
000051, 000054</t>
  </si>
  <si>
    <t>552325, 552326, 552327, 552328, 552329, 552330, 552331, 552332, 552333, 552334, 552335, 552336, 552337</t>
  </si>
  <si>
    <t>552369, 552373, 552374, 552375, 552380, 552381, 552382, 552383</t>
  </si>
  <si>
    <t>550657, 550658, 550659, 546023, 534484, 550951, 550952, 550169, 550170, 550171, 
550172, 550173, 550174, 550175, 551287, 551288, 551289, 546071, 551520, 513779, 
550961, 550962, 550963, 550964, 546577, 546582, 546583, 546584</t>
  </si>
  <si>
    <t>552596, 552597, 552598, 552599, 552600, 552601, 552602, 552603, 552604, 552605</t>
  </si>
  <si>
    <t>Bereitstellung zur Durschsicht durch Panpharma; Einlagerung
000051, 000054, 000098, 000096</t>
  </si>
  <si>
    <t>Direktanlieferung am 30.10.2020_1 PANPHARMA</t>
  </si>
  <si>
    <t>552792, 552793, 552794, 552795, 552796, 552797, 552798, 552799, 552800, 552809, 552810, 552811, 552812, 552813</t>
  </si>
  <si>
    <t>Direktanlieferung am 02.11.2020_1 PANPHARMA</t>
  </si>
  <si>
    <t>Einlagerung aus Direktanlieferung am 30.10.2020_1 PANPHARMA</t>
  </si>
  <si>
    <t>552828, 552829, 552830, 552831, 552832, 552833, 552834, 552835, 552836, 552837, 552838, 552839, 552840, 552841, 552842, 552843, 552844</t>
  </si>
  <si>
    <t>552880, 552881, 552882, 552883, 552884, 552885, 552886, 552887, 552888, 552889, 552890, 552891, 552892, 552893, 552894, 552895, 552896, 552897, 552898, 552899, 552900, 552901, 552902, 552903, 552904, 552905, 552906, 552907, 552908, 552909, 552910, 552911, 552912, 552913, 552914, 552915, 552916, 552917, 552918, 552919, 552920, 552921, 552922, 552923, 552924</t>
  </si>
  <si>
    <t>Einlagerung aus Direktanlieferung am 02.11.2020_1 PANPHARMA</t>
  </si>
  <si>
    <t>Musterzug von Direktanlieferung; jeweils 25Ex
552924, 552921, 552918, 552915, 552912</t>
  </si>
  <si>
    <t>469541, 469542, 469543, 549001</t>
  </si>
  <si>
    <t>Direktanlieferung am 02.11.2020_2 PANPHARMA</t>
  </si>
  <si>
    <t>Einlagerung aus Direktanlieferung am 02.11.2020_2 PANPHARMA</t>
  </si>
  <si>
    <t>552935, 552936, 552937, 552938, 552939, 552940, 552941, 552942, 552943, 552944, 552945, 552946, 552947, 552948, 552949, 552950, 552951, 552952, 552953, 552954, 552955, 552956</t>
  </si>
  <si>
    <t>SONDERFAHRT 2020/348-2</t>
  </si>
  <si>
    <t>537011, 537012, 537013, 549329, 549330, 549331, 549332, 549333, 531893</t>
  </si>
  <si>
    <t>SONDERFAHRT 2020/357-1</t>
  </si>
  <si>
    <t>547897, 550528, 550529, 550530, 551936, 549276, 548630, 548631, 550516, 550517, 550518, 550519, 550520, 550521, 550523, 550524, 548553, 551281, 551290, 545901, 551521, 551277</t>
  </si>
  <si>
    <t>549334, 549335, 549336</t>
  </si>
  <si>
    <t>Bereitstellung zur Durschsicht durch Panpharma; Einlagerung
000106, 000098, 000096</t>
  </si>
  <si>
    <t>SONDERFAHRT 2020/359-1</t>
  </si>
  <si>
    <t>Ausgelagert; Nachverpackt (Karton gerissen); eingelagert</t>
  </si>
  <si>
    <t>000100 (Nachverpackt; Karton gerissen)</t>
  </si>
  <si>
    <t>553300, 553301, 553302, 553303, 553304, 553305, 553306, 553307, 553308, 553309, 553310, 553311, 553312, 553313, 553314, 553315, 553316, 553317</t>
  </si>
  <si>
    <t>551274, 551275, 551276, 550740, 550741, 549349, 549350, 549351, 549352, 549353, 
524297, 552828, 552829, 552830, 552831, 552832, 551939, 551940, 550660, 550661, 
550662, 550663, 550664, 550665, 546024, 546025, 546026, 534485, 534486, 523049, 
531407, 550525, 551872</t>
  </si>
  <si>
    <t>553391, 553392, 553393, 553394, 553395, 553396</t>
  </si>
  <si>
    <t>553563, 553564, 553565, 553566, 553567, 553568, 553569, 553570</t>
  </si>
  <si>
    <t>MUSTERZUG je 1 Bulk: 549597, 550426, 550944</t>
  </si>
  <si>
    <t>553835, 553836, 553837, 553838, 553814, 553815, 553816, 553817, 553818, 553819, 
553820, 553821</t>
  </si>
  <si>
    <t>000093, 548632, 548633, 551205, 549354, 553300, 548964, 548965, 548966, 548967, 548968, 548969, 548970, 548971, 548972, 548973, 548974, 552792, 552793, 533102, 551941, 551942, 551943, 549277, 548554, 551291, 545902, 551522, 551523, 548597, 552596, 552597, 552598, 3x MUSTER</t>
  </si>
  <si>
    <t>Bereitstellung zur Durschsicht durch Panpharma; Einlagerung
000110</t>
  </si>
  <si>
    <t>Direktanlieferung am 23.11.2020_1 PANPHARMA</t>
  </si>
  <si>
    <t>554064, 554065, 554066, 554067, 554068, 554069, 554070, 554071, 554072, 554073</t>
  </si>
  <si>
    <t>Direktanlieferung am 25.11.2020_1 PANPHARMA (28 EUP getauscht)</t>
  </si>
  <si>
    <t>554284, 554285, 554286, 554287, 554288, 554289, 554290, 554291, 554292, 554293, 
554294, 554295, 554296, 554297, 554298, 554299, 554300, 554301, 554302, 554303, 
554304, 554305, 554306, 554307, 554308, 554309, ohne-eb1, ohne-eb2</t>
  </si>
  <si>
    <t>2 Paletten wurde keine eb zugeteilt, da diese bald abgerufen werden (Goncharov)</t>
  </si>
  <si>
    <t>SONDERFAHRT 2020/370-2</t>
  </si>
  <si>
    <t>SONDERFAHRT 2020/370-1</t>
  </si>
  <si>
    <t>553301, 553302, 553303, 553304, 553305, 553306, 553307, 551206, 551207, 551208, 
551209, 552809, 552810, 552811, 551944, 551949, 551950, 551951, 548555, 548556, 
550531, 550532, 550533, ArbKor, Ohne1, Ohne2</t>
  </si>
  <si>
    <t>554021, 554022, 554023, 554024, 554025, 554026</t>
  </si>
  <si>
    <t xml:space="preserve">Vereinfachte Inventur Lagerbestand per 04.12.2020: 0,5 Aufwand x 518 Paletten </t>
  </si>
  <si>
    <t>550742, 551792, 551793, 553563, 553564, 553565, 553566, 548975, 548976, 548977, 548978, 552880, 552881, 552882, 552883, 552884, 552885, 552886, 552887, 552888, 552889, 552794, 552795, 000059, 418776, 547908, 551877, 551878, 551879, 551880, 551881, 551882, 551292, 551293, 551294, 548598, 548599, 551863, 551864, 551865, 551866, 548568, 548569, 552941</t>
  </si>
  <si>
    <t>523116 Auslagern; Prüfen der Materialnummer; Einlagern</t>
  </si>
  <si>
    <t>549128, 549129, 549130, 549131, 549132, 549133, 549278, 549279, 523116</t>
  </si>
  <si>
    <t>523119 Auslagern; Prüfen der Mengen, Materialnummer, Chargennummern; Einlagern</t>
  </si>
  <si>
    <t>554829, 554830, 554831, 554832, 554833, 554834</t>
  </si>
  <si>
    <t>000083, 551794, 551795, 551796, 552891, 552892, 552893, 552894, 552895, 552896, 552897, 552898, 552899, 552900, 552901, 552902, 552903, 552904, 552905, 551952, 551953, 551295, 553814</t>
  </si>
  <si>
    <t>Sonderfahrt 2020/388-1</t>
  </si>
  <si>
    <t>552796, 552797, 551729, 551730, 551732</t>
  </si>
  <si>
    <t>551797, 551798, 551210, 551211, 551212, 551213, 554833, 554834, 551954, 551955, 551956, 551957, 549280, 551733, 551282, 553815, 551867, 551868</t>
  </si>
  <si>
    <t>551524, 551525, 553817, 553816</t>
  </si>
  <si>
    <t>Sonderfahrt 2020/391-1</t>
  </si>
  <si>
    <t>555179, 555180, 555181, 555182, 555184, 555185, 555262, 555261</t>
  </si>
  <si>
    <t>Direktanlieferung am 21.12.2020_1 PANPHARMA</t>
  </si>
  <si>
    <t>555437, 555438, 555439, 555440, 555441, 555442, 555443, 555444, 555445, 555446, 555447, 555448, 555449, 555450, 555451, 555452, 555453, 555454, 555455, 555456, 555457, 555458, 555459, 555460, 555461, 555462</t>
  </si>
  <si>
    <t>Einlagerung aus Direktanlieferung am 21.12.2020_1 PANPHARMA</t>
  </si>
  <si>
    <t>552890, 552906, 552907, 552908, 552909, 552910, 552911, 552912, 552913, 552914, 
552915, 552916, 552917, 552918, 552919, 552920, 552921, 552922, 552923, 552924, 
551873, 548557</t>
  </si>
  <si>
    <t>Sonderfahrt 2020/393-1</t>
  </si>
  <si>
    <t>552599, 552600, 552601, 552602, 552603</t>
  </si>
  <si>
    <t>555390, 555391, 555392, 555393, 555394, 555395, 555396, 555397, 555489, 555490, 
555492, 555493, 555494, 555495, 555498, 555565, 555566, 555567, 555568, 555569,
ArbKor</t>
  </si>
  <si>
    <t>552604, 552605, 554073, 549798, 549799, 549800, 549337, 549338, 549339, 549340, 552325, 552326, 552327, 552328, 552329, 552330, 552331, 552332, 552333, 552334, 552335, 552336, 552337, 533103, 531895, 552798, 552799, 551958, 551283, 550965, 000089</t>
  </si>
  <si>
    <t>000083, 000093, 000094</t>
  </si>
  <si>
    <t>Direktanlieferung am 13.01.2021_1 PANPHARMA</t>
  </si>
  <si>
    <t>553567, 553568, 553569, 553570, 551284, 553818, 552951, 550966, 551869, 551870, 549593, 549594, 555489, 555490, 555492, ArbKor</t>
  </si>
  <si>
    <t>553819, 553820, 553821, 554298, 554299, 554297, 552812, 552813, 554829, 554830</t>
  </si>
  <si>
    <t>Sonderfahrt 13-1</t>
  </si>
  <si>
    <t>Musterzug von Direktanlieferung am 13.01.2021_1 PANPHARMA; jeweils 1 Bulk
556187, 556188, 556189, 556190, 556191</t>
  </si>
  <si>
    <t>556077, 556078, 556079, 556080, 555924, 555925, 555926, 555927, 555928, 555929</t>
  </si>
  <si>
    <t>Einlagerung aus Direktanlieferung am 13.01.2021_1 PANPHARMA</t>
  </si>
  <si>
    <t>556204, 556161, 556162, 556163, 556164, 556165, 556166, 556167, 556168, 556169, 556170, 556171, 556172, 556173, 556174, 556175, 556176, 556177, 556178, 556179, 556180, 556181, 556182, 556183, 556184, 556185, 556186, 556187, 556188, 556189, 556190, 556191, 556192, 556193, 556194, 556195, 556196</t>
  </si>
  <si>
    <t>Musterzug je 1 Bulk
556080</t>
  </si>
  <si>
    <t>Direktanlieferung am 15.01.2021_1 PANPHARMA</t>
  </si>
  <si>
    <t>Einlagerung aus Direktanlieferung am 15.01.2021_1 PANPHARMA</t>
  </si>
  <si>
    <t>556308, 556309, 556310, 556311, 556312, 556313, 556314, 556315, 556316, 556317, 556318, 556319, 556320, 556321, 556322, 556323, 556324, 556325, 556326, 556327, 556328, 556329, 556330, 556331, 556332, 556333, 556334, 556335, 556336, 556337, 556338, 556339, 556340, 556341</t>
  </si>
  <si>
    <t>556188, 556189, 556187, 556191</t>
  </si>
  <si>
    <t>Auslagerung; Bereitstellung zur Prüfung durch PPH Goncharov; Einlagerung</t>
  </si>
  <si>
    <t>555179, 555180, 555181, 555182, 555184, 555185, 552800, 549134, 549597, 549598, 549599, 549600, 549601, 549602, 551959, 549281, 549282, 534474, 551801, 554300, 554301, 551285, 551286, 552952, 552953, 552954, 556336, 556337, 555455</t>
  </si>
  <si>
    <t>Direktanlieferung am 25.01.2021_1 PANPHARMA</t>
  </si>
  <si>
    <t>Direktanlieferung am 25.01.2021_2 PANPHARMA</t>
  </si>
  <si>
    <t>556638, 556639, 556640, 556641, 556642, 556643, 556644, 556645, 556646, 556647, 556648, 556649, 556650, 556651, 556652, 556653, 556654, 556655, 556656, 556657, 556658, 556659</t>
  </si>
  <si>
    <t>Einlagerung aus Direktanlieferung am 25.01.2021_1 PANPHARMA</t>
  </si>
  <si>
    <t>556660, 556661, 556662, 556663, 556664, 556665, 556666, 556667, 556668, 556669, 
556670, 556671, 556672, 556673, 556674, 556675, 556676, 556677</t>
  </si>
  <si>
    <t>Einlagerung aus Direktanlieferung am 25.01.2021_2 PANPHARMA</t>
  </si>
  <si>
    <t>Sonderfahrt 17-1</t>
  </si>
  <si>
    <t>549604, 549605, 549606, 550717, 550718, 550719, 550720, 550721, 550522, 552723, 550724, 550725, 550726, 556161, 556162, 556163, 556164, 556165, 556166, 556167, 556168, 556169, 556170, 556171, 556172, 556173, 556174, 556175, 555565, 555566, 555567, 5550105</t>
  </si>
  <si>
    <t>523119 Auslagern, zählen, einlagern</t>
  </si>
  <si>
    <t>556946, 556947, 556948, 556949, 556950, 556951, 556952, 556953, 556955, 556938, 556939, 556940, 556941, 556942, 556943, 556931, 556932, 556933, 556934</t>
  </si>
  <si>
    <t>557009, 557028, 557029, 557017, 557018, 557019, 557020, 557021, 557022, 557023, 557024, 557025, 557026, 557010, 557011, 557012, 557013, 557014, 557015, 557016, 557005, 557006, 557007, 557008</t>
  </si>
  <si>
    <t>556638, 556639, 556640, 556641, 556642, 556643, 556644, 556645</t>
  </si>
  <si>
    <t>SONDERFAHRT 2021/24-1</t>
  </si>
  <si>
    <t>Auslagerung; Probenentnahme; Einlagerung
548460, 548461, 548462, 548463, 549883, 549884, 549885, 549886, 549887, 549888</t>
  </si>
  <si>
    <t>SONDERFAHRT 2021/24-2</t>
  </si>
  <si>
    <t>Direktanlieferung am 03.02.2021_1 PANPHARMA</t>
  </si>
  <si>
    <t>549603, 556660, 533218, 555261, 555262, 000092, 000090, 555444, 555445, 555446, 555924, 555925, 551874, 551875, 551876, 556931, 552369, 552373, 555493, 555498, 550727, 550728, 552833, 552834, 552835, 552836, 552837, 552838, 552839, 552840</t>
  </si>
  <si>
    <t>Einlagerung aus Direktanlieferung am 03.02.2021_1 PANPHARMA</t>
  </si>
  <si>
    <t>557194, 557195, 557196, 557197, 557198, 557199, 557200, 557201, 557202, 557203, 557204, 557205, 557206, 557207, 557208, 557209, 557210, 557211, 557212, 557213, 557214, 557215, 557216</t>
  </si>
  <si>
    <t>557005, 557006, 557007, 557008, 551960</t>
  </si>
  <si>
    <t>557282, 557283, 557284, 557285, 557286, 557287, ArbKor</t>
  </si>
  <si>
    <t>Direktanlieferung am 12.02.2021_1 PANPHARMA</t>
  </si>
  <si>
    <t>552942, 552943, 552944, 552945, 551278, 551279, 556946, 556176, 556177, 556178, 556179, 556180, 556181, 556182, 556183, 556184, 556185, 556186, 556187, 556188, 556189, 557009, 557028, 557029, 555568, 555569, 552841, 552842, 552843, 552844, 550106, 554064, 554065, 554302</t>
  </si>
  <si>
    <t>557643, 557644, 557645, 557646, 557647, 557655, 557654</t>
  </si>
  <si>
    <t>551871, 555437</t>
  </si>
  <si>
    <t>SONDERFAHRT 2021/30-1</t>
  </si>
  <si>
    <t>557767, 557768, 557769, 557770, 557771, 557772</t>
  </si>
  <si>
    <t>Einlagerung aus Direktanlieferung am 12.02.2021_1 PANPHARMA</t>
  </si>
  <si>
    <t>000091, 556190, 556191, 556192, 553308, 553309, 553310, 553311, 553312, 553313, 523364, 523365, 523366, 554284, 554285, 554286, 554287, 554288, 554066, 554067, 554068, 551961, 547997, 556319, 556320, 556932, 556947, 555438, 555439, 555440, 552946, 552947, 552948, 554303</t>
  </si>
  <si>
    <t>557946, 557947, 557948, 557949, 557950, 557951, 557952, 557953, 557954, 557955, 
000089, 000090</t>
  </si>
  <si>
    <t>Direktanlieferung am 22.02.2021_1 PANPHARMA</t>
  </si>
  <si>
    <t>000115, 000116, 000117</t>
  </si>
  <si>
    <t>Musterzug 4 Bulks je Charge: N201482, N211127</t>
  </si>
  <si>
    <t>SONDERFAHRT 2021/30-3</t>
  </si>
  <si>
    <t>SONDERFAHRT 2021/30-2 /// 80x80x95=0,7 / 280x80x167=3,8 / 140x140x107=2,1 ==&gt; 6,6 kbm*12€=79,20€</t>
  </si>
  <si>
    <t>Einlagerung aus Direktanlieferung am 22.02.2021_1 PANPHARMA</t>
  </si>
  <si>
    <t>558169, 558170, 558171, 558172, 558173, 558174, 558175, 558176, 558177, 558178, 
558179, 558180, 558181, 558182, 558183, 558184, 558185, 558186, 558187, 558188, 
558189, 558190, 558192, 558193, 558194, 558195, 558196</t>
  </si>
  <si>
    <t>Direktanlieferung am 23.02.2021_1 PANPHARMA</t>
  </si>
  <si>
    <t>558295, 558296, 558297, 558298, 558299, 558300, 558301, 558302, 558303, 558304,
558305, 558306, 558307, 558308, 558309, 558310, 558311, 558312, 558313, 558314, 
558315, 558316, 558317, 558318, 558319</t>
  </si>
  <si>
    <t>Einlagerung aus Direktanlieferung am 23.02.2021_1 PANPHARMA</t>
  </si>
  <si>
    <t>Direktanlieferung am 24.02.2021_1 PANPHARMA</t>
  </si>
  <si>
    <t>Musterzug je 1 Bulk: 558309, 558310</t>
  </si>
  <si>
    <t>558364, 558365, 558366, 558367, 558368, 558369, 558370, 558371, 558372, 558373, 
558374, 558375, 558376, 558377, 558378, 558379, 558380, 558381, 558382, 558383, 
558384, 558385, 558386, 558387, 558388, 558389, 558390</t>
  </si>
  <si>
    <t>Einlagerung aus Direktanlieferung am 24.02.2021_1 PANPHARMA</t>
  </si>
  <si>
    <t>556321, 556322, 556323, 552949, 552950, 556324</t>
  </si>
  <si>
    <t>SONDERFAHRT 2021/30-4</t>
  </si>
  <si>
    <t>558256, 558257, 558258, 558259, 558260</t>
  </si>
  <si>
    <t>556193, 556194, 556195, 556204, 556196, 551962, 547998, 557654, 556948, 556338, 
556339, 550967, 550968, 550969, 556325, 556326, 556327</t>
  </si>
  <si>
    <t>558416, 558417, 558418, 558421, 558422, 558423</t>
  </si>
  <si>
    <t>Direktanlieferung am 26.02.2021_1 PANPHARMA</t>
  </si>
  <si>
    <t>Einlagerung aus Direktanlieferung am 26.02.2021_1 PANPHARMA</t>
  </si>
  <si>
    <t>558551, 558552, 558553, 558554, 558555, 558556, 558557, 558558, 558559, 558560, 
558561, 558562, 558563, 558564, 558565, 558567, 558568, 558569, 558570, 558571, 
558572, 558573, 558577, 558578, 558579, 558580, 558581, 558582, 558583, 558584, 
558585, 558586, 558587, 558588</t>
  </si>
  <si>
    <t>558538, 558539, 558541, 558542, 558543, 558544, 558546, 558547, 558548, 558566, 
558595, 558596, 558597</t>
  </si>
  <si>
    <t>555390, 555391, 555392, 555393, 555394</t>
  </si>
  <si>
    <t>SONDERFAHRT 2021/47-1</t>
  </si>
  <si>
    <t>558654, 558655, 558656, 558657, 558658</t>
  </si>
  <si>
    <t>548139, 548140, 549801, 554289, 554290, 554291, 549802, 549803, 558364, 558365, 558366, 558367, 558368, 558369, 556949, 556950, 556951, 552955, 552956, 556340, 556341, 558577, 550970, 558559, 551964, 551965, 551966, 552374, 557643</t>
  </si>
  <si>
    <t>Direktanlieferung am 08.03.2021_1 PANPHARMA</t>
  </si>
  <si>
    <t>Einlagerung aus Direktanlieferung am 08.03.2021_1 PANPHARMA</t>
  </si>
  <si>
    <t>558964, 558965, 558966, 558967, 558968, 558969, 558970, 558971, 558972, 558973, 
558974, 558975, 558976, 558977, 558978, 558979, 558980, 558981, 558982, 558983, 
558984, 558985</t>
  </si>
  <si>
    <t>Musterzug aus 558984, 558985, 558964, 558965, 558966, 558967</t>
  </si>
  <si>
    <t>555494, 555495, 556646, 556647, 556648, 556649, 556650, 556651, 556652, 556653, 
556654, 556655, 556656, 556657, 556658, 556659, 558567, 558568, 556952, 556953, 
556955, 558578, 555441, 555442, 555443</t>
  </si>
  <si>
    <t>554069, 554070</t>
  </si>
  <si>
    <t>SONDERFAHRT 2021/53-1</t>
  </si>
  <si>
    <t>559026, 559027, 559028, 559029, 559030, 559031, 559032, 559033</t>
  </si>
  <si>
    <t>556661, 556662, 558169, 558170, 554071</t>
  </si>
  <si>
    <t>559136, 559137</t>
  </si>
  <si>
    <t>000080, 554292, 554293, 554294, 554295, 554296, 557194, 557195, 552375, 552380, 
557767, 555926, 555927, 552935, 556328</t>
  </si>
  <si>
    <t>SONDERFAHRT 2021/60-1</t>
  </si>
  <si>
    <t>554304, 554305</t>
  </si>
  <si>
    <t>SONDERFAHRT 2021/66-1</t>
  </si>
  <si>
    <t>557776, 557777, 557778, 557782, 557783, 557784, 557786, 557788, 557790, 000092</t>
  </si>
  <si>
    <t>Direktanlieferung am 25.03.2021_1 PANPHARMA</t>
  </si>
  <si>
    <t>554306, 557946, 557947, 557768, 557769, 559136, 559137, 556663, 556664, 556665, 
556666, 556667, 556668, 556669, 558295, 558296, 558171, 558172, 558173, 558174, 
558175, 558176, 558177, 558178</t>
  </si>
  <si>
    <t>Einlagerung aus Direktanlieferung am 25.03.2021_1 PANPHARMA</t>
  </si>
  <si>
    <t>559731, 559732, 559733, 559734, 559735, 559736, 559737, 559738, 559739, 559740, 559741, 559742, 559743, 559744, 559745, 559746, 559747, 559748, 559749, 559750, 559751, 559752, 559753, 559754, 559755, 559756, 559757</t>
  </si>
  <si>
    <t>Einlagerung aus Direktanlieferung am 26.03.2021_1 PANPHARMA</t>
  </si>
  <si>
    <t xml:space="preserve"> Direktanlieferung am 26.03.2021_1 PANPHARMA (davon 1Pal. A-B-C)</t>
  </si>
  <si>
    <t>559810, 559811, 559812, 559813, 559814, 559815, 559816, 559817, 559818, 559819, 559821-A, 559821-B, 559821-C, 559823, 559824, 559825, 559826, 559827, 559828, 559829, 559830, 559831, 559832</t>
  </si>
  <si>
    <t>SONDERFAHRT 2021/68-1</t>
  </si>
  <si>
    <t>556329, 556330, 556331, 556332, 559821-A, 559821-B, 559821-C</t>
  </si>
  <si>
    <t>558569, 558570, 558571</t>
  </si>
  <si>
    <t>SONDERFAHRT 2021/68-2</t>
  </si>
  <si>
    <t>532600, 532601, 532602, 532603, 532604, 532605, 532606, 532607, 532608
bereitgestellte Paletten nach Auftragsstorno wieder eingelagert</t>
  </si>
  <si>
    <t>559823, 548558, 558572, 558573, 558579, 558580, 559810, 559811, 523119, 558654, 557644, 557645</t>
  </si>
  <si>
    <t>559929, 559930, 559931, 559932, 559933</t>
  </si>
  <si>
    <t>558371, 558372</t>
  </si>
  <si>
    <t>SONDERFAHRT 2021/75-1</t>
  </si>
  <si>
    <t>558538, 558539, 558373, 558374, 558375, 558376, 558377, 558378, 558379, 558380</t>
  </si>
  <si>
    <t>Einlagerung aus Direktanlieferung am 06.04.2021_1 PANPHARMA</t>
  </si>
  <si>
    <t>560092, 560093, 560094, 560095, 560096, 560097, 560098, 560099, 560100, 560101, 560102, 560103</t>
  </si>
  <si>
    <t>SONDERFAHRT 2021/80-1</t>
  </si>
  <si>
    <t>Direktanlieferung am 06.04.2021_1 PANPHARMA (Paletten getauscht!)</t>
  </si>
  <si>
    <t>Direktanlieferung am 08.04.2021_1 PANPHARMA (Paletten getauscht!)</t>
  </si>
  <si>
    <t>560210, 560211, 560212, 560213, 560214, 560215, 560216, 560217, 560218, 560219, 560220, 560221, 560222</t>
  </si>
  <si>
    <t>Einlagerung aus Direktanlieferung am 08.04.2021_1 PANPHARMA</t>
  </si>
  <si>
    <t>Direktanlieferung am 08.04.2021_2 PANPHARMA (Paletten getauscht!)</t>
  </si>
  <si>
    <t>559026, 559027, 557010, 557011, 557012, 554021, 554022, 554023, 554024, 554025, 554026, 554307, 554308, 554309, 558964, 558965, 558966, 558967, 558968, 558969, 558970, 558971, 558972, 558973, 558974, 558975, 558976, 558977, 558978, 558979, 558980, 558981, 558982, 558983, 558984, 558985, 556333, 556334, 556335, 557196, 000092</t>
  </si>
  <si>
    <t>510161, 510162, 510163, 510164, 000092, 000118</t>
  </si>
  <si>
    <t>Einlagerung aus Direktanlieferung am 08.04.2021_2 PANPHARMA (Paletten getauscht!)</t>
  </si>
  <si>
    <t>560242, 560244, 560245, 560246, 560247, 560248, 560249, 560250</t>
  </si>
  <si>
    <t>555456, 555457, 555458, 555459</t>
  </si>
  <si>
    <t>SONDERFAHRT 2021/89-1</t>
  </si>
  <si>
    <t>SONDERFAHRT 2021/89-2</t>
  </si>
  <si>
    <t>554072, 557017, 557018, 532600, 532601, 532602, 532603, 532604, 532605, 532606, 532607, 532608, 532609, 532610, 532611, 532612, 559812, 559824, 558551, 558552, 557197</t>
  </si>
  <si>
    <t>Einlagerung aus Direktanlieferung am 15.04.2021_1 PANPHARMA</t>
  </si>
  <si>
    <t>Direktanlieferung am 15.04.2021_1 PANPHARMA</t>
  </si>
  <si>
    <t>560574, 560575, 560576, 560577, 560578, 560579, 560580, 560581, 560582, 560583, 560584, 560585</t>
  </si>
  <si>
    <t>560662, 560663, 560664, 560665, 560666, 560658, 560659, 560660, 560661, 560596, 
560598, 560606, 560608, 560609, 560611</t>
  </si>
  <si>
    <t>SONDERFAHRT 2021/93-1</t>
  </si>
  <si>
    <t>549883, 549884, 549885, 549886, 549887, 549888, 548460, 548461, 548462, 548463</t>
  </si>
  <si>
    <t>Ausgelagert zur Änderung der EB-Nummern; EB-Nummern geändert</t>
  </si>
  <si>
    <t>560772, 560778, 506779, 560780, 560781, 506782, 560771, 560774, 506775, 560776</t>
  </si>
  <si>
    <t>erneuerte EB-Nummern wieder eingelagert</t>
  </si>
  <si>
    <t>558297, 558298, 558299, 558300, 553314, 553315, 553316, 553317, 557019, 557020, 
557948, 557949, 557950, 557951, 557952, 557953, 557954, 557955, 558370, 558381, 
558382, 558383, 558384, 558385, 558386, 558655, 558656, 558657, 557655, 552381, 
552382, 560658, 560659, 557770, 552936</t>
  </si>
  <si>
    <t>560863, 506864, 560866, 560867</t>
  </si>
  <si>
    <t>SONDERFAHRT 2021/93-2</t>
  </si>
  <si>
    <t>561107, 561108, 561109, 561110, 561111, 561112, 561113, 560294, 558678, 558677, 558676, 000065</t>
  </si>
  <si>
    <t>555395, 555396, 557771, 557772</t>
  </si>
  <si>
    <t>SONDERFAHRT 2021/98-1</t>
  </si>
  <si>
    <t>558179, 558180, 558181, 558182, 558183, 558184, 558185, 558186, 558187, 558188, 
558189, 558190, 558192, 559929, 557198, 557199, 559813, 552937, 555928, 559825, 
559826, 559827, 559731, 529830, 556077, 556078, 556079, 556080, 558301, 558302, 
558303, 558304, 558305, 553392, 553393, 557021, 557022</t>
  </si>
  <si>
    <t>559732, 559733, 559734</t>
  </si>
  <si>
    <t>552398, 552939, 552940</t>
  </si>
  <si>
    <t>SONDERFAHRT 2021/98-2</t>
  </si>
  <si>
    <t>Direktanlieferung am 03.05.2021_1 PANPHARMA</t>
  </si>
  <si>
    <t>561499, 561500, 561501, 561502, 561503, 561504, 561505, 561506, 561507, 561508, 561509, 561510, 561511, 561512, 561513, 561514, 561515, 561516, 561517, 561518</t>
  </si>
  <si>
    <t>Einlagerung aus Direktanlieferung am 03.05.2021_1 PANPHARMA</t>
  </si>
  <si>
    <t>Direktanlieferung am 04.05.2021_1 PANPHARMA</t>
  </si>
  <si>
    <t>Direktanlieferung am 04.05.2021_2 PANPHARMA</t>
  </si>
  <si>
    <t>Direktanlieferung am 04.05.2021_3 PANPHARMA</t>
  </si>
  <si>
    <t>je 1 Tray Musterzug aus Direktanlieferung am 04.05.2021_3 PANPHARMA</t>
  </si>
  <si>
    <t>Einlagerung aus Direktanlieferung am 04.05.2021_1 PANPHARMA</t>
  </si>
  <si>
    <t>561521, 561522, 561523, 561524, 561525, 561526, 561527, 561528, 561529, 561530, 
561531, 561532, 561533, 561534, 561535, 561536, 561537, 561538, 561539, 561540, 
561541, 561542, 561543, 561544, 561545, 561546</t>
  </si>
  <si>
    <t>Einlagerung aus Direktanlieferung am 04.05.2021_2 PANPHARMA</t>
  </si>
  <si>
    <t>561556, 561557, 561558, 561559, 561560, 561561, 561562, 561563, 561564, 561565, 561566, 561567, 561568, 561569, 561570, 561571, 561572, 561573, 561574, 561575, 561576, 561577</t>
  </si>
  <si>
    <t>Musterzug aus 561499</t>
  </si>
  <si>
    <t>558417, 558418, 557023, 557024, 557025, 557026, 561571, 561572, 553835, 553836, 553837, 553838, 555929, 558553, 558554, 558555, 558556, 557200, 559930, 559931, 560096, 558541, 559814, 559815, 558581, 000056</t>
  </si>
  <si>
    <t>Einlagerung aus Direktanlieferung am 04.05.2021_3 PANPHARMA</t>
  </si>
  <si>
    <t>561618, 561619, 561620, 561621, 561622, 561623, 561624, 561625, 561626, 561627, 561628, 561629, 561630</t>
  </si>
  <si>
    <t>561637, 561638, 561639, 561640, 561634, 561635, 561636, 561641, 561642</t>
  </si>
  <si>
    <t>554831, 554832, 561573, 561574, 561575, 561576, 561577, 558387, 558388, 558389, 558390, 561499, 561500, 561501, 561502, 561503, 560214, 560660, 560661, 556933, 556934, 550971, 556308, 558561, 558562, 557201, 558542, 558543, 558658, 560092</t>
  </si>
  <si>
    <t>561803, 561804, 561805, 561806, 561807, 561808</t>
  </si>
  <si>
    <t>559028, 559029, 559030, 559031, 559032, 559033</t>
  </si>
  <si>
    <t>SONDERFAHRT 2021/119-1</t>
  </si>
  <si>
    <t>SONDERFAHRT 2021/119-2</t>
  </si>
  <si>
    <t>561637, 555447</t>
  </si>
  <si>
    <t>Direktanlieferung am 18.05.2021_1 PANPHARMA</t>
  </si>
  <si>
    <t>je 1 Tray Musterzug aus Direktanlieferung am 18.05.2021_1 PANPHARMA</t>
  </si>
  <si>
    <t>Einlagerung aus Direktanlieferung am 18.05.2021_1 PANPHARMA</t>
  </si>
  <si>
    <t>562106, 562107, 562108, 562109, 562110, 562111, 562112, 562113, 562114, 562115, 562116, 562117, 562118, 562119, 562120, 562121, 562122, 562113, 562114, 562115, 562126, 562127, 562128, 562129, 562160</t>
  </si>
  <si>
    <t>560210, 560211</t>
  </si>
  <si>
    <t>SONDERFAHRT 2021/119-3</t>
  </si>
  <si>
    <t>547909, 469547, 558306, 558307, 553394, 558423, 561504, 561505, 561506, 561507, 
561508, 562106, 562107, 562108, 562109, 562110, 558544, 560863, 557202, 552383, 
560242</t>
  </si>
  <si>
    <t>000008, 000009, 000010, 000011, 000012, 000014, 000015, 000017, 000026, 000027, 
000028, 000029, 000030, 000031, 000032, 000033, 000034, 000035, 000036, 000039, 
000089</t>
  </si>
  <si>
    <t>562034, 562035, 562036, 562037, 562038</t>
  </si>
  <si>
    <t>Direktanlieferung am 21.05.2021_1 PANPHARMA</t>
  </si>
  <si>
    <t>Direktanlieferung am 21.05.2021_2 PANPHARMA</t>
  </si>
  <si>
    <t xml:space="preserve">je 2 Trays Musterzug N201482 + N211127 aus Direktanlieferung am 21.05.2021_2 </t>
  </si>
  <si>
    <t>000008, 000014, 000015, 000017, 000026, 000027, 000028, 000029, 000030, 000031, 000032, 000033, 000034, 000035, 000036, 000039</t>
  </si>
  <si>
    <t>SONDERFAHRT 2021/119-4</t>
  </si>
  <si>
    <t>Einlagerung aus Direktanlieferung am 21.05.2021_1 PANPHARMA</t>
  </si>
  <si>
    <t>Einlagerung aus Direktanlieferung am 21.05.2021_2 PANPHARMA</t>
  </si>
  <si>
    <t>562275, 562276, 562277, 562278, 562279, 562280, 562281</t>
  </si>
  <si>
    <t>562284, 562285, 562286, 562287, 562288, 562289, 562290, 562291, 562292, 562293, 
562294, 562295, 562296</t>
  </si>
  <si>
    <t>557013, 557014, 557015, 557016</t>
  </si>
  <si>
    <t>Direktanlieferung am 25.05.2021_1 PANPHARMA</t>
  </si>
  <si>
    <t>Direktanlieferung am 26.05.2021_1 PANPHARMA</t>
  </si>
  <si>
    <t>561509, 561510, 561511, 561512, 561513, 561514, 559735, 559736, 559737</t>
  </si>
  <si>
    <t>SONDERFAHRT 2021/122-1</t>
  </si>
  <si>
    <t>Einlagerung aus Direktanlieferung am 25.05.2021_1 PANPHARMA</t>
  </si>
  <si>
    <t>562355, 562356, 562357, 562358, 562359, 562360, 562361, 562362</t>
  </si>
  <si>
    <t>562419, 562420, 562421, 562423, 562424, 562425, 562426, 562427, 562428, 562429, 
562430, 562431, 562432, 562433, 562434, 562436, 562437, 562438, 562439, 562440, 
562441, 562442, 562443, 562444, 562445, 562446, 562447, 562448, 562449</t>
  </si>
  <si>
    <t>Einlagerung aus Direktanlieferung am 26.05.2021_1 PANPHARMA</t>
  </si>
  <si>
    <t>558310, 558311, 558312, 558595, 558596, 561803, 561804, 561805, 561806, 561807, 
561808, 558193, 558194, 558195, 558196, 562284, 562285, 562286, 562287, 562288, 
562289, 562290, 562291, 562292, 562293, 562294, 562295, 562296, 560864, 560866, 
557203, 557204, 558563, 558557, 558558, 559828</t>
  </si>
  <si>
    <t>SONDERFAHRT 2021/122-2</t>
  </si>
  <si>
    <t>Direktanlieferung am 31.05.2021_1 PANPHARMA</t>
  </si>
  <si>
    <t>562709, 562711, 562712, 562713, 562714, 562715, 562716</t>
  </si>
  <si>
    <t>Direktanlieferung am 01.06.2021_1 PANPHARMA</t>
  </si>
  <si>
    <t>Direktanlieferung am 01.06.2021_2 PANPHARMA</t>
  </si>
  <si>
    <t>Direktanlieferung am 01.06.2021_3 PANPHARMA</t>
  </si>
  <si>
    <t>Einlagerung aus Direktanlieferung am 01.06.2021_1 PANPHARMA</t>
  </si>
  <si>
    <t>562786, 562787, 562790, 562791, 562792, 562793, 562794, 562795, 562796, 562797, 
562798, 562799</t>
  </si>
  <si>
    <t>Einlagerung Direktanlieferung am 01.06.2021_2 PANPHARMA</t>
  </si>
  <si>
    <t>562806, 562807, 562808, 562809, 562810, 562811, 562812, 562813, 562814, 562815, 
562816, 562817, 562818, 562819, 562820, 562821, 562822, 562823, 562824, 562825, 
562826</t>
  </si>
  <si>
    <t>562836, 562837, 562838, 562839, 562840, 562841, 562842, 562843, 562844, 562845, 562846, 562847, 562848, 562849, 562850, 562851, 562852, 562853, 562854, 562855</t>
  </si>
  <si>
    <t>Einlagerung Direktanlieferung am 01.06.2021_3 PANPHARMA</t>
  </si>
  <si>
    <t>562034, 562826 (Musterzug je 1 Tray)</t>
  </si>
  <si>
    <t>561618, 561619, 561620, 561621, 561622, 561623, 561624, 561625, 561626, 561627, 
560215, 560216, 560217, 560218, 560219, 560220, 560221, 560222, 559754, 558308, 
558309, 559743, 559744, 559745, 559746, 559747, 559748, 559749, 559750, 559751, 
559752, 559753, 561537, 561538, 561539, 558582, 558583, 561530, 561531, 534475, 
561638, 561634, 556309, 559932, 559933</t>
  </si>
  <si>
    <t>Direktanlieferung am 03.06.2021_1 PANPHARMA</t>
  </si>
  <si>
    <t>Gibo01, Gibo02, Gibo03, Gibo04, Gibo05, Gibo06, Gibo07, Gibo08, Gibo09, Gibo10, Gibo11, Gibo12</t>
  </si>
  <si>
    <t>Direktanlieferung am 07.06.2021_1 PANPHARMA</t>
  </si>
  <si>
    <t>Einlagerung aus Direktanlieferung am 03.06.2021_1 PANPHARMA</t>
  </si>
  <si>
    <t>562979, 562981, 562982, 562983, 562984, 562985, 562986, 562987, 562988, 562989, 
562990, 562991, 562992, 562993, 562994, 562995, 562996, 562997, 562998, 562999, 
563000, 563001, 563002, 563003</t>
  </si>
  <si>
    <t>Einlagerung aus Direktanlieferung am 07.06.2021_1 PANPHARMA</t>
  </si>
  <si>
    <t>563125, 563126, 563127, 563128, 563129, 563130, 563131, 563136, 563137, 563138</t>
  </si>
  <si>
    <t>559755, 559756, 559757, 562419, 562420, 562421, 562423</t>
  </si>
  <si>
    <t>SONDERFAHRT 2021/135-1</t>
  </si>
  <si>
    <t>000119, 000120</t>
  </si>
  <si>
    <t>je 1 Tray Musterzug aus 563125, 563137, 563138</t>
  </si>
  <si>
    <t>562424, 562425, 562426, 562427, 562428, 562429, 562430, 562431, 562432, 562433, 
562434</t>
  </si>
  <si>
    <t>562709, 532613, 532614, 532615, 532616, 563125, 563126, 563127, 563128, 563129, 
563130, 563131, 563136, 563137, 563138, 561556, 558313, 558314, 558315, 558316, 
558317, 558318, 558319, 562436, 559738, 557646, 557205, 556310, 556311, 556312, 
558678, 560294, 561521, 561522, 561523, 561540, 561541, 561542, 557776, 557777</t>
  </si>
  <si>
    <t>Gibo01, Gibo02, Gibo03, Gibo04, Gibo05, Gibo06, ArbKor</t>
  </si>
  <si>
    <t>SONDERFAHRT 2021/135-2</t>
  </si>
  <si>
    <t>Direktanlieferung am 11.06.2021_1 PANPHARMA</t>
  </si>
  <si>
    <t>Direktanlieferung am 11.06.2021_2 PANPHARMA / Palettentausch</t>
  </si>
  <si>
    <t>Einlagerung aus Direktanlieferung am 11.06.2021_1 PANPHARMA</t>
  </si>
  <si>
    <t>563448, 563449, 563450, 563453, 563454, 563455, 563456, 563457, 563458, 563459, 563460, 563461, 563462, 563463, 563464, 563465, 563466, 563467, 563468, 563469, 563470, 563471, 563472, 563473, 563475, 563476, 563477, 563479, 563480, 563481, 563482, 563483</t>
  </si>
  <si>
    <t>563486, 563487, 563488, 563489, 563490</t>
  </si>
  <si>
    <t>Einlagerung aus Direktanlieferung am 11.06.2021_2 PANPHARMA</t>
  </si>
  <si>
    <t>506867, 562711, 562275, 562276</t>
  </si>
  <si>
    <t>SONDERFAHRT 2021/139-1</t>
  </si>
  <si>
    <t>562806, 562807, 562808, 562809, 562810, 562811, 562812</t>
  </si>
  <si>
    <t>SONDERFAHRT 2021/139-2</t>
  </si>
  <si>
    <t>561635, 561636, 563475, 561639, 561640</t>
  </si>
  <si>
    <t>SONDERFAHRT 2021/139-3</t>
  </si>
  <si>
    <t>Direktanlieferung am 16.06.2021_1 PANPHARMA</t>
  </si>
  <si>
    <t>563701, 563702, 563703, 563704, 563705, 563706, 563707, 563713, 563714, 563715</t>
  </si>
  <si>
    <t>560160, 562111, 562112, 562113, 562114, 562712, 562034, 562035, 562036, 562037, 
562038, 563701, 563702, 563703, 563704, 553395, 559739, 559740, 555448, 555449, 
559829, 559816, 561543, 563462, 563463, 560662, 560663, 557206, 557647</t>
  </si>
  <si>
    <t>ArbKor, Gibo01, 000121, 000122</t>
  </si>
  <si>
    <t>562437, 562438</t>
  </si>
  <si>
    <t>SONDERFAHRT 2021/139-4</t>
  </si>
  <si>
    <t>Einlagerung aus  Direktanlieferung am 16.06.2021_1 PANPHARMA</t>
  </si>
  <si>
    <t>Direktanlieferung am 18.06.2021_1 PANPHARMA</t>
  </si>
  <si>
    <t>563900, 563901, 563902, 563903, 563904, 563905, 563906, 563907, 563908, 563909, 
563910, 563911, 563912, 563913, 563914, 563915, 563916, 563917, 563918, 563919, 
563920</t>
  </si>
  <si>
    <t>563901, 563909, 563911, 563919 (Musterzug je 1 Tray)</t>
  </si>
  <si>
    <t>562115, 562116, 562117</t>
  </si>
  <si>
    <t>SONDERFAHRT 2021/143-1</t>
  </si>
  <si>
    <t>SONDERFAHRT 2021/143-2</t>
  </si>
  <si>
    <t>ArbKor + Muster</t>
  </si>
  <si>
    <t>Direktanlieferung am 23.06.2021_1 PANPHARMA</t>
  </si>
  <si>
    <t>564084, 564085, 564086, 564087, 564088</t>
  </si>
  <si>
    <t>Einlagerung aus Direktanlieferung am 23.06.2021_1 PANPHARMA</t>
  </si>
  <si>
    <t>Direktanlieferung am 24.06.2021_1 PANPHARMA</t>
  </si>
  <si>
    <t>561515, 561516, 561517, 561518, 563900, 563901, 558547, 558548, 558566, 560094, 
560095, 559741, 559742, 561557, 561558, 562836, 562837, 562838, 562839, 562840, 
562841, 562842, 562843, 562844, 562845, 557207, 560244, 560245, 559830, 559831, 
559832, 563453, 563454, 560666, 563464, 561544, 561545, 559817, 559818, 559819, 
563448, 563449</t>
  </si>
  <si>
    <t>SONDERFAHRT 2021/143-3 (3x fahren)</t>
  </si>
  <si>
    <t>Direktanlieferung am 28.06.2021_1 PANPHARMA // Palettentausch</t>
  </si>
  <si>
    <t>Einlagerung aus Direktanlieferung am 24.06.2021_1 PANPHARMA</t>
  </si>
  <si>
    <t>564228, 564229, 564230, 564231, 564232, 564233, 564234, 564235, 564238, 564239, 
564240, 564242, 564243, 564244</t>
  </si>
  <si>
    <t>Einlagerung aus Direktanlieferung am 28.06.2021_1 PANPHARMA</t>
  </si>
  <si>
    <t>564323, 564324, 564325, 564326, 564327, 564328, 564330, 564331</t>
  </si>
  <si>
    <t>562713, 562714, 562715, 562277, 563705, 563706, 563707, 562118, 562119, 562120, 
562121, 562122, 562123, 562124, 562125</t>
  </si>
  <si>
    <t>Bürobedarf für PPH OHS3a bereitstellen</t>
  </si>
  <si>
    <t>Handling Zwischenlager Block</t>
  </si>
  <si>
    <t>562809, 562810, 562811, 562812</t>
  </si>
  <si>
    <t>Direktanlieferung am 30.06.2021_1 PANPHARMA</t>
  </si>
  <si>
    <t>Umzugsverpackung</t>
  </si>
  <si>
    <t>562809, 562810</t>
  </si>
  <si>
    <t>Sonderfahrt 2021/154-1</t>
  </si>
  <si>
    <t>zu Sonderfahrt 2021/154-1</t>
  </si>
  <si>
    <t>561628, 561629, 561630, 563713, 563714, 563715, 555397, 553396, 558416, 562846, 
562847, 562848, 562849, 562850, 562851, 562852, 557208, 560246, 563476, 563469, 
563470, 563450, 469548</t>
  </si>
  <si>
    <t>564486, 564487, 564488, 564490, 564491, 564492, 564493, 564494, 564495, 564496, 
564497, 564498, 564499, 564500</t>
  </si>
  <si>
    <t>Einlagerung aus Direktanlieferung am 30.06.2021_1 PANPHARMA</t>
  </si>
  <si>
    <t>Direktanlieferung am 05.07.2021_1 PANPHARMA (Folie; ohne LS)</t>
  </si>
  <si>
    <t>564743, 564744, 564745, 564746, 564747, 564748, 564749, 564750, 564751</t>
  </si>
  <si>
    <t>561532, 561533, 557209, 557210, 560247, 563465, 558584</t>
  </si>
  <si>
    <t>Sonderfahrt 2021/158-1</t>
  </si>
  <si>
    <t>565114, 565115, 565116, 565117, 565118, 565119, 565120, 565121, 565122, 565123, 565124, 563939, 563940, 563941, 563901, 563900, 563138, 561518</t>
  </si>
  <si>
    <t>Einlagerung aus Direktanlieferung am 05.07.2021_1 PANPHARMA (Folie; ohne LS)</t>
  </si>
  <si>
    <t>562126, 562127, 000108</t>
  </si>
  <si>
    <t>Sonderfahrt 2021/163-1</t>
  </si>
  <si>
    <t>Sonderfahrt 2021/163-2</t>
  </si>
  <si>
    <t>000123, 000124, 000125</t>
  </si>
  <si>
    <t>565270, 565271, 565272, 565273, 565274, 565269, 565227, 565228, 565230, 565232, 565235, 565240</t>
  </si>
  <si>
    <t>Sonderfahrt 2021/163-3</t>
  </si>
  <si>
    <t>Direktanlieferung am 26.07.2021_1 PANPHARMA</t>
  </si>
  <si>
    <t>Direktanlieferung am 26.07.2021_2 PANPHARMA</t>
  </si>
  <si>
    <t>565295, 565296, 565297, 565298, 565299, 565300, 565301, 565302, 565303, 565304, 565305, 565306, 565307, 565308, 565309, 565310, 565311, 565312, 565313, 565314, 565315</t>
  </si>
  <si>
    <t>565323, 565324, 565325, 565326, 565327, 565328, 565329, 565330, 565331, 565332, 565333, 565334, 565335, 565336, 565337, 565338, 565339, 565340, 565341, 565342</t>
  </si>
  <si>
    <t>565353, 565354, 565355, 565356, 565357, 565358, 565359, 000126</t>
  </si>
  <si>
    <t>Sonderfahrt 2021/166-1</t>
  </si>
  <si>
    <t>Direktanlieferung am 29.07.2021_1 PANPHARMA</t>
  </si>
  <si>
    <t>565421, 565422, 565423, 565424, 565425, 565426, 565427, 565428, 565429, 565430, 565431, 565432, 565433, 565434, 565435, 565436, 565437, 565438, 565439, 565440, 565441, 565442, 565443, 565444</t>
  </si>
  <si>
    <t>Einlagerung aus Direktanlieferung am 26.07.2021_2 PANPHARMA</t>
  </si>
  <si>
    <t>Einlagerung aus Direktanlieferung am 26.07.2021_1 PANPHARMA</t>
  </si>
  <si>
    <t>Einlagerung aus Direktanlieferung am 29.07.2021_1 PANPHARMA</t>
  </si>
  <si>
    <t>Gibo01, Gibo07, Gibo08, Gibo09, Gibo10, Gibo11, Gibo12</t>
  </si>
  <si>
    <t>je 1 Tray Musterzug aus
565421, 565422, 565423, 565444, 565443, 565442</t>
  </si>
  <si>
    <t>Direktanlieferung am 02.08.2021_1 PANPHARMA</t>
  </si>
  <si>
    <t>565506, 565507, 565508, 565509, 565510, 565511, 565512, 565513, 565514, 565515, 565516, 565517, 565518</t>
  </si>
  <si>
    <t>Einlagerung aus Direktanlieferung am 02.08.2021_1 PANPHARMA</t>
  </si>
  <si>
    <t>je 1 Tray Musterzug aus
565440, 565441, 565424, 565425</t>
  </si>
  <si>
    <t>000118, 562355, 562356, 562357, 562358, 557211, 563479, 561524, 561525, 561526, 561527, 561528, 561529, 561641, 565306</t>
  </si>
  <si>
    <t>563480, 563481</t>
  </si>
  <si>
    <t>000127, 000128, 000129, 000130, 000131, 000132, 000133</t>
  </si>
  <si>
    <t>561559, 561560, 561561, 561562, 561563, 561564, 561565, 561566, 561567, 565227, 
373322, 373323, 562359, 562128, 562129, 565421, 565422, 562278, 561642, 558676, 
564490, 561534, 557212</t>
  </si>
  <si>
    <t>565647, 565648</t>
  </si>
  <si>
    <t>563482, 563483, 555460, 555461, 556313, 563471, 563472, 563473, 565307, 564084, 561568, 549804, 565114, 565115, 562853, 562854, 562855</t>
  </si>
  <si>
    <t>Sonderfahrt 2021/179-1</t>
  </si>
  <si>
    <t>565423, 565424, 565425, 565426, 565427, 565428, 565429, 565430, 565431, 565432, 565433, 565434, 565435, 565436, 565437, 565438, 565439, 565440, 562716, 562279, 562280</t>
  </si>
  <si>
    <t>Sonderfahrt 2021/179-2</t>
  </si>
  <si>
    <t>565881, 565882, 565883, 565884, 565885, 565886, 565887, 565888, 565889, 565890, 565891, 565781, 565782, 565783</t>
  </si>
  <si>
    <t>562811, 562812, 562813, 562814, 562815, 562816, 562817, 562818, 562819, 562281, 565228, 565230, 557213, 560249</t>
  </si>
  <si>
    <t>Sonderfahrt 2021/182-1</t>
  </si>
  <si>
    <t>562439, 562440, 562441, 562442, 562443, 565116, 565117, 565118, 562820, 562821, 562822, 562823, 562824, 562825, 562826, 565323, 565324, 565270, 565271, 565272, 565273, 565274, 561569, 561570, 563455, 563456, 556314, 556315, 556316, 556317, 469549, 469550, 565308</t>
  </si>
  <si>
    <t>Sonderfahrt 2021/182-2</t>
  </si>
  <si>
    <t>Direktanlieferung am 24.08.2021_1 PANPHARMA</t>
  </si>
  <si>
    <t>566651, 566652, 566653, 566654, 566655, 566656, 566657, 566658, 566659, 566660</t>
  </si>
  <si>
    <t>Einlagerung aus Direktanlieferung am 24.08.2021_1 PANPHARMA</t>
  </si>
  <si>
    <t>Sonderfahrt 2021/182-3</t>
  </si>
  <si>
    <t>566651, 566652, 566653, 556670, 556671, 556672, 556673, 562444, 562445, 560248, 557214, 565232, 565353, 563457, 563458, 563459, 556318, 565295, 565296</t>
  </si>
  <si>
    <t>Direktanlieferung am 27.08.2021_1 PANPHARMA</t>
  </si>
  <si>
    <t>567110, 567111, 567112, 567113, 567114, 567115, 567116, 567118, 567119, 567120, 
567121, 567122, 567123, 567124, 567125, 567126, 567127, 567128, 567129, 567130, 
567131, 567132</t>
  </si>
  <si>
    <t>Einlagerung aus Direktanlieferung am 27.08.2021_1 PANPHARMA</t>
  </si>
  <si>
    <t>Direktanlieferung am 02.09.2021_1 PANPHARMA</t>
  </si>
  <si>
    <t>558585, 558586, 565887, 565888, 565889, 561535, 561536, 558677, 564491, 564085, 564086, 560596, 560598, 560606, 562446, 562447, 562448, 562449, 565781, 565782, 565783, 565269, 556674, 556675, 556676, 565441, 565442, 565443, 565444, 561518, 563900, 563901, 563902, 563903</t>
  </si>
  <si>
    <t>Direktanlieferung am 06.09.2021_1 PANPHARMA</t>
  </si>
  <si>
    <t>565325, 565326</t>
  </si>
  <si>
    <t>SONDERFAHRT 2021/199-1</t>
  </si>
  <si>
    <t>567548, 567549, 567550, 567552, 567553, 567554, 567555, 567556, 567557, 567558, 567559, 567560, 567561, 567562, 567563, 567564, 567565, 567566, 567567, 567568, 567569, 567570</t>
  </si>
  <si>
    <t>Einlagerung aus Direktanlieferung am 02.09.2021_1 PANPHARMA</t>
  </si>
  <si>
    <t>MUSTER je 3 Trays aus: 567110, 567111, 567112
MUSTER je 4 Trays aus: 567118, 567119, 567120, 567121</t>
  </si>
  <si>
    <t>565354, 565355, 565235, 565240, 1 Pal.MUSTER</t>
  </si>
  <si>
    <t>SONDERFAHRT 2021/199-2</t>
  </si>
  <si>
    <t>Direktanlieferung am 08.09.2021_1 PANPHARMA</t>
  </si>
  <si>
    <t>Direktanlieferung am 08.09.2021_2 PANPHARMA</t>
  </si>
  <si>
    <t>556677, 557282, 566654, 566655, 567561, 567562, 567563, 567564, 567565, 567566, 567567, 567568, 567569, 567570, 557216, 565297, 565298, 565299, 565300, 565301, 555462, 564492, 560664, 560665, 565881, 565309, 567560</t>
  </si>
  <si>
    <t>SONDERFAHRT 2021/199-3</t>
  </si>
  <si>
    <t>MUSTER je 1 Tray aus: 567658, 567655</t>
  </si>
  <si>
    <t>Einlagerung aus Direktanlieferung am 06.09.2021_1 PANPHARMA</t>
  </si>
  <si>
    <t>567655, 567656, 567657, 567658, 567659, 567660, 567661, 567662, 567663, 567664, 567665, 567666, 567667, 567668, 567669, 567670, 567671, 567672, 567673, 567674, 567675, 567676, 567677, 567678, 567679, 567680, 567681, 567682, 567683, 567684, 567685, 567686, 567687, 567688, 567689, 567690, 567691, 567692, 567693, 567694</t>
  </si>
  <si>
    <t>Einlagerung aus Direktanlieferung am 08.09.2021_1 PANPHARMA</t>
  </si>
  <si>
    <t>567869, 567870, 567871, 567872, 567873, 567874, 567875, 567876, 567877, 567878, 567879, 567887, 567888, 567889, 567890, 567891, 567892, 567893, 567894, 567895, 567896</t>
  </si>
  <si>
    <t>Einlagerung aus Direktanlieferung am 08.09.2021_2 PANPHARMA</t>
  </si>
  <si>
    <t>567912, 567913, 567914, 567915, 567916, 567917, 567918, 567919, 567920, 567921, 567922, 567923, 567924, 567925, 567926, 567927, 567928</t>
  </si>
  <si>
    <t>MUSTER wieder auf Paletten eingelagert:
je 2 Trays: 567110, 567111, 567112
je 3 Trays: 567118, 567119, 567120, 567121</t>
  </si>
  <si>
    <t>567912, 567913, 567914, 557215, 563466</t>
  </si>
  <si>
    <t>SONDERFAHRT 2021/205-1</t>
  </si>
  <si>
    <t>Direktanlieferung am 15.09.2021_1 PANPHARMA</t>
  </si>
  <si>
    <t>Direktanlieferung am 16.09.2021_1 PANPHARMA</t>
  </si>
  <si>
    <t>Direktanlieferung am 16.09.2021_2 PANPHARMA</t>
  </si>
  <si>
    <t>565119, 565120, 567548, 567549, 567550, 560093, 560097, 558587, 558588</t>
  </si>
  <si>
    <t>SONDERFAHRT 2021/205-2</t>
  </si>
  <si>
    <t>MUSTER je 1 Tray aus: Ch-Nr.N201106 + Ch-Nr.N211290</t>
  </si>
  <si>
    <t>SONDERFAHRT 2021/205-3</t>
  </si>
  <si>
    <t>568302, 568303, 568304, 568305, 568306, 568307</t>
  </si>
  <si>
    <t>Einlagerung aus Direktanlieferung am 15.09.2021_1 PANPHARMA</t>
  </si>
  <si>
    <t>568308, 568309, 568310, 568311, 568312, 568313, 568314, 568315, 568316, 568317, 568318, 568319, 568320, 568321, 568322, 568323, 568324, 568325, 568326, 568327, 568328, 568329</t>
  </si>
  <si>
    <t>eb0000001</t>
  </si>
  <si>
    <t>zur Prüfung bereit stellen; wieder einlagern eb0000002</t>
  </si>
  <si>
    <t>Einlagerung aus Direktanlieferung am 16.09.2021_1 PANPHARMA</t>
  </si>
  <si>
    <t>568392, 568393, 568394, 568395, 568396, 568397, 568398, 568399, 568400, 568401, 
568402, 568403, 568404, 568405, 568407, 568408, 568409, 568410, 568411, 568412, 
568413, 568414, 568415, 568416, 568417, 568418, 568419, 568420, 568421, 568422, 
568423, 568424</t>
  </si>
  <si>
    <t>Einlagerung aus Direktanlieferung am 16.09.2021_2 PANPHARMA</t>
  </si>
  <si>
    <t>568426, 568427, 568428, 568429, 568430, 568431, 568432, 568433, 568434, 568435, 568436, 568437, 568438, 568439, 568440, 568441, 568442, 568443, 568444</t>
  </si>
  <si>
    <t>SONDERFAHRT 2021/205-4</t>
  </si>
  <si>
    <t>MUSTER je 1 Tray aus: 568302, 568303, 568304, 568305, 568306, 568426, 568442</t>
  </si>
  <si>
    <t>MUSTER je 1 Tray aus: 568326, 568327, 568308, 568309, 568310</t>
  </si>
  <si>
    <t>SONDERFAHRT 2021/215-1</t>
  </si>
  <si>
    <t>Direktanlieferung am 22.09.2021_1 PANPHARMA</t>
  </si>
  <si>
    <t>568687, 568688, 568689, 568690, 568691, 568692, 568693, 568694, 568695, 568696, 
568697, 568698, 568699, 568700, 568701, 568702, 568703, 568704, 568705, 568706</t>
  </si>
  <si>
    <r>
      <t xml:space="preserve">Einlagerung aus Direktanlieferung am 22.09.2021_1 PANPHARMA
</t>
    </r>
    <r>
      <rPr>
        <b/>
        <sz val="16"/>
        <color rgb="FFFF0000"/>
        <rFont val="Calibri"/>
        <family val="2"/>
        <scheme val="minor"/>
      </rPr>
      <t>Lagerbestand am 22.09.2021: 604 Paletten</t>
    </r>
  </si>
  <si>
    <t>Direktanlieferung am 24.09.2021_1 PANPHARMA</t>
  </si>
  <si>
    <t>557283, 557284, 565121, 565122, 565123, 565124, 555450, 568392, 568393, 568394, 
568395, 565302, 565303, 562979, 562981, 562982, 562983, 564087, 564088, 000087, 
549805, 549806</t>
  </si>
  <si>
    <t>SONDERFAHRT 2021/215-2</t>
  </si>
  <si>
    <t>565310, 565311, 565312</t>
  </si>
  <si>
    <t>SONDERFAHRT 2021/215-3</t>
  </si>
  <si>
    <t>Einlagerung aus Direktanlieferung am 24.09.2021_1 PANPHARMA</t>
  </si>
  <si>
    <t>568816, 568817, 568818, 568819, 568820, 568821, 568822, 568823, 568824, 568825, 
568826, 568827, 568828, 568829</t>
  </si>
  <si>
    <t>SONDERFAHRT 2021/215-4</t>
  </si>
  <si>
    <t>557285, 557286, 557287, 506574, 560575, 560576, 560577, 506578, 568816, 568817, 
568818, 568819, 567915, 567916, 567917, 567918, 567919, 565313</t>
  </si>
  <si>
    <t>Direktanlieferung am 05.10.2021_1 PANPHARMA</t>
  </si>
  <si>
    <t>569245, 569246, 569247, 569248, 569249, 569250, 569251, 569252</t>
  </si>
  <si>
    <t>Einlagerung aus Direktanlieferung am 05.10.2021_1 PANPHARMA</t>
  </si>
  <si>
    <t>568820, 568821, 568822, 568823, 566656, 560161, 560162, 567920, 567921, 567922, 567923, 562984, 560250, 564743, 564493, 564494, 564495</t>
  </si>
  <si>
    <t>SONDERFAHRT 2021/234-1</t>
  </si>
  <si>
    <t>MUSTER je 1 Tray aus: 568324, 568325</t>
  </si>
  <si>
    <t>SONDERFAHRT 2021/234-2</t>
  </si>
  <si>
    <t>000134, 000135</t>
  </si>
  <si>
    <t>Direktanlieferung am 07.10.2021_1 PANPHARMA</t>
  </si>
  <si>
    <t>569346, 569347, 569348, 569349, 569350, 569351, 569352, 569353, 569354, 569355, 569356, 569357, 569358, 569359, 569360, 569361, 569362, 569363</t>
  </si>
  <si>
    <t>Einlagerung Direktanlieferung am 07.10.2021_1 PANPHARMA</t>
  </si>
  <si>
    <t>000064, 000065</t>
  </si>
  <si>
    <t>Bereitstellung zur Prüfung; Wiedereinlagerung</t>
  </si>
  <si>
    <t>Direktanlieferung am 14.10.2021_1 PANPHARMA</t>
  </si>
  <si>
    <t>560579, 567924, 567925, 567926, 567927, 567928, 568687, 568688, 568689, 568690, 568691, 568692, 568693, 568694, 568695, 568696, 568697, 566657, 566658, 566659, 566660, 569245, 569246, 569247, 562985, 562986, 564496, 564497, 564498, 564499, 564500, 563467, 563468</t>
  </si>
  <si>
    <t>SONDERFAHRT 2021/234-3</t>
  </si>
  <si>
    <t>Einlagerung Direktanlieferung am 14.10.2021_1 PANPHARMA</t>
  </si>
  <si>
    <t>569712, 569713, 000064, 000065, 563902, 563303, 565444, 565443, 565442, 565441</t>
  </si>
  <si>
    <t>569724, 569725, 569726, 569727, 569728, 569729, 569730, 569731, 569732, 569733, 
569734, 569735, 569736, 569737, 569738</t>
  </si>
  <si>
    <t>SONDERFAHRT 2021/241-1</t>
  </si>
  <si>
    <t>569811, 569814, 569815, 000136, (Ware f. PPH-OHS3a ohne Berechnung)</t>
  </si>
  <si>
    <t>eb0000DR1, eb0000DR2, eb0000DR3</t>
  </si>
  <si>
    <t>568698, 568699, 568700, 568701, 568702, 568703, 568704, 568705, 568706, 569724, 
569725, 562786, 562787, 562987, 562988, 564744</t>
  </si>
  <si>
    <t>SONDERFAHRT 2021/241-2</t>
  </si>
  <si>
    <t>565327, 565328, 565329, 565330, 565331, 565332, 565333, 565334, 565335, 565336, 565337, 565338, 565339, 565340, 565341, 565342, 568426, 568427, 568428</t>
  </si>
  <si>
    <t>SONDERFAHRT 2021/248-1</t>
  </si>
  <si>
    <t>563138, 567655, 567656, 567657</t>
  </si>
  <si>
    <t>SONDERFAHRT 2021/241-2(x2)</t>
  </si>
  <si>
    <t>Direktanlieferung am 26.10.2021_1 PANPHARMA</t>
  </si>
  <si>
    <t>570265, 570266, 570267, 570268, 570269, 570270, 570271, 570272, 570273, 570274, 
570275, 570276, 570277, 570278, 570279, 570280, 570281, 570282, 570283, 570284, 
570285, 570286, 570286A, 570286B, 570286C, 570286D, 570287, 570288, 570289, 570290, 570291, 570292, 570293, 570294, 570295, 570296</t>
  </si>
  <si>
    <t>Einlagerung aus Direktanlieferung am 26.10.2021_1 PANPHARMA</t>
  </si>
  <si>
    <t>560580, 560581, 560582, 560583, 569251, 569252, 565304, 565305, 568416, 567869, 567870, 567871, 567872, 567873, 567874, 567875, 567876, 569357, 569358, 569359, 562989, 562990, 562991</t>
  </si>
  <si>
    <t>SONDERFAHRT 2021/248-2</t>
  </si>
  <si>
    <t>570542, 570543, 570544, 570545, 570546, 570547, 570548, 570549, 570550, 570551, 
570526, 570527, 570528, 570529, 570530, 570531, 570532, 570533, 570534, 570535, 
570536, 570537, 570538, 570539, 570540</t>
  </si>
  <si>
    <t>Sonderfahrt 2021/256-1</t>
  </si>
  <si>
    <t>Jahresdurchschnitt
Handling p.M.</t>
  </si>
  <si>
    <t>569726, 569727, 569728, 569729, 569730, 569731, 569732, 568824, 568825, 568396, 568397, 567877, 567878, 562992, 562993, 562994, 569346, 569347, 569348</t>
  </si>
  <si>
    <t>Sonderfahrt 2021/256-2</t>
  </si>
  <si>
    <t>547911, 547912, 547913</t>
  </si>
  <si>
    <t>Auslagerung zur Umkennzeichnung/Umbuchung</t>
  </si>
  <si>
    <t>000138, 000139, 000140</t>
  </si>
  <si>
    <t>Wiedereinlagerung aus Umkennzeichnung/Umbuchung</t>
  </si>
  <si>
    <t>570542, 570543, 570544, 570545, 569733, 569734, 562360, 562361, 562362, 568417, 568418, 568420, 568421, 547910, 561107, 561111, 568419</t>
  </si>
  <si>
    <t>Sonderfahrt 2021/267-1</t>
  </si>
  <si>
    <t>571067, 571068, 571069, 570924, 570925, 570926, 570927</t>
  </si>
  <si>
    <t>570546, 570547, 570548, 560584, 560585, 569735, 569736, 569737, 569738, 570526, 570527, 570528, 570529, 570530, 570531, 570532, 570533, 570534, 565882, 565314, 000136, 000111, 562995, 564745</t>
  </si>
  <si>
    <t>Sonderfahrt 2021/273-1</t>
  </si>
  <si>
    <t>(Bereitstellung zur Prüfung; Wiedereinlagerung)</t>
  </si>
  <si>
    <t>571450, 571451, 571452, 571425, 571426, 571427, 571428, 571429, 571430, 571431, 571432, 571180, 571181</t>
  </si>
  <si>
    <t>563939, 563940, 563941, 568302, 568303, 568304, 568305, 568306, 568307</t>
  </si>
  <si>
    <t>Sonderfahrt 2021/276-1</t>
  </si>
  <si>
    <t>563460, 563477, 570287, 565883, 565315, 562996, 564746, 534476, 568826, 568827, 568828, 567552, 570535, 570536, 570537, 571425, 571450, 571451, 571452</t>
  </si>
  <si>
    <t>Sonderfahrt 2021/276-2</t>
  </si>
  <si>
    <t>Sonderfahrt 2021/276-3</t>
  </si>
  <si>
    <t>563902, 563903, 563904, 563905, 563906, 563907, 563908, 563909, 563910, 563911, 563912, 563913, 560098</t>
  </si>
  <si>
    <t>571895, 571894, 571893, 571892, 571891</t>
  </si>
  <si>
    <t>Direktanlieferung am 01.12.2021_1 PANPHARMA</t>
  </si>
  <si>
    <t>Sonderfahrt 2021/287-1</t>
  </si>
  <si>
    <t>Einlagerung aus Direktanlieferung am 01.12.2021_1 PANPHARMA</t>
  </si>
  <si>
    <t>572181, 572182, 572183, 572184, 572185, 572186, 572187, 572188, 572189, 572190, 572191, 572192, 572193, 572194, 572195, 572196, 572197</t>
  </si>
  <si>
    <t>563914, 563915, 563916, 563917, 563918, 563919, 563920, 567110, 567111, 567112, 
567113, 567114, 567115, 560608, 560609, 560611, 564323, 560099, 560100, 560101, 
571426, 571427, 560163, 560164, 564486, 564487, 567879, 570265, 570266, 570267, 
561546, 568407, 562997, 564747, 000DR1</t>
  </si>
  <si>
    <t>572116, 572117, 572120, 572123, 572124, 572125, 571968, 571969, 571970, 571971, 
571972</t>
  </si>
  <si>
    <t>Direktanlieferung am 08.12.2021_1 PANPHARMA</t>
  </si>
  <si>
    <t>Direktanlieferung am 08.12.2021_2 PANPHARMA</t>
  </si>
  <si>
    <t>572516, 572517, 572518, 572519, 572520, 572521, 572522, 572523, 572524, 572525, 572526, 572527, 572528, 572529, 572530, 572531, 572532, 572533, 572534, 572535, 572536</t>
  </si>
  <si>
    <t>Einlagerung aus  Direktanlieferung am 08.12.2021_1 PANPHARMA</t>
  </si>
  <si>
    <t>572541, 572542, 572543, 572544, 572545, 572546, 572547, 572548, 572549, 572550, 572551, 572552, 572553, 572554, 572555, 572556, 572557, 572558</t>
  </si>
  <si>
    <t>Einlagerung aus  Direktanlieferung am 08.12.2021_2 PANPHARMA</t>
  </si>
  <si>
    <t>Direktanlieferung am 10.12.2021_1 PANPHARMA</t>
  </si>
  <si>
    <t>567116, 567118, 567119, 567120, 567121, 567122, 567123, 567124, 567125, 567126, 567127, 567128, 567129, 567130, 564324, 564325, 564326, 564327, 560102, 560103, 563486, 571428, 570538, 570539, 570540, 572542, 571968, 571969, 564488, 565890, 565891, 568401</t>
  </si>
  <si>
    <t>Sonderfahrt 2021/295-1</t>
  </si>
  <si>
    <t>Einlagerung aus Direktanlieferung am 10.12.2021_1 PANPHARMA</t>
  </si>
  <si>
    <t>572702, 572703, 572704, 572705, 572706, 572707, 572708, 572709, 572710</t>
  </si>
  <si>
    <t>567131, 567132, 572516, 572517, 572518, 572519, 572520, 572521, 572522, 564328, 
564330, 563487, 563488, 570549, 570550, 570551, 572557, 572558, 571180, 572702, 
562998, 564748, 000DR2, 000DR3, 000083, (572541 nur 1 Tray)</t>
  </si>
  <si>
    <t>572746, 572747, 572748</t>
  </si>
  <si>
    <t>Direktanlieferung am 20.12.2021_1 PANPHARMA</t>
  </si>
  <si>
    <t>572988, 572989, 572990, 572991, 572992, 572993, 572994, 572995, 572996</t>
  </si>
  <si>
    <t>Einlagerung aus Direktanlieferung am 20.12.2021_1 PANPHARMA</t>
  </si>
  <si>
    <t>Direktanlieferung am 22.12.2021_1 PANPHARMA</t>
  </si>
  <si>
    <t>573137, 573138, 573139, 573140, 573141, 573142, 573143, 573144, 573145, 573146</t>
  </si>
  <si>
    <t>Einlagerung aus Direktanlieferung am 22.12.2021_1 PANPHARMA</t>
  </si>
  <si>
    <t>Sonderfahrt 2021/300-1</t>
  </si>
  <si>
    <t>571429, 572541, 572543, 572544, 572545, 572746, 572747, 572748, 565441, 565442, 565443, 565444, 568308, 568309, 568310, 568311, 564331, 563489, 562999, 564749, 568402, 568403, 568408</t>
  </si>
  <si>
    <t>573184, 573185, 573186, 573187</t>
  </si>
  <si>
    <t>Sonderfahrt 2021/300-2</t>
  </si>
  <si>
    <t>573207, 573208, 573209, 573210, 573211, 573212, 573213, 573214, 573215, 573216, 
573217, 573218, 573219, 573220, 573221, 573222, 573223, 573224, 573225, 573226, 
573227, 573228, 573229, 573230, 573231, 573232, 573233, 573234, 573235, 573236</t>
  </si>
  <si>
    <t>SONDERFAHRT 2022/12-1</t>
  </si>
  <si>
    <t>565356, 565357, 564228, 564229, 564230, 564231, 533104, 573140, 571430, 571431, 571432, 573137, 573138, 573139, 572546, 572547, 572548, 572549, 567553, 567554, 567555, 563461, 567887, 567888, 567889, 569349, 569350, 568409, 568410, 572193, 572194, 568422, 568423</t>
  </si>
  <si>
    <t xml:space="preserve">Vereinfachte Inventur Lagerbestand per 08.01.2022: 487 Paletten *0,5 Aufwand </t>
  </si>
  <si>
    <r>
      <t xml:space="preserve">nur das Vorhandensein der EB-Nummern abgleichen. </t>
    </r>
    <r>
      <rPr>
        <b/>
        <sz val="11"/>
        <color theme="1"/>
        <rFont val="Calibri"/>
        <family val="2"/>
        <scheme val="minor"/>
      </rPr>
      <t>(+4 Stellplätze zu 567286) = 491 am 08.01.2022</t>
    </r>
  </si>
  <si>
    <t xml:space="preserve">Bereitstellung zur Prüfung (Hr. Ihde); verschließen; Wiedereinlagerung </t>
  </si>
  <si>
    <t>97, 129, 133</t>
  </si>
  <si>
    <t>572523, 572524, 572525, 572526, 572527, 572528, 572529, 572550, 572551, 562790, 562791, 562792, 562793, 562794, 562795, 558565, 568404, 568424, 572181, 572182, 570290, 569360, 569361, 568398, 563000</t>
  </si>
  <si>
    <t>573844, 573845, 573846, 573847, 573848, 573849, 573850, 573696, 573697, 573698, 573699, 573838</t>
  </si>
  <si>
    <t>SONDERFAHRT 2022/12-2</t>
  </si>
  <si>
    <t>eb0000065</t>
  </si>
  <si>
    <t>SONDERFAHRT 2022/18-1</t>
  </si>
  <si>
    <t>572552, 572553, 572554, 572555</t>
  </si>
  <si>
    <t>SONDERFAHRT 2022/18-2</t>
  </si>
  <si>
    <t>574021, 574022, 574023, 574024, 573871, 573872, 573873, 573874</t>
  </si>
  <si>
    <t>568312, 568313, 568314, 568315, 568316, 568317, 568318, 568319, 568320, 567556, 567557, 567558, 572556, 571970, 571181, 572183, 572184, 568399, 567890</t>
  </si>
  <si>
    <t>SONDERFAHRT 2022/18-3</t>
  </si>
  <si>
    <t>574152, 574153, 574154, 574155, 574156, 574157, 574158, 574159, 574160, 574161</t>
  </si>
  <si>
    <t>Direktanlieferung am 24.01.22_1 PANPHARMA</t>
  </si>
  <si>
    <t>574344, 574345, 574346, 574347, 574348, 574349, 574350, 574351, 574352, 574353, 574354, 574355, 574356</t>
  </si>
  <si>
    <t>Einlagerung aus Direktanlieferung am 24.01.22_1 PANPHARMA</t>
  </si>
  <si>
    <t>SONDERFAHRT 2022/18-4</t>
  </si>
  <si>
    <t>567559, 574158, 574159, 574160, 574161, 573141, 573696, 573697, 573698, 573699, 563001, 563002, 563003, 573208, 567891, 567892, 572195, 572196, 572197, 563490</t>
  </si>
  <si>
    <t>574422, 574423, 574424, 574467, 574468, 574469, 574470, 574471, 574472, 574473</t>
  </si>
  <si>
    <t>SONDERFAHRT 2022/18-5</t>
  </si>
  <si>
    <t>557778, 557782, 557783, 557784</t>
  </si>
  <si>
    <t>SONDERFAHRT 2022/18-6</t>
  </si>
  <si>
    <t>574625, 574628, 574629, 574630, 574631, 574632</t>
  </si>
  <si>
    <t>MUSTER je 1 Tray aus: 574344, 574345, 574346, 574347</t>
  </si>
  <si>
    <t>573142, 574021, 574022, 574023, 574024, 574152, 574153, 574154, 574155, 574156, 574157, 568411, 534477, 564750, Pal093</t>
  </si>
  <si>
    <t>SONDERFAHRT 2022/39-1</t>
  </si>
  <si>
    <t>mit nächstem Abruf liefern</t>
  </si>
  <si>
    <t>574674, 574675, 574676, 574677, 574678, Pal083, Pal065</t>
  </si>
  <si>
    <t>SONDERFAHRT 2022/45-1</t>
  </si>
  <si>
    <t>eb0000093</t>
  </si>
  <si>
    <t>572530, 572531, 572532, 572533, 572534, 572535, 572536, 573184, 
570286, 570286A, 570286B, 572286C, 570286D</t>
  </si>
  <si>
    <t>SONDERFAHRT 2022/45-2</t>
  </si>
  <si>
    <t>574344, 574345, 573185, 573186, 573187, 574674, 568405, 573871, 572185, 572186, 572187, 568412, 569814</t>
  </si>
  <si>
    <t>SONDERFAHRT 2022/45-3</t>
  </si>
  <si>
    <t>SONDERFAHRT 2022/49-1</t>
  </si>
  <si>
    <t>574422, 574346, 574347, 574348, 574349, 574350, 574351, 573143, 573144, 573145, 573146, 574675, 574676, 574467, 574468, 574469, 572703, 561112, 569362, 569363, 568413, 573213, 573214, 564751</t>
  </si>
  <si>
    <t>Direktanlieferung am 18.02.22_1 PANPHARMA</t>
  </si>
  <si>
    <t>Einlagerung aus Direktanlieferung am 18.02.22_1 PANPHARMA</t>
  </si>
  <si>
    <t>575583, 575584, 575585, 575586, 575587, 575588, 575589, 575590, 575591, 575292, 575593, 575594, 575595, 575596, 575597, 575598, 575599, 575600, 575601, 575602, 575603, 575604, 575605, 575606, 575607, 575608, 575609, 575610, 575611, 575612</t>
  </si>
  <si>
    <t>Direktanlieferung am 22.02.22_1 PANPHARMA</t>
  </si>
  <si>
    <t>575703, 575704, 575705, 575706, 575707, 575708, 575709, 575710, 575711, 575712, 575713, 575714, 575715, 575716, 575717, 575718, 575719, 575720, 575721, 575722, 575723, 575724, 575725, 575726, 575727, 575728, 575729, 575730, 575731, 575732, 575733, 575734, 575735</t>
  </si>
  <si>
    <t>Einlagerung aus Direktanlieferung am 22.02.22_1 PANPHARMA</t>
  </si>
  <si>
    <t>MUSTER je 1 Tray aus 4 Paletten: Direktanlieferung am 22.02.22_1 PANPHARMA</t>
  </si>
  <si>
    <t>SONDERFAHRT 2022/54-1</t>
  </si>
  <si>
    <t>574352, 574353, 574354, 574355, 574356, 575703, 575704, 575705, 575706, 575707, 575708, 574423, 574424, 574470, 574471, 574472, 574473, 574677, 573215, 573872, 573873, 573874, 569351, 569352, 561113, 572705, 572706, 572707</t>
  </si>
  <si>
    <t>eb00000132</t>
  </si>
  <si>
    <t>573838, 573844, 573845, 573846, 573847, 573848, 573849, 573850, 565358, 569353, 572188, 572189, 572190, 573216, 572988, 000126</t>
  </si>
  <si>
    <t>SONDERFAHRT 2022/65-1</t>
  </si>
  <si>
    <t>568321, 568322, 568323, 568324, 568325, 568326, 568327, 568328, 568329, 572116, 572117, 572120, 572123, 565359, 571891, 568400, 573217</t>
  </si>
  <si>
    <t>SONDERFAHRT 2022/68-1</t>
  </si>
  <si>
    <t>576302, 576303, 576304, 576305, 576306, 576307, 576308, 576309, 576396, 576401, 576402, 576404, 576405, 576406, 576407, 576408, 576409, 576410, 576411, 576412</t>
  </si>
  <si>
    <t>457464, 457465, 373324, 373325, 373326, 415156, 449741, 490344, 490345, 490346, 490347, 490348, 461826, 461827</t>
  </si>
  <si>
    <t>SONDERFAHRT 2022/68-2</t>
  </si>
  <si>
    <t>575709, 575710, 575711, 575712, 575713, 575714, 575715, 575716, 572124, 571971, 571972, 569354, 575597, 575598, 575599, 558564, 561108, 572191, 572192, 570268, 570269, 570270, 570271, 573218, 572990, 000138</t>
  </si>
  <si>
    <t>SONDERFAHRT 2022/68-3</t>
  </si>
  <si>
    <t>Monat</t>
  </si>
  <si>
    <t>Traffic
Bewegungen
: Kontingent</t>
  </si>
  <si>
    <t>565506 (Einzelinventur auf Veranlassung Deloitte Wirtschaftsprüfungsgesellschaft)</t>
  </si>
  <si>
    <t>Direktanlieferung am 21.03.22_1 PANPHARMA</t>
  </si>
  <si>
    <t>576901, 576902, 576903, 576904, 576905, 576906, 576907, 576908, 576909, 576910, 576911, 576912, 576913, 576914, 576915, 576916, 576917, 576918, 576919, 576920, 576921</t>
  </si>
  <si>
    <t>Einlagerung aus Direktanlieferung am 21.03.22_1 PANPHARMA</t>
  </si>
  <si>
    <t>517372, 517373</t>
  </si>
  <si>
    <t>SONDERFAHRT 2022/73-1</t>
  </si>
  <si>
    <t>Musterzug je 1 Tray aus: 576902, 576910, 576911, 576912, 576913, 576914, 576915</t>
  </si>
  <si>
    <t>569248, 569249, 569250</t>
  </si>
  <si>
    <t>SONDERFAHRT 2022/73-2</t>
  </si>
  <si>
    <t>eb00000141, eb0000142, eb0000143</t>
  </si>
  <si>
    <r>
      <t xml:space="preserve">Direktanlieferung am 25.03.22_1 PANPHARMA = </t>
    </r>
    <r>
      <rPr>
        <sz val="11"/>
        <color rgb="FFFF0000"/>
        <rFont val="Calibri"/>
        <family val="2"/>
        <scheme val="minor"/>
      </rPr>
      <t>PALETTENTAUSCH!!</t>
    </r>
  </si>
  <si>
    <t>572125, 574625, 574628, 574629, 574630, 574631, 574632, 572991, 572992, 572993, 572994, 572995, 572996, 575717, 575718, 575719, 575720, 575721, 575722, 575723, 575724, 575725, 575726, 569355, 569356, 575583, 575584, 575600, 575601, 570272, 570273, 561109, 561110, 572704, 572708</t>
  </si>
  <si>
    <t>SONDERFAHRT 2022/73-3</t>
  </si>
  <si>
    <t>aus Direktanlieferung am 25.03.22_1 PANPHARMA</t>
  </si>
  <si>
    <t>577172, 577173, 577174, 577175, 577176, 577177, 577178, 577179, 577180, 577181, 577182, 577183, 577184, 577185, 577186, 577187, 577188, 577189, 577192, 577193, 577194, 577195, 577196, 577197, 577198</t>
  </si>
  <si>
    <t xml:space="preserve">Einlagerung aus Direktanlieferung am 28.03.22_1 PANPHARMA </t>
  </si>
  <si>
    <t>577249, 577248, 577247, 577246, 577245, 577244, 577243, 577242, 577241, 577240, 577239, 577238, 577237, 577236, 577235, 577234, 577233, 577232, 577231, 577230, 577229, 577228, 577227, 577226, 577250, 577296</t>
  </si>
  <si>
    <t>Paletten-
Bewegungen
per Jahr</t>
  </si>
  <si>
    <t>Paletten-
Bewegungen
je Monat</t>
  </si>
  <si>
    <t>Umsatz
nur
Handling</t>
  </si>
  <si>
    <t>Musterzug je 1 Tray aus: 577226, 577227, 577228, 577229</t>
  </si>
  <si>
    <t>575727, 575728, 575729, 575730, 575731, 575732, 575733, 575734, 575735, 000141, 568829, 574678, 572709, 572710, 570274, 570275, 570276, 573219</t>
  </si>
  <si>
    <t>SONDERFAHRT 2022/73-4</t>
  </si>
  <si>
    <t>568429, 568430, 568431, 568432, 568433, 568434, 568435, 568436, 568437, 568438, 568439, 568440, 568441, 568442, 568443, 568444, 571892, 571893, 571894, 571895, 567894, 567895, 567896, 573220</t>
  </si>
  <si>
    <t>SONDERFAHRT 2022/93-1</t>
  </si>
  <si>
    <t>576396, 576401, 576402, 576404, 576405, 576406, 576407, 576408, 576409, 576410, 576411, 576412, 567893, 570277, 570278, 570279, 570280, 568414, 568415, 575588, 575589, 569815, 573221</t>
  </si>
  <si>
    <t>SONDERFAHRT 2022/98-1</t>
  </si>
  <si>
    <t>000144, 000145</t>
  </si>
  <si>
    <t>577226, 577227, 577228, 479023, 479024, 481813, 481814, 481815, 481816, 481817, 481818, 481819, 481820, 575585, 575586, 575587, 570291, 573222</t>
  </si>
  <si>
    <t>SONDERFAHRT 2022/98-2</t>
  </si>
  <si>
    <t>576901, 576902, 576903, 576904, 576905, 576906, 576907, 576908, 575590, 575591, 575602, 575603, 575604, 534478, 577229, 577230, 577231, 577232, 577233</t>
  </si>
  <si>
    <t>SONDERFAHRT 2022/114-1</t>
  </si>
  <si>
    <t>578459, 578460, 578461, 578462, 578463, 578465, 578466, 578467, 578468</t>
  </si>
  <si>
    <t>577234, 577235, 577236, 577237, 577238, 577239, 577240, 577241, 577242, 577243, 577244, 577245, 577246, 577247, 577248, 577249, 577250, 577296</t>
  </si>
  <si>
    <t>SONDERFAHRT 2022/128-1</t>
  </si>
  <si>
    <t>579747, 579748, 579749, 579750, 579751, 579752, 579753, 579754, 579755, 579756, 579757, 579758</t>
  </si>
  <si>
    <t>573223, 573224, 573225, 572989, 575592, 575593, 575594, 575595, 575596, 562796, 562797, 562798, 562799</t>
  </si>
  <si>
    <t>SONDERFAHRT 2022/131-1</t>
  </si>
  <si>
    <t>580704, 580705, 580706, 580707, 580708, 580633, 580634, 580635, 580636, 580637, 580638, 580639, 580640, 580624, 580625, 580626, 580627</t>
  </si>
  <si>
    <t>580810A, 580810B, 580810C
580790, 580791, 580792, 580793, 580794, 580795, 580796, 580797, 580798, 580799, 580800, 580801, 580802, 580803, 580804</t>
  </si>
  <si>
    <t>Direktanlieferung am 02.06.22_1 PANPHARMA</t>
  </si>
  <si>
    <t>Direktanlieferung am 10.06.22_1 PANPHARMA</t>
  </si>
  <si>
    <t>581128, 581129, 581130, 581131, 581132, 581133, 581134, 581135, 581136, 581137, 581138, 581139, 581140, 581141</t>
  </si>
  <si>
    <t>Einlagerung aus Direktanlieferung am 02.06.22_1 PANPHARMA
580810A+B+C = 3 Stellplätze breite Kartonagenpalette</t>
  </si>
  <si>
    <t>Einlagerung aus Direktanlieferung am 10.06.22_1 PANPHARMA</t>
  </si>
  <si>
    <t>576302, 576303, 576304, 576305, 576306, 565506, 565507, 533105, 571067, 571068, 564232, 564233, 564234, 564235, 555452, 580799, 580800, 580801, 580802, 573226, 573227, 578459</t>
  </si>
  <si>
    <t>SONDERFAHRT 2022/131-2</t>
  </si>
  <si>
    <t>000146, 000147</t>
  </si>
  <si>
    <t>581128, 581129, 581130, 581131, 569712, 576308, 575605, 575606, 580810A, 580810B, 580810C</t>
  </si>
  <si>
    <t>SONDERFAHRT 2022/153-1
580810A+B+C = 3 Stellplätze breite Kartonagenpalette</t>
  </si>
  <si>
    <t>Direktanlieferung am 23.06.22_1 PANPHARMA</t>
  </si>
  <si>
    <t>564242, 564243, 564244, 555453, 000139</t>
  </si>
  <si>
    <t>SONDERFAHRT 2022/161-1</t>
  </si>
  <si>
    <t>Einlagerung aus Direktanlieferung am 23.06.22_1 PANPHARMA</t>
  </si>
  <si>
    <t>581824, 581825, 581826, 581827, 581828, 581829, 581830, 581831, 581832, 581833, 581834, 581835, 581836, 581837, 581838, 581839, 581840, 581841, 581842, 581843, 581844, 581845</t>
  </si>
  <si>
    <t>SONDERFAHRT 2022/161-2</t>
  </si>
  <si>
    <t>582123, 582124, 582125, 582126, 582127, 582128, 582129, 582130, 582131, 582132, 
582113, 582114, 582115, 582116, 582117, 582118, 582119, 582120, 582121, 582122</t>
  </si>
  <si>
    <t>582302, 582303, 582304, 582305, 582306, 582307, 582308, 582309, 582310, 582311, 
582312, 582313, 582314, 582315, 582316, 582317, 582318, 582320</t>
  </si>
  <si>
    <t>SONDERFAHRT 2022/176-1</t>
  </si>
  <si>
    <t>Direktanlieferung am 05.07.22_1 PANPHARMA</t>
  </si>
  <si>
    <t>582407, 582408, 582409, 582410, 582411, 582412, 582413, 582414, 582415, 582416, 582417, 582418, 582419, 582420, 582421, 582422, 582423, 582424, 582425, 582426, 582427, 582428, 582429, 582430</t>
  </si>
  <si>
    <t>Direktanlieferung am 06.07.22_1 PANPHARMA</t>
  </si>
  <si>
    <t>582472, 582473, 582474, 582475, 582476, 582477, 582478, 582479, 582480, 582481, 582482, 582483</t>
  </si>
  <si>
    <t>Einlagerung aus Direktanlieferung am 05.07.22_1 PANPHARMA</t>
  </si>
  <si>
    <t>Einlagerung aus Direktanlieferung am 06.07.22_1 PANPHARMA</t>
  </si>
  <si>
    <t>SONDERFAHRT 2022/176-2</t>
  </si>
  <si>
    <t>582629, 582630, 582632, 582633, 582634, 582635, 582636, 582637, 582638, 582536, 582537, 582538, 582539, 582540, 582541</t>
  </si>
  <si>
    <t>582709, 582710, 582711, 582712, 582713, 582714, 582715, 582716, 582717, 582718, 582719</t>
  </si>
  <si>
    <t>SONDERFAHRT 2022/184-1</t>
  </si>
  <si>
    <t>Direktanlieferung am 20.07.22_1 PANPHARMA</t>
  </si>
  <si>
    <t>582957, 582958, 582959, 582960, 582961, 582962, 582963, 582964, 582965, 582966, 582967, 582968, 582969, 582970, 582971, 582972, 582973, 582974, 582975, 582976, 582977, 582978</t>
  </si>
  <si>
    <t>Einlagerung aus Direktanlieferung am 20.07.22_1 PANPHARMA</t>
  </si>
  <si>
    <t>Direktanlieferung am 21.07.22_1 PANPHARMA</t>
  </si>
  <si>
    <t>576307, 576309, 582536, 582537, 582538, 573228, 573229, 573230, 555454, 582423</t>
  </si>
  <si>
    <t>SONDERFAHRT 2022/184-2</t>
  </si>
  <si>
    <t>528815, 528816, 528817</t>
  </si>
  <si>
    <t>Einlagerung aus Direktanlieferung am 21.07.22_1 PANPHARMA</t>
  </si>
  <si>
    <t>583000, 583001, 583002, 583003, 583004, 583005, 583006, 583007, 583008, 583009, 583010, 583011, 583012, 583013, 583014, 583015, 583016, 583017, 583018, 583019, 583020, 583021, 583022, 583023, 583024, 583025, 583026, 583027, 583028, 583029, 583030, 583031, 583032</t>
  </si>
  <si>
    <t>Direktanlieferung am 21.07.22_2 PANPHARMA</t>
  </si>
  <si>
    <t>Einlagerung aus Direktanlieferung am 21.07.22_2 PANPHARMA</t>
  </si>
  <si>
    <t>583048, 583049, 583050, 583051, 583052, 583055, 583056, 583057, 583058, 583059, 583060, 583061, 583062, 583063, 583064</t>
  </si>
  <si>
    <t>Direktanlieferung am 25.07.22_1 PANPHARMA</t>
  </si>
  <si>
    <t>Direktanlieferung am 27.07.22_1 PANPHARMA</t>
  </si>
  <si>
    <t>583136, 583137, 583138, 583139, 583140, 583141, 583142, 583143, 583144, 583145, 583146</t>
  </si>
  <si>
    <t>Einlagerung aus Direktanlieferung am 25.07.22_1 PANPHARMA</t>
  </si>
  <si>
    <t>Direktanlieferung am 28.07.22_1 PANPHARMA</t>
  </si>
  <si>
    <t>Direktanlieferung am 28.07.22_2 PANPHARMA</t>
  </si>
  <si>
    <t>582632, 582633, 582634, 582635, 582113, 582114, 582115, 582116, 582117, 582118, 
581132, 581133, 581134, 581135, 582476, 582477, 582418, 582419, 582420, 582421, 
573231</t>
  </si>
  <si>
    <t>583045, 583046, 583047, 583053, 583054, 000148</t>
  </si>
  <si>
    <t>Einlagerung aus Direktanlieferung am 27.07.22_1 PANPHARMA</t>
  </si>
  <si>
    <t>583193, 583194, 583195, 583196, 583197, 583198, 583199, 583200, 583201, 583202, 583203, 583204, 583205, 583206, 583207, 583208, 583209, 583210, 583211, 583212, 583213</t>
  </si>
  <si>
    <t>Einlagerung aus Direktanlieferung am 28.07.22_1 PANPHARMA</t>
  </si>
  <si>
    <t>583226, 583227, 583228, 583229, 583230, 583231, 583232, 583233, 583234, 583235, 583236, 583237, 583238, 583239, 583240, 583241, 583242, 583243</t>
  </si>
  <si>
    <t>Einlagerung aus Direktanlieferung am 28.07.22_2 PANPHARMA</t>
  </si>
  <si>
    <t>583248, 583249, 583250, 583251, 583252, 583253, 583254, 583255, 583256, 583257, 
583258, 583259, 583260, 583261</t>
  </si>
  <si>
    <t>Direktanlieferung am 29.07.22_1 PANPHARMA</t>
  </si>
  <si>
    <t>583309, 583310, 583311, 583312, 583313, 583314, 583315, 583316</t>
  </si>
  <si>
    <t>Einlagerung aus Direktanlieferung am 29.07.22_1 PANPHARMA</t>
  </si>
  <si>
    <t>Direktanlieferung am 01.08.22_1 PANPHARMA</t>
  </si>
  <si>
    <t>Direktanlieferung am 01.08.22_2 PANPHARMA</t>
  </si>
  <si>
    <t>583345, 583346, 583347, 583348, 583349, 583350, 583351, 583352, 583353, 583354, 583355, 583356, 583357, 583358, 583359, 583360, 583361, 583362, 583363, 583364, 583365, 583366, 583367, 583368, 583369, 583370, 583371, 583372, 583373, 583374, 583375, 583376</t>
  </si>
  <si>
    <t>Einlagerung aus Direktanlieferung am 01.08.22_1 PANPHARMA</t>
  </si>
  <si>
    <t>583396, 583403, 583404, 583405, 583406, 583407, 583408, 583409, 583410, 583411, 583412, 583413, 583414, 583415, 583416, 583417, 583418, 583419, 583420, 583421, 583422, 583423, 583424, 583425, 583426</t>
  </si>
  <si>
    <t>Einlagerung aus Direktanlieferung am 01.08.22_2 PANPHARMA</t>
  </si>
  <si>
    <t>580704, 580705, 582472, 582473, 582474, 582475, 581136, 581137, 581138, 581139, 582407, 582408, 582422, 583248, 583249</t>
  </si>
  <si>
    <t>SONDERFAHRT 2022/203-1</t>
  </si>
  <si>
    <t>583465, 583466, 583467, 583468, 583469, 583470, 583471, 583472, 583473, 583474</t>
  </si>
  <si>
    <t>Auslagerung; Handling (neue Eb-Nummern anbringen)</t>
  </si>
  <si>
    <t>Wiedereinlagerung geänderter Eb-Nummern</t>
  </si>
  <si>
    <t>583577, 583578, 583579, 583580, 583581, 583582, 583583, 583584, 583585, 583586, 583587</t>
  </si>
  <si>
    <t>582709, 582710, 582711, 582712, 582713, 582714, 582715, 582716, 582717, 582718, 582719, neue Eb-Nummern anbringen</t>
  </si>
  <si>
    <t>Direktanlieferung am 05.08.22_1 PANPHARMA</t>
  </si>
  <si>
    <t>Musterzug aus N221285</t>
  </si>
  <si>
    <t>583643, 583644, 583645, 583646, 583647, 583648, 583649, 583650, 583651, 583652, 583653, 583654, 583655, 583656, 583657, 583658, 583659, 583660, 563661, 583662, 583663, 583664</t>
  </si>
  <si>
    <t>576909, 576910, 576911, 576912, 576913, 576914, 576915, 576916, 576917, 576918, 576919, 576920, 576921, 582964, 582965, 582302, 582629, 582630, 582119, 582120, 582424, 575607, 580790, 580791, 578460, 573232, 580633</t>
  </si>
  <si>
    <t>583618, 583619, 583620, 583621, 583622, 583623, 000149</t>
  </si>
  <si>
    <t>Bereitstellung; Vorschaden-Prüfung; Nachverpackung; Wiedereinlagerung</t>
  </si>
  <si>
    <t>581842, 581843</t>
  </si>
  <si>
    <t>SONDERFAHRT 2022/207-1</t>
  </si>
  <si>
    <t>.</t>
  </si>
  <si>
    <t>Einlagerung aus Direktanlieferung am 05.08.22_1 PANPHARMA
VERFÜGBAR = -12</t>
  </si>
  <si>
    <t>583048, 583049, 583050, 583051, 583577, 583578, 583579, 570924, 570925, 570926, 570927, 570292, 570293, 570294, 570295, 570296, 573233, 573234</t>
  </si>
  <si>
    <t>SONDERFAHRT 2022/207-3</t>
  </si>
  <si>
    <t>584141, 584142, 584143, 584144, 584145, 584146, 584147, 584148, 584149, 584150, 584125, 584126, 584127, 584128, 584129, 584130, 584131, 584132, 584133, 584134</t>
  </si>
  <si>
    <t>SONDERFAHRT 2022/207-2</t>
  </si>
  <si>
    <t>eb0000144</t>
  </si>
  <si>
    <t>SONDERFAHRT 2022/207-4</t>
  </si>
  <si>
    <t>Musterzug aus N322214 + N322295</t>
  </si>
  <si>
    <t>Einlagerung aus Direktanlieferung am 22.08.22_1 PANPHARMA
VERFÜGBAR = -31</t>
  </si>
  <si>
    <t>575608, 581140, 581141, 581824, 581825</t>
  </si>
  <si>
    <t>SONDERFAHRT 2022/207-5</t>
  </si>
  <si>
    <t>580624, 580625, 580626, 580627</t>
  </si>
  <si>
    <t>SONDERFAHRT 2022/207-6</t>
  </si>
  <si>
    <t>584527, 584528, 584529, 584530, 584531, 584532, 584533, 584534, 584535, 584536, 584537, 584538, 584539, 584540, 584541, 584542, 584543, 584544, 584545, 584546, 584547, 584548, 584450, 584451, 584452, 584453, 584454, 584455, 584456, 584457, 584458, 584459, 584460, 584461, 584462, 584463, 584464, 584465, 584466, 584467</t>
  </si>
  <si>
    <t>Direktanlieferung am 22.08.22_1 PANPHARMA /// SALDO:695 (VERFÜGBAR = -53)</t>
  </si>
  <si>
    <t>SONDERFAHRT 2022/207-7+8</t>
  </si>
  <si>
    <t>Einlagerung aus Direktanlieferung am 22.08.22_1 PANPHARMA
SALDO:695 (VERFÜGBAR = -53)</t>
  </si>
  <si>
    <t>583052, 583207, 583208, 583209, 581826, 581827, 581828, 582478, 582479, 582480, 582481, 582966, 582967, 582968, 582969, 582970, 582971, 582972, 582973, 582974, 582975, 582976, 582977, 582978, 580792, 580793, 580794, 580795, 575609, 575610, 575611, 575612, 584690, 573207, 573209, 573210</t>
  </si>
  <si>
    <t>Direktanlieferung am 22.08.22_1 PANPHARMA /// ENTLADESCHADEN: 2PAL N322295</t>
  </si>
  <si>
    <t>584682, 584683, 584684, 584685, 584686, 584687, 584688, 584689, 584690, 584691, 584692, 584693, 584694, 584695, 584696, 584697, 584698, 584699, 584700, 584701, 584702, 584703, 584704, 584706, 584707, 584708, 584709, 584710, 584711, 584712, 584713
SALDO:695 (VERFÜGBAR = -53)</t>
  </si>
  <si>
    <t>583643, 583345, 583346, 583347, 583348, 583349, 583210, 583211, 583212, 583213, 580706, 580707, 580708, 581829, 581830, 581831, 581832, 581833, 570281, 556398, 556939, 556940, 573235</t>
  </si>
  <si>
    <t>SONDERFAHRT 2022/220-1</t>
  </si>
  <si>
    <t>584897, 584898, 584899, 584900, 584901, 584902, 584903, 584904, 584905, 584906, 584969, 584970, 584860, 584861, 584863, 584864, 584865, 584866, 584867, 584868, 584857</t>
  </si>
  <si>
    <t>Direktanlieferung am 05.09.22_1 PANPHARMA</t>
  </si>
  <si>
    <t>585184, 585185, 585186, 585187, 585188, 585189, 585190</t>
  </si>
  <si>
    <t>Einlagerung aus Direktanlieferung am 05.09.22_1 PANPHARMA
SALDO: 664 (Verfügbar: -22)</t>
  </si>
  <si>
    <t>Direktanlieferung am 07.09.22_1 PANPHARMA</t>
  </si>
  <si>
    <t>Einlagerung aus Direktanlieferung am 07.09.22_1 PANPHARMA
SALDO: 693 (Verfügbar: -51)</t>
  </si>
  <si>
    <t>585291, 585292, 585293, 585294, 585295, 585296, 585297, 585298, 585299, 585300, 585301, 585302, 585303, 585304, 585305, 585306, 585307, 585308, 585309, 585310, 585311, 585312, 585313, 585314, 585315, 585316, 585317, 585318, 585319</t>
  </si>
  <si>
    <t>567658, 567659, 567660, 567661, 567662, 567663, 567664, 567665, 567666, 567667, 567668, 567669, 567670, 567671, 583350, 583351, 583352, 583353, 583354, 582121, 582122, 583055, 583056, 585184, 585185, 583226, 583227, 582482, 582483, 581834, 581835, 581836, 581837, 581838, 581839, 573236</t>
  </si>
  <si>
    <t>SONDERFAHRT 2022/220-1
SALDO: 657 (Verfügbar: -15)</t>
  </si>
  <si>
    <t>SONDERFAHRT 2022/232-1
SALDO: 667 (Verfügbar: -25)</t>
  </si>
  <si>
    <t>585516, 585517, 585518, 585519, 585520, 585521, 585522, 585523, 585524, 585525</t>
  </si>
  <si>
    <t>SONDERFAHRT 2022/232-2
SALDO: 660 (Verfügbar: -18)</t>
  </si>
  <si>
    <t>583355, 583356, 583357, 583358, 583359, 583360, 583361</t>
  </si>
  <si>
    <t>583362, 583363, 583364, 583365, 583366, 583367, 583368, 583369, 583370, 583371, 583228, 583229, 583057, 583058, 583059, 583060, 583061, 583250</t>
  </si>
  <si>
    <t>SONDERFAHRT 2022/232-3
SALDO: 642 (Verfügbar: 0)</t>
  </si>
  <si>
    <t>Direktanlieferung am 19.09.22_1 PANPHARMA</t>
  </si>
  <si>
    <t>Einlagerung aus Direktanlieferung am 19.09.22_1 PANPHARMA
SALDO: 670 (Verfügbar: -28)</t>
  </si>
  <si>
    <t>SONDERFAHRT o.B.</t>
  </si>
  <si>
    <t>585864, 585865, 585866, 585867, 585868, 585869, 585870, 585871, 585872, 585873, 585874, 585875, 585876, 585877, 585878, 585879, 585880, 585881, 585882, 585883, 585884, 585885, 585886, 585887, 585888, 585889, 585890, 585891</t>
  </si>
  <si>
    <t>584547, 584548
MUSTERZUG je 1 Tray aus: 585864, 585865, 585866, 585891</t>
  </si>
  <si>
    <t>Direktanlieferung am 21.09.22_1 PANPHARMA</t>
  </si>
  <si>
    <t>Einlagerung aus Direktanlieferung am 21.09.22_1 PANPHARMA
SALDO: 679 (Verfügbar: -37)</t>
  </si>
  <si>
    <t>582957, 582958, 582959, 582960, 582961, 582962, 582963</t>
  </si>
  <si>
    <t>SONDERFAHRT 2022/232-4</t>
  </si>
  <si>
    <t>585893, 585894, 585895</t>
  </si>
  <si>
    <t>584706, 584707, 584708, 584709, 584710, 584711, 584682, 584683, 582303, 582304, 582305, 583251, 583252, 582308, 582309, 582409, 582410, 582411, 582412</t>
  </si>
  <si>
    <t>SONDERFAHRT 2022/232-5
SONDERFAHRT 2022/232-6</t>
  </si>
  <si>
    <t>586022, 586023, 586024, 586025, 586026, 586027, 586028, 586029, 586030, 586031, 586032</t>
  </si>
  <si>
    <t>Direktanlieferung am 27.09.22_1 PANPHARMA
SALDO: 685 (Verfügbar: -43)</t>
  </si>
  <si>
    <t>583372, 583373, 583374, 583375, 583376, 584527, 584528, 577172, 577173, 578461, 578462, 584529, 584530, 584531, 584532, 584533</t>
  </si>
  <si>
    <t xml:space="preserve">SONDERFAHRT 2022/241-1
</t>
  </si>
  <si>
    <t>586198, 586200, 586202, 586203, 586204, 586205, 586206</t>
  </si>
  <si>
    <t>586242, 586243, 586244, 586245, 586246, 586247, 586248, 586249, 586250, 586251, 
586252, 586253, 586255, 586256, 586257, 586258, 586259, 586260, 586261, 586262, 
586263, 586264, 586265, 586266, 586267, 586268, 586269, 586270, 586271</t>
  </si>
  <si>
    <t>Einlagerung aus Direktanlieferung am 27.09.22_1 PANPHARMA
SALDO: 676 (Verfügbar: -34)</t>
  </si>
  <si>
    <t>Direktanlieferung am 27.09.22_2 PANPHARMA
SALDO: 688 (Verfügbar: -46)</t>
  </si>
  <si>
    <t>Einlagerung aus Direktanlieferung am 27.09.22_2 PANPHARMA</t>
  </si>
  <si>
    <t>586275, 586276, 586277, 586278, 586279, 586280, 586281, 586282, 586283, 586284, 586285, 586286</t>
  </si>
  <si>
    <t>584534, 584535, 584536, 584537, 584538, 580634, 585186, 582310, 582311, 582312, 584684, 570282, 570283, 583253, 583254, 583255, 583256, 583257, 584702, 584703, 584704</t>
  </si>
  <si>
    <t>SONDERFAHRT 2022/</t>
  </si>
  <si>
    <t>584539, 584540, 584541, 584542, 584543, 584544, 584545, 584546, 585864, 585865, 584685, 584686, 583258, 583259</t>
  </si>
  <si>
    <t>SONDERFAHRT 2022/252-1</t>
  </si>
  <si>
    <t>Direktanlieferung am 07.10.22_1 PANPHARMA
SALDO: 678 (Verfügbar: -36)</t>
  </si>
  <si>
    <t>Einlagerung aus Direktanlieferung am 07.10.22_1 PANPHARMA</t>
  </si>
  <si>
    <t>586672, 586673, 586674, 586675, 586676, 586677, 586678, 586679, 586680, 586681, 586682, 586683, 586684, 586685, 586686, 586687, 586688, 586689, 586690, 586691, 586692, 586693, 586694, 586695, 586696</t>
  </si>
  <si>
    <t>Direktanlieferung am 10.10.22_1 PANPHARMA
SALDO: 688 (Verfügbar: -46)</t>
  </si>
  <si>
    <t>Einlagerung aus Direktanlieferung am 10.10.22_1 PANPHARMA</t>
  </si>
  <si>
    <t>586792, 586793, 586794, 586795, 586796, 586797, 586798, 586799, 586801, 586802</t>
  </si>
  <si>
    <t>585866, 585867, 585868, 583062, 583063, 583064, 581840, 581841, 585187, 585188, 584691, 586793, 582313, 582314, 582315, 582316, 582317</t>
  </si>
  <si>
    <t>Direktanlieferung am 14.10.22_1 PANPHARMA
SALDO: 681 (Verfügbar: -39)</t>
  </si>
  <si>
    <t>Einlagerung aus Direktanlieferung am 14.10.22_1 PANPHARMA</t>
  </si>
  <si>
    <t>586991, 586992, 586993, 586994, 586995, 586996, 586997, 586998, 586999, 586700</t>
  </si>
  <si>
    <t>587062, 587063, 587064, 587065, 587066, 587057, 587058, 587059, 587060, 587061, 587052, 587053, 587054, 587055, 587056</t>
  </si>
  <si>
    <t>SONDERFAHRT 2022/265-1
SALDO: 696 (Verfügbar: -54)</t>
  </si>
  <si>
    <t>SONDERFAHRT 2022/265-2</t>
  </si>
  <si>
    <t>585189, 585190, 585516, 585517, 585869, 585870, 585871, 585872, 585873, 585874, 585875, 580796, 580797, 583260, 583261, 577174, 577175</t>
  </si>
  <si>
    <t>SONDERFAHRT 2022/265-3</t>
  </si>
  <si>
    <t>584294, 584295, 584296, 584297, 584298, 584299, 584300, 584301</t>
  </si>
  <si>
    <t>584692, 584693, 584294</t>
  </si>
  <si>
    <t>Paletten bereitstellen für Eb-Nummernänderung</t>
  </si>
  <si>
    <t>Handling Zwischenlager Block - Paletten labeln
587382, 587383, 587384, 587385, 587386, 587387, 587388, 587389</t>
  </si>
  <si>
    <t>Eb-Nummernänderung; Wiedereinlagerung</t>
  </si>
  <si>
    <t>587459, 587460, 587461, 587462, 587463, 587464, 587465, 587466, 587467, 587468, 587469, 587470, 587471, 587472, 587473, 587474, 587475, 587476, 587477, 587478, 587479, 587480, 587481, 587482, 587483, 587484, 587485, 587486, 587487, 587488, 587489, 587490, 587491, 587492, 587493, 587494, 587495, 587496</t>
  </si>
  <si>
    <t>Direktanlieferung am 24.10.22_1 PANPHARMA
SALDO: 721 (Verfügbar: -79)</t>
  </si>
  <si>
    <t>Einlagerung aus Direktanlieferung am 24.10.22_1 PANPHARMA</t>
  </si>
  <si>
    <t>Direktanlieferung am 26.10.22_1 PANPHARMA
SALDO: 742 (Verfügbar: -100)</t>
  </si>
  <si>
    <t>Einlagerung aus Direktanlieferung am 26.10.22_1 PANPHARMA</t>
  </si>
  <si>
    <t>587649, 587650, 587651, 587652, 587653, 587654, 587655, 587656, 587657, 587658, 587659, 587660, 587661, 587662, 587663, 587664, 587665, 587666, 587667, 587668, 587669</t>
  </si>
  <si>
    <t>Musterzug je 1 Tray aus:
587467, 587473, 587469, 587471, 587649, 587650, 587658, 587656, 587668</t>
  </si>
  <si>
    <t>585876, 585877, 585878, 585879, 585880, 585881, 585882, 585883, 585884, 585885, 582318, 582320, 583465, 583466, 583236, 585291, 585292, 580798</t>
  </si>
  <si>
    <t>SONDERFAHRT 2022/270-2</t>
  </si>
  <si>
    <t>SONDERFAHRT 2022/270-1</t>
  </si>
  <si>
    <t>585519, 585520, 585521, 578463, 578465</t>
  </si>
  <si>
    <t>SONDERFAHRT 2022/270-3
SALDO: 719 (Verfügbar: -77)</t>
  </si>
  <si>
    <t>585886, 585887, 585888, 585889, 585890, 585891, 587459, 587460, 587461, 587462, 583467, 583468, 587382, 587383, 577176, 577177, 585293, 585294, 585295</t>
  </si>
  <si>
    <t>SONDERFAHRT  2022/278-1</t>
  </si>
  <si>
    <t>585518, 585522, 585523</t>
  </si>
  <si>
    <t>SONDERFAHRT  2022/283-1</t>
  </si>
  <si>
    <t>SONDERFAHRT  2022/283-2</t>
  </si>
  <si>
    <t>588121, 588122, 588123, 588124, 588125, 588126, 588127, 588128</t>
  </si>
  <si>
    <t>SONDERFAHRT  2022/283-3</t>
  </si>
  <si>
    <t>587463, 587464, 587465, 587466, 587467, 587468, 587469, 587470, 587471, 587384, 587385, 587386, 587387, 583469, 583470, 583471, 584897, 584898, 584899, 584900, 584901, 585296, 585297, 584125, 584126, 584127</t>
  </si>
  <si>
    <t>eb0000083</t>
  </si>
  <si>
    <t>SONDERFAHRT  2022/283-4</t>
  </si>
  <si>
    <t>Direktanlieferung am 14.11.22_1 PANPHARMA
SALDO: 688 (Verfügbar: -46)</t>
  </si>
  <si>
    <t>Einlagerung aus Direktanlieferung am 14.11.22_1 PANPHARMA</t>
  </si>
  <si>
    <t>Musterzug je 1 Tray von:
588467, 588468, 588469, 588470, 588471, 588472, 588473, 588474, 588475, 588476</t>
  </si>
  <si>
    <t>588467, 588468, 588469, 588470, 588471, 588472, 588473, 588474, 588475, 588476</t>
  </si>
  <si>
    <t>567672, 567673, 567674, 567675, 567676, 567677, 580635, 580636, 580637, 582124, 582125, 582126, 582127, 582128, 582129, 582130, 582131, 582132, 583000, 577178, 577179, 577180, 585299, 585300, 584141, 000140, 584712, 584713</t>
  </si>
  <si>
    <t>SONDERFAHRT  2022/293-1</t>
  </si>
  <si>
    <t>588701, 588702, 588703, 588704, 588705, 588706, 588707</t>
  </si>
  <si>
    <t>Direktanlieferung am 17.11.22_1 PANPHARMA
SALDO: 667 (Verfügbar: -25)</t>
  </si>
  <si>
    <t>Einlagerung aus Direktanlieferung am 17.11.22_1 PANPHARMA</t>
  </si>
  <si>
    <t>Einlagerung aus Direktanlieferung am 18.11.22_1 PANPHARMA</t>
  </si>
  <si>
    <t>567678, 567679, 567680, 567681, 567682, 567683, 567684, 567685, 567686, 567687, 567688, 567689, 567690, 567691, 567692, 567693, 567694, 584587</t>
  </si>
  <si>
    <t>SONDERFAHRT  2022/294-1</t>
  </si>
  <si>
    <t>Direktanlieferung am 21.11.22_1 PANPHARMA
SALDO: 698 (Verfügbar: -56)</t>
  </si>
  <si>
    <t>Einlagerung aus Direktanlieferung am 21.11.22_1 PANPHARMA</t>
  </si>
  <si>
    <t>588878, 588879, 588880, 588881, 588882, 588883, 588884, 588885, 588886, 588887, 588888, 588889, 588890, 588891, 588892, 588893</t>
  </si>
  <si>
    <t>588836, 588837, 588838, 588839, 588840, 588841, 588842, 588843, 588844, 588845, 588846, 588847, 588848, 588849, 588850, 588851, 588852, 588853, 588854, 588855, 588856, 588857, 588858, 588859, 588860, 588861, 588862, 588863, 588864, 588865, 588866, 588867, 588868</t>
  </si>
  <si>
    <t>Musterzug je 1 Tray von:
588840, 588855, 588859</t>
  </si>
  <si>
    <t>Handling Zwischenlager Block - 2x Paletten labeln</t>
  </si>
  <si>
    <t>Direktanlieferung am 18.11.22_1 PANPHARMA
SALDO: 700 (Verfügbar: -58) // Mehrfach im Zwischenlager umgeräumt; gelabelt mit EB-Nummer + rotem Hinweiszeittel</t>
  </si>
  <si>
    <t>Direktanlieferung am 23.11.22_1 PANPHARMA
SALDO: 715 (Verfügbar: -73)</t>
  </si>
  <si>
    <t>Einlagerung aus Direktanlieferung am 23.11.22_1 PANPHARMA</t>
  </si>
  <si>
    <t>589044, 589045, 589046, 589047, 589048, 589049, 589050, 589051, 589052, 589053, 589054, 589055, 589056, 589057, 589058, 589059, 589060</t>
  </si>
  <si>
    <t>587078, 587079, 587081, 587082, 587083, 587084, 587085, 587086, 587087, 587088, 587089, 587090, 587091, 587092, 587093, 587094, 587095, 589065</t>
  </si>
  <si>
    <t>SONDERFAHRT  2022/294-2
SALDO: 733 (Verfügbar: -91)</t>
  </si>
  <si>
    <t>SONDERFAHRT  2022/294-3</t>
  </si>
  <si>
    <t>583009, 583010, 580638, 580639, 580640, 584695, 584696, 584128, 584129, 584142, 578466, 584969, 584970, 585524, 585525, 583001, 583002, 583003, 583004, 583005, 583006, 583007, 583008</t>
  </si>
  <si>
    <t>Direktanlieferung am 28.11.22_1 PANPHARMA
SALDO: 718 (Verfügbar: -76)</t>
  </si>
  <si>
    <t>Einlagerung aus Direktanlieferung am 28.11.22_1 PANPHARMA</t>
  </si>
  <si>
    <t>589349, 589351, 589352, 589353, 589354, 589356, 589357</t>
  </si>
  <si>
    <t>Musterzug je 1 Tray pro Palette aus
589349, 589351, 589352, 589353, 589354, 589356, 589357</t>
  </si>
  <si>
    <t>Musterzug 2 Trays aus 588839</t>
  </si>
  <si>
    <t>584697, 584698</t>
  </si>
  <si>
    <t>Direktanlieferung am 30.11.22_1 PANPHARMA
SALDO: 726 (Verfügbar: -84)</t>
  </si>
  <si>
    <t>587472, 587473, 587474, 587475, 587476, 587477, 585298, 585301, 580803, 584130, 584131, 577181, 584699, 584700, 584701, 584902, 584903</t>
  </si>
  <si>
    <t>SONDERFAHRT 2022/299-1</t>
  </si>
  <si>
    <t>589577, 589578, 589579, 589580, 589581, 589582, 589583, 589584, 589585, 589586</t>
  </si>
  <si>
    <t>589770, 589771, 589772, 589773, 589774, 589775, 589776, 589777, 589778, 589779, 589780, 589781, 589782, 589783, 589784</t>
  </si>
  <si>
    <t>SONDERFAHRT 2022/299-2</t>
  </si>
  <si>
    <r>
      <t xml:space="preserve">nur das Vorhandensein der EB-Nummern abgleichen. </t>
    </r>
    <r>
      <rPr>
        <b/>
        <sz val="11"/>
        <color theme="1"/>
        <rFont val="Calibri"/>
        <family val="2"/>
        <scheme val="minor"/>
      </rPr>
      <t xml:space="preserve"> = 615 (EB-Pal) am 08.12.2022</t>
    </r>
  </si>
  <si>
    <t xml:space="preserve">Vereinfachte Inventur Lagerbestand per 08.01.2022: 615 Paletten *0,5 Aufwand </t>
  </si>
  <si>
    <t>Einlagerung aus Direktanlieferung am 12.12.22_1 PANPHARMA</t>
  </si>
  <si>
    <t>583472, 583473, 583474, 583618, 583619, 583620, 587388, 587389, 588121, 588122, 587478, 587479, 587480, 587481, 587482, 587483, 587484, 587485, 587486, 587487, 586991, 586992, 586275, 586276, 586277, 584143</t>
  </si>
  <si>
    <t>590049, 590050, 590051, 590052, 590053, 590054, 590055, 590056, 590057, 590058, 590059, 590060, 590061, 590062, 590063, 590064, 590065, 590066, 590067, 590068, 590069, 590070, 590071, 590072, 590073, 590074, 590075, 590076, 590077, 590078</t>
  </si>
  <si>
    <t>Direktanlieferung am 14.12.22_1 PANPHARMA
SALDO: 736 (Verfügbar: --94)</t>
  </si>
  <si>
    <t>Einlagerung aus Direktanlieferung am 14.12.22_1 PANPHARMA</t>
  </si>
  <si>
    <t>590222, 590223, 590224, 590225, 590226, 590227, 590228, 590229</t>
  </si>
  <si>
    <t>587488, 587489, 587490, 587491, 587492, 587493, 587494, 587495, 587496, 583621, 588123, 584904, 584905, 584906, 583197, 583198, 583199, 577182, 577183, 578467, 578468, 584687, 584688, 586242, 586243, 586244, 586245, 584144, 584145, 585315, 585316, 585317</t>
  </si>
  <si>
    <t>SONDERFAHRT 2022/301-1</t>
  </si>
  <si>
    <t>SONDERFAHRT 2022/301-2</t>
  </si>
  <si>
    <t>590081, 590082, 590083, 590084, 590085, 590086</t>
  </si>
  <si>
    <t>Direktanlieferung am 16.12.22_1 PANPHARMA
SALDO: 715 (Verfügbar: --73)</t>
  </si>
  <si>
    <t>Einlagerung aus Direktanlieferung am 16.12.22_1 PANPHARMA</t>
  </si>
  <si>
    <t>Direktanlieferung am 19.12.22_1 PANPHARMA
SALDO: 744 (Verfügbar: --102)</t>
  </si>
  <si>
    <t>Einlagerung aus Direktanlieferung am 19.12.22_1 PANPHARMA</t>
  </si>
  <si>
    <t>Direktanlieferung am 12.12.22_1 PANPHARMA
SALDO: 754 (Verfügbar: --112)</t>
  </si>
  <si>
    <t>590414, 590415, 590416, 590417, 590418</t>
  </si>
  <si>
    <t>590419, 590420, 590421, 590422, 590423, 590424, 590425, 590426, 590427, 590428, 590429, 590430, 590431, 590432, 590433, 590434, 590435, 590436, 590437, 590438, 590439, 590440, 590441, 590442, 590443, 590444, 590445, 590446, 590447</t>
  </si>
  <si>
    <t>Einlagerung aus Direktanlieferung am 20.12.22_1 PANPHARMA</t>
  </si>
  <si>
    <t>Direktanlieferung am 20.12.22_1 PANPHARMA
SALDO: 769 (Verfügbar: --127)</t>
  </si>
  <si>
    <t>589770, 583645, 583646, 583647, 583648, 583649, 583650, 583651, 583652, 583653, 583654, 583655, 583656, 583657, 583658, 586993, 583200, 583201, 583202, 583203, 583204, 570284, 570285, 589052, 589053, 577184</t>
  </si>
  <si>
    <t>SONDERFAHRT 2022/301-3</t>
  </si>
  <si>
    <t>590505, 590506, 590507, 590508, 590509, 590510, 590511, 590512, 590513, 590514, 590515, 590516, 590517, 590518, 590519, 590520, 590521, 590522, 590523, 590524, 590525, 590526, 590527, 590528, 590529</t>
  </si>
  <si>
    <t>590669, 590670, 590671, 590672, 590673</t>
  </si>
  <si>
    <t>SONDERFAHRT 2022/306-1</t>
  </si>
  <si>
    <t>SONDERFAHRT 2022/306-2</t>
  </si>
  <si>
    <t>589577, 589578, 589579, 589580, 589581, 589582, 589583, 589584, 589585, 589586, 583011, 583012, 583013, 583014, 583015, 583016</t>
  </si>
  <si>
    <t>584450, 584451, 584452, 584453, 584454</t>
  </si>
  <si>
    <t>Direktanlieferung am 09.01.23_1 PANPHARMA
SALDO: 760 (Verfügbar: --118)</t>
  </si>
  <si>
    <t>Einlagerung aus Direktanlieferung am 09.01.23_1 PANPHARMA</t>
  </si>
  <si>
    <t>591133, 591134, 591135, 591136, 591137, 591138, 591139, 591140, 591141, 591142, 591143, 591144, 591145, 591146, 591147, 591148, 591149, 591161, 591162, 591163, 591164, 591165, 591166, 591167, 591168, 591169, 591170, 591171, 591172, 591173, 591174, 591175, 591176, 591177, 591178, 591179</t>
  </si>
  <si>
    <t>584455, 588836, 590081, 583017, 583018, 583019, 583020, 586794, 583309, 589054, 570288, 584146, 584132, 585318, 585319, 586265</t>
  </si>
  <si>
    <t>SONDERFAHRT 2023/7-1</t>
  </si>
  <si>
    <t>SONDERFAHRT 2023/7-2</t>
  </si>
  <si>
    <t>SONDERFAHRT 2023/7-3</t>
  </si>
  <si>
    <t>584456, 584457</t>
  </si>
  <si>
    <t>Direktanlieferung am 11.01.23_1 PANPHARMA
SALDO: 772 (Verfügbar: --130)</t>
  </si>
  <si>
    <t>Einlagerung aus Direktanlieferung am 11.01.23_1 PANPHARMA</t>
  </si>
  <si>
    <t>591322, 591323, 591324, 591325, 591326, 591327, 591329, 591331, 591332, 591333, 591334, 591335, 591336, 591337, 591338, 591339, 591340, 591341, 591342, 591343, 591344, 591345, 591346, 591347, 591348, 591349, 591350, 591351, 591352, 591353</t>
  </si>
  <si>
    <t>SONDERFAHRT 2023/7-4</t>
  </si>
  <si>
    <t>583644, 583659, 583660, 583661, 583662, 583663, 583664, 587649, 587650, 587651, 587652, 587653, 587654, 582306, 587052, 590082, 590083, 590084, 590085, 590086, 590669, 583021, 583022, 583023, 583024, 583025, 591133, 591134, 577186, 577187, 585302, 585303, 570289, 582425, 584133, 591329</t>
  </si>
  <si>
    <t>Direktanlieferung am 16.01.23_1 PANPHARMA
SALDO: 756 (Verfügbar: --114)</t>
  </si>
  <si>
    <t>Einlagerung aus Direktanlieferung am 16.01.23_1 PANPHARMA</t>
  </si>
  <si>
    <t>591554, 591555, 591556, 591557, 591558, 591559, 591560, 591561, 591562, 591563, 591564, 591565, 591566, 591567, 591568, 591569, 591570, 591571, 591572, 591573</t>
  </si>
  <si>
    <t>MUSTERZUG je 2 Trays aus:
591554, 591555, 591561, 591562</t>
  </si>
  <si>
    <t>SONDERFAHRT 2023/13-1</t>
  </si>
  <si>
    <t>587078, 587079, 587081, 587082, 587083, 587084, 587085, 589065, 582307, 589771, 589772, 589773, 589774, 589775, 589776, 589777, 589778, 589779, 560212, 560213, 583026, 583027, 583028, 583029, 583030, 583031, 583032, 583136, 582413, 584134, 586255, 584147, 584148, 588124, 588125</t>
  </si>
  <si>
    <t>Direktanlieferung am 23.01.23_1 PANPHARMA
SALDO: 753 (Verfügbar: --111)</t>
  </si>
  <si>
    <t>MUSTERZUG je 1 Tray aus Direktanlieferung vom 23.01.23_1</t>
  </si>
  <si>
    <t>Einlagerung aus Direktanlieferung am 23.01.23_1 PANPHARMA</t>
  </si>
  <si>
    <t>592025, 592026, 592027, 592028, 592029, 592030, 592031, 592032, 592033, 592034, 592035, 592036, 592037, 592038, 592039, 592040, 592041, 592042, 592043, 592044, 592045, 592046, 592047, 592048, 592049, 592050, 592051, 592052, 592053, 592054, 592055, 592056</t>
  </si>
  <si>
    <t>589780, 589781, 589782, 589783, 589784, 590419, 583622, 583623, 588467, 588468, 588126, 586994, 586995, 586996, 586997, 586998, 586999, 587000, 590414, 590415, 590416, 591135, 577188</t>
  </si>
  <si>
    <t>SONDERFAHRT 2023/13-2</t>
  </si>
  <si>
    <t>581844, 581845, 590525, 590526</t>
  </si>
  <si>
    <t>SONDERFAHRT 2023/13-3</t>
  </si>
  <si>
    <t>SONDERFAHRT 2023/20-1</t>
  </si>
  <si>
    <t>590420, 590421, 590422, 590423, 590424, 590425, 590426, 590427, 590428, 590429, 588469, 588127, 588128, 583137, 583138, 583139, 583140, 583141, 565884, 565885, 584149, 584150, 591162, 577189, 586795</t>
  </si>
  <si>
    <t>593458, 593459, 593460, 593461, 593462, 593463, 593464, 593465, 593466, 593467, 593468, 593469, 593470, 593471, 593472, 593473, 593474, 593475, 593476, 593477, 593555, 593556, 593557, 593558</t>
  </si>
  <si>
    <t>Direktanlieferung am 06.02.23_1 PANPHARMA
SALDO: 758 (Verfügbar: --116)</t>
  </si>
  <si>
    <t>Einlagerung Direktanlieferung am 06.02.23_1 PANPHARMA</t>
  </si>
  <si>
    <t>MUSTERZUG je 1 Tray aus Direktanlieferung vom 06.02.23_1</t>
  </si>
  <si>
    <t>590430, 590431, 590432, 590433, 590434, 590435, 590436, 587655, 588470, 588471, 586278, 586279, 586280, 585304, 591331, 583310</t>
  </si>
  <si>
    <t>SONDERFAHRT 2023/20-2</t>
  </si>
  <si>
    <t>593712, 593713, 593714, 593715, 593716, 593717, 593718, 593719, 593720, 593721, 593722, 593723, 593724, 593725, 593726, 593727, 593728, 593729, 593730, 593731, 593732, 593733, 593734, 593735, 593736, 593737, 593738, 593739, 593740, 593741, 593742, 593743, 593744</t>
  </si>
  <si>
    <t>593801, 593802, 593803, 593804, 593805, 593807, 593810, 593811</t>
  </si>
  <si>
    <t>590437, 590438, 590439, 590440, 590441, 590442, 588472, 588473, 588474, 583205, 590670, 590671, 591332, 591333, 591334, 591335, 591163, 586256, 577192</t>
  </si>
  <si>
    <t>SONDERFAHRT 2023/36-1</t>
  </si>
  <si>
    <t>Direktanlieferung am 16.02.23_1 PANPHARMA
SALDO: 748 (Verfügbar: --106)</t>
  </si>
  <si>
    <t>Einlagerung aus Direktanlieferung am 16.02.23_1 PANPHARMA</t>
  </si>
  <si>
    <t>Direktanlieferung am 20.02.23_1 PANPHARMA
SALDO: 758 (Verfügbar: --116)</t>
  </si>
  <si>
    <t>Einlagerung aus Direktanlieferung am 20.02.23_1 PANPHARMA</t>
  </si>
  <si>
    <t>594424, 594425, 594426, 594427, 594428, 594429, 594430, 594431, 594432, 594433, 594434, 594435, 594437, 582686, 594438, 594439, 582687</t>
  </si>
  <si>
    <t>594589, 594590, 594591, 594592, 594593, 594594, 594595, 594596, 594597, 594598</t>
  </si>
  <si>
    <t>MUSTERZUG je 1 Tray von 582686, 594438</t>
  </si>
  <si>
    <t xml:space="preserve">MUSTERZUG je 2x Trays aus Ch.Nr. N322572, Ch.Nr. N334037 </t>
  </si>
  <si>
    <t>588475, 588476, 590443, 590444, 590445, 590446, 590447, 592025, 592026, 592027, 592028, 592029, 583142, 583143, 583144, 583145, 583146, 586672, 586673, 591336, 586257, 586258, 583311</t>
  </si>
  <si>
    <t>SONDERFAHRT 2023/36-2</t>
  </si>
  <si>
    <t>594675, 594676, 594677, 594678</t>
  </si>
  <si>
    <t>000002, 000003, 000004, 000021, 000043, 000044, 000048, 000049, 000058, 000081, 000084, 000085, 000088, 000119, 000120, 000142, 000146, 000147, 000060, 000045, 000025, 000061</t>
  </si>
  <si>
    <t>590417, 590418</t>
  </si>
  <si>
    <t>SONDERFAHRT 2023/36-3</t>
  </si>
  <si>
    <t>Direktanlieferung am 24.02.23_1 PANPHARMA
SALDO: 725 (Verfügbar: --83)</t>
  </si>
  <si>
    <t>Einlagerung aus Direktanlieferung am 24.02.23_1 PANPHARMA</t>
  </si>
  <si>
    <t>MUSTERZUG je 2x Trays von 2 Paletten aus  Ch.Nr. 563949 (DA 24.02.23_1)</t>
  </si>
  <si>
    <t>594790, 594791, 594792, 594793, 594794, 594795, 594796, 594797, 594798, 594799</t>
  </si>
  <si>
    <t>Direktanlieferung am 27.02.23_1 PANPHARMA
SALDO: 744 (Verfügbar: --102)</t>
  </si>
  <si>
    <t>Einlagerung aus Direktanlieferung am 27.02.23_1 PANPHARMA</t>
  </si>
  <si>
    <t>Einlagerung aus Direktanlieferung am 27.02.23_2 PANPHARMA</t>
  </si>
  <si>
    <t>Direktanlieferung am 27.02.23_2 PANPHARMA
SALDO: 762 (Verfügbar: --120)</t>
  </si>
  <si>
    <t>MUSTERZUG je 1 Tray aus Ch.Nr. 232221352 + 232221403 (DA 27.02.23_2)</t>
  </si>
  <si>
    <t>594807, 594808, 594809, 594810, 594811, 594812, 594813, 594814, 594815, 594816, 594817, 594818, 594819, 594820, 594821, 594822, 594823, 594824, 594825</t>
  </si>
  <si>
    <t>SONDERFAHRT 2023/36-4</t>
  </si>
  <si>
    <t>594883, 594884, 594885, 594886, 594887, 594888, 594889, 594890, 594891, 594892, 594893, 594894, 594895, 594896, 594897, 594898, 594899, 594900</t>
  </si>
  <si>
    <t>Direktanlieferung am 01.03.23_1 PANPHARMA
SALDO: 775 (Verfügbar: --133)</t>
  </si>
  <si>
    <t>Einlagerung aus Direktanlieferung am 01.03.23_1 PANPHARMA</t>
  </si>
  <si>
    <t>584458, 584459, 584460, 584461, 584462, 584463, 584464, 584465, 564238, 564239, 582636, 582637, 582638, 583230, 590672, 590673, 591136, 591137, 591138, 591337, 586259, 586266, 586267, 000069, 468242, 535849, 502800</t>
  </si>
  <si>
    <t>SONDERFAHRT 2023/45-1</t>
  </si>
  <si>
    <t>594992, 594993, 594994, 594995, 594996, 594997, 594998, 595000, 595001, 595002, 595003, 595004, 595005, 595006</t>
  </si>
  <si>
    <t>587656, 587657, 587658, 587086, 587087, 584860, 594992, 557786, 587053, 588837, 588838, 588839, 583231</t>
  </si>
  <si>
    <t>SONDERFAHRT 2023/45-2</t>
  </si>
  <si>
    <t>Bereitstellung zur Prüfung für Herrn Ihde (08.03.23 / 08:00)</t>
  </si>
  <si>
    <t>000096, 000097, 000110, 000127, 000132</t>
  </si>
  <si>
    <t>SONDERFAHRT 2023/45-3</t>
  </si>
  <si>
    <t>SONDERFAHRT 2023/45-4</t>
  </si>
  <si>
    <t>MUSTERZUG je 1x Tray von 594807, 594808, 594809, 594816</t>
  </si>
  <si>
    <t>592030, 592031, 592032, 592033, 592034, 579747, 579748, 579749, 579750, 579751, 579752, 579753, 591338, 591339, 591340, 577193, 577194, 586246</t>
  </si>
  <si>
    <t>SONDERFAHRT 2023/45-5</t>
  </si>
  <si>
    <t>595291, 595292, 595293, 595294</t>
  </si>
  <si>
    <t>592035, 592036, 592037, 592038, 592039, 592040, 592041, 592042, 592043, 592044, 594893, 594894, 591341, 591342, 591343, 591344, 589055, 591164, 591165, 586260, 586261, 586262, 577196, 577197, 577198, 583312</t>
  </si>
  <si>
    <t>SONDERFAHRT 2023/56-1</t>
  </si>
  <si>
    <t>Direktanlieferung am 17.03.23_1 PANPHARMA
SALDO: 724 (Verfügbar: --82)</t>
  </si>
  <si>
    <t>Einlagerung aus Direktanlieferung am 17.03.23_1 PANPHARMA</t>
  </si>
  <si>
    <t>596029, 596030, 596031, 596032, 596033, 596034, 596035, 596036, 596037, 596038, 593039, 596040, 596041, 596042, 596043, 596044, 596045, 596046, 596047, 596048, 596049, 596050, 596051, 596052, 596053, 596054, 596055, 596056, 596057, 596058, 596059</t>
  </si>
  <si>
    <t>144 Pal *0,75 Aufwand / Inventur per 31.12.2022 
auf Anforderung Deloitte Wirtschaftsprüfungsgesllschaft</t>
  </si>
  <si>
    <t>Vorhandensein der Eb-Nummern zum 31.12.23; 
mit Datum Einlagerung; mit letzem Lagerplatz; mit Datum Auslagerung
(siehe email im Ordner "Inventur 2022")</t>
  </si>
  <si>
    <t>Einlagerung aus Direktanlieferung am 20.03.23_1 PANPHARMA</t>
  </si>
  <si>
    <t>Direktanlieferung am 20.03.23_1 PANPHARMA
SALDO: 759 (Verfügbar: --117)</t>
  </si>
  <si>
    <t>596132, 596133, 596134, 596135, 596136, 596137, 596138, 596139, 596140, 596141, 596142, 596143, 596144, 596145, 596146, 596147, 596148, 596149, 596150, 596151, 596152, 596153, 596154, 596155, 596156, 596157, 596158, 596159, 596160, 596161, 596162, 596163, 596164, 596165, 596166</t>
  </si>
  <si>
    <t>Direktanlieferung am 21.03.23_1 PANPHARMA
SALDO: 776 (Verfügbar: --134)</t>
  </si>
  <si>
    <t>596267, 296268, 596269, 596270, 596271, 596272, 596273, 596274, 596275, 596276, 596277, 596278, 596279, 596280, 596281, 596282, 596283</t>
  </si>
  <si>
    <t>Einlagerung aus Direktanlieferung am 21.03.23_1 PANPHARMA</t>
  </si>
  <si>
    <t>MUSTERZUG 1 Tray aus 596275</t>
  </si>
  <si>
    <t>MUSTERZUG je 2 Trays aus: 596165, 596166 und je 1 Tray aus: 594817, 594818, 594819</t>
  </si>
  <si>
    <t>Anlieferung am 23.03.23</t>
  </si>
  <si>
    <t>592045, 592046, 592047, 592048, 592049, 592050, 592051, 592052, 592053, 592054, 582815, 582816, 582817, 591139, 591140, 591166, 580804, 577195</t>
  </si>
  <si>
    <t>SONDERFAHRT 2023/58-1</t>
  </si>
  <si>
    <t>000073 (Bereitstellung zur Begutachtung Reisswolf)</t>
  </si>
  <si>
    <t>583396, 586263, 586264, 596050, 596051, 596052, 583237, 583193, 583194, 583195, 583196, 595291, 595292, 595293, 557788, 557790, 593801, 593802</t>
  </si>
  <si>
    <t>SONDERFAHRT 2023/58-2</t>
  </si>
  <si>
    <t>596197, 596237, 596241, 596242, 596243, 596244, 596245, 596246, 596247, 596248</t>
  </si>
  <si>
    <t>Direktanlieferung am 03.04.23_1 PANPHARMA
SALDO: 780 (Verfügbar: --138)</t>
  </si>
  <si>
    <t>Einlagerung aus Direktanlieferung am 03.04.23_1 PANPHARMA</t>
  </si>
  <si>
    <t>MUSTERZUG je 1x Tray von 597041, 597024</t>
  </si>
  <si>
    <t>595294, 587055, 584861, 584863, 584864, 587088, 587089, 587090, 587091, 587092, 587093, 587094, 587095, 594592, 594591, 594590, 594589, 594593</t>
  </si>
  <si>
    <t>SONDERFAHRT 2023/74-1</t>
  </si>
  <si>
    <t>587054, 594895, 594896, 591141, 591142, 591143, 583206, 588878, 588879, 588880, 596053, 582414, 583403, 583313, 573211</t>
  </si>
  <si>
    <t>SONDERFAHRT 2023/74-2</t>
  </si>
  <si>
    <t>597017, 597018, 597019, 597020, 597021, 597022, 597023, 597024, 597025, 597026, 597027, 597028, 597029, 597030, 597031, 597032, 597033, 597034, 597035, 597036, 597037, 597038, 597039, 597040, 597041, 597045, 597046, 597047, 597048, 597049</t>
  </si>
  <si>
    <t>MUSTERZUG je 1x Tray von 597049</t>
  </si>
  <si>
    <t>592055, 592056, 593712, 594897, 594898, 594899, 594900, 596276, 582415, 586268, 586269, 591167, 591168, 591345, 591346, 583404, 583314</t>
  </si>
  <si>
    <t>SONDERFAHRT 2023/74-3</t>
  </si>
  <si>
    <t>582426, 582427</t>
  </si>
  <si>
    <t>SONDERFAHRT 2023/74-4</t>
  </si>
  <si>
    <t>Einlagerung aus Direktanlieferung am 14.04.23_1 PANPHARMA</t>
  </si>
  <si>
    <t>Direktanlieferung am 14.04.23_1 PANPHARMA
SALDO: 741 (Verfügbar: --99)</t>
  </si>
  <si>
    <t>597463, 597464, 597465, 597466, 597467, 597468, 597469, 597470, 597471, 597472, 597473, 597474, 597475</t>
  </si>
  <si>
    <t>594594, 594595, 594596, 594597, 594598, 000064, 597474, 597475, 593714, 593715, 593716, 593717, 593718, 593719, 593720</t>
  </si>
  <si>
    <t>596277, 596278, 586674, 586675, 586676, 586677, 586678, 586679, 584689, 589044, 591169, 591347, 591348, 583405, 586796</t>
  </si>
  <si>
    <t>SONDERFAHRT 2023/84-1 *2x fahren (Übergröße 2.4 LDM)</t>
  </si>
  <si>
    <t>SONDERFAHRT 2023/84-2</t>
  </si>
  <si>
    <t>SONDERFAHRT 2023/84-3</t>
  </si>
  <si>
    <t>597656, 597657, 597783, 597786, 597788, 597789, 597790</t>
  </si>
  <si>
    <t>594675, 594676, 594677</t>
  </si>
  <si>
    <t>Direktanlieferung am 21.04.23_1 PANPHARMA</t>
  </si>
  <si>
    <t>Einlagerung aus Direktanlieferung am 21.04.23_1 PANPHARMA</t>
  </si>
  <si>
    <t>597874, 597875, 597876, 597877, 597878, 597879, 597880</t>
  </si>
  <si>
    <t>Direktanlieferung am 24.04.23_1 PANPHARMA
SALDO: 782 (Verfügbar: --140)</t>
  </si>
  <si>
    <t>Einlagerung aus Direktanlieferung am 24.04.23_1 PANPHARMA</t>
  </si>
  <si>
    <t>597918, 597918, 597919, 597920, 597921, 597922, 597923, 597924, 597925, 597926, 597927, 597928, 598929, 597930, 597931, 597932, 597933, 597934, 597935, 597936, 597937, 597938, 597939, 597940, 597941, 597942, 597943, 597944, 597945, 597946, 597947, 597948, 597949, 597950, 597951, 597952, 597953, 597954, 597955, 597956, 597957, 597958, 597959, 597960, 597961, 597962, 597963, 597964, 597965, 597966, 597967, 597968, 597969, 597970, 597971, 597972, 597973, 597974, 597975, 597976</t>
  </si>
  <si>
    <t>583406, 596054, 596055, 586270, 593713, 593721, 593722, 593723, 593724, 593725, 593726, 593727, 593728, 594993, 594994, 586680, 586681, 586682, 586683, 586684, 586685, 586686, 586687, 588840, 588841, 588842</t>
  </si>
  <si>
    <t>SONDERFAHRT 2023/84-4</t>
  </si>
  <si>
    <t>000096, 000097, 000110, 000132</t>
  </si>
  <si>
    <t>Bereitsstellung zur Prüfung am 28.04.23 / Herr Ihde</t>
  </si>
  <si>
    <t>Direktanlieferung am 28.04.23_1 PANPHARMA</t>
  </si>
  <si>
    <t>588843, 588844, 588845, 588846, 588847, 588848, 588849, 588850, 588851, 588852, 588853, 588854, 588855, 588856, 588857, 588858, 588859, 588860, 588861, 588862, 588863, 588864, 588865, 588866, 588867, 588868</t>
  </si>
  <si>
    <t>Bereitsstellung zur Umkennzeichnung; (neue EB-Nummern!)</t>
  </si>
  <si>
    <t>mit neuen EB-Nummern gekennzecihnet; Eingelagert.</t>
  </si>
  <si>
    <t>591249, 598265, 598264, 598263, 598262, 598261, 598260, 598259, 598258, 598257, 598256, 598255, 591231, 598302, 598301, 598300, 598299, 598298, 598297, 598296, 598295, 598294, 598293, 598292, 591229, 598266</t>
  </si>
  <si>
    <t>Einlagerung aus Direktanlieferung am 28.04.23_1 PANPHARMA</t>
  </si>
  <si>
    <t>598312, 598314, 598315, 598316, 598317, 598318, 598319, 598320, 598321</t>
  </si>
  <si>
    <t>Direktanlieferung am 02.05.23_1 PANPHARMA
SALDO: 777 (Verfügbar: --135)</t>
  </si>
  <si>
    <t>Einlagerung aus Direktanlieferung am 02.05.23_1 PANPHARMA</t>
  </si>
  <si>
    <t>598399, 598400, 598401, 598402, 598403, 598404, 598405, 598406, 598407, 598408, 598412, 598413</t>
  </si>
  <si>
    <t>583407, 583315, 586688, 586689, 586690, 586691, 586692, 586693, 586694, 586695, 586696, 590049, 590050, 590051, 590052, 587659, 587660, 587661, 564240, 590222, 590223, 590224, 591170, 591171</t>
  </si>
  <si>
    <t>SONDERFAHRT 2023/92-1</t>
  </si>
  <si>
    <t>MUSTERZUG je 1x Tray von 597917</t>
  </si>
  <si>
    <t>Direktanlieferung am 08.05.23_1 PANPHARMA</t>
  </si>
  <si>
    <t>Einlagerung aus Direktanlieferung am 08.05.23_1 PANPHARMA</t>
  </si>
  <si>
    <t>MUSTERZUG je 2x Tray von 2 Pal.(= 4 Trays)  Ch-Nr. N322095</t>
  </si>
  <si>
    <t>598654, 598655, 598656, 598657, 598658, 598659, 598660, 598661, 598662, 598663, 598664, 598665, 598666, 598667, 598668</t>
  </si>
  <si>
    <t>Direktanlieferung am 09.05.23_1 PANPHARMA</t>
  </si>
  <si>
    <t>598756, 598757, 598758, 598759, 597760, 598761, 598762, 598763, 598764, 598765, 598766, 598767, 568768, 598769, 598770, 598771</t>
  </si>
  <si>
    <t>MUSTERZUG je 1x Tray von
598756, 598757, 598758, 598759, 597760, 598761, 598762, 598763, 598764, 598765, 598766, 598767, 568768, 598769, 598770, 598771</t>
  </si>
  <si>
    <t>Einlagerung aus Direktanlieferung am 09.05.23_1 PANPHARMA
SALDO: 784 (Verfügbar: --142)</t>
  </si>
  <si>
    <t>590225, 590226, 587662, 598412, 598413, 597046, 583408, 583409, 583316, 586022, 588881, 588882, 583232, 583233, 583234, 583235, 597025, 593729, 593730, 593731, 593732, 593733, 596056, 596057, 586247, 591349, 586271, 591322, 591323</t>
  </si>
  <si>
    <t>SONDERFAHRT 2023/92-2</t>
  </si>
  <si>
    <t>Direktanlieferung am 11.05.23_1 PANPHARMA
SALDO: 797 (Verfügbar: --155)</t>
  </si>
  <si>
    <t>Einlagerung aus Direktanlieferung am 11.05.23_1 PANPHARMA</t>
  </si>
  <si>
    <t>598938, 598939, 598940, 598941, 598942, 598943, 598944, 598945, 598946, 598947, 598948, 598949, 598950</t>
  </si>
  <si>
    <t>598863, 598864, 598865, 598866, 598789, 598790, 598791, 598792, 598793, 598794, 598795, 598796</t>
  </si>
  <si>
    <t>Direktanlieferung am 15.05.23_1 PANPHARMA
SALDO: 813 (Verfügbar: --171)</t>
  </si>
  <si>
    <t>Einlagerung aus Direktanlieferung am 15.05.23_1 PANPHARMA</t>
  </si>
  <si>
    <t>Direktanlieferung am 15.05.23_2 PANPHARMA
SALDO: 823 (Verfügbar: --181)</t>
  </si>
  <si>
    <t>Einlagerung aus Direktanlieferung am 15.05.23_2 PANPHARMA</t>
  </si>
  <si>
    <t>599093, 599094, 599095, 599096, 599097, 599098, 599099, 599100, 599101, 599102, 599103, 599104, 599105, 599106, 599107, 599108, 599109, 599110, 599111, 599112, 599113, 599114, 599115, 599116, 599117, 599118, 599119, 599120, 599121, 599122, 599123, 599124, 599125</t>
  </si>
  <si>
    <t>MUSTERZUG je 1x Tray von
599116, 599114, 599112, 599110</t>
  </si>
  <si>
    <t>Bereitstellung; Mengenprüfung; Wiedereinlagerung</t>
  </si>
  <si>
    <t>598789 Mengenprüfung</t>
  </si>
  <si>
    <t>599136, 599137, 599138, 599139, 599140, 599141, 599142, 599143, 599144, 599145</t>
  </si>
  <si>
    <t>597045, 596279, 596280, 596281, 293734, 593735, 593736, 593737, 593738, 593739, 593740, 593741, 590227, 590228, 590229, 571069, 596713, 594995, 594996, 594997, 596058, 596059, 597470, 597471, 597472, 597473, 582428, 582429, 582430, 591350, 591351, 586248, 586249, 586250, 586251, 586252, 586253</t>
  </si>
  <si>
    <t>Ausgelagert; Eingelagert / Falsch abgerufen (email Daniel Schidlowski)</t>
  </si>
  <si>
    <t>588883, 588884, 588885, 594995, 594996, 596058, 596059, 597470, 582428, 586248</t>
  </si>
  <si>
    <t>SONDERFAHRT 2023/92-3</t>
  </si>
  <si>
    <t>598654, 597471, 597472, 586249, 586250, 593734, 593735, 593736, 593737, 593738, 593739, 593740</t>
  </si>
  <si>
    <t>SONDERFAHRT 2023/92-4</t>
  </si>
  <si>
    <t>599428, 599429, 599430, 599431, 599432, 599433, 599434, 599435, 599436, 599437</t>
  </si>
  <si>
    <t>593741, 593742, 593743, 593744, 594997, 596279, 596280, 594678, 596197, 596237, 596241, 596242, 596243, 596244, 596245, 597473, 591144, 591145, 586251, 565886, 591350, 591351, 591352, 591353</t>
  </si>
  <si>
    <t>599723, 599724, 599725, 599726, 599727, 599728, 599729, 599730, 599731, 599732, 599733, 599734, 599735, 599736, 599737, 599738, 599739</t>
  </si>
  <si>
    <t>SONDERFAHRT 2023/110-1</t>
  </si>
  <si>
    <t>SONDERFAHRT 2023/110-2</t>
  </si>
  <si>
    <t>594817, 594818, 594819, 594820, 594821, 594822, 594823, 594824, 594825, 596132, 594998, 595000, 596246, 596247, 596248, 596267, 596268, 596281, 596282, 596283, 596041, 596042, 591172, 583410, 583411, 586023, 593803</t>
  </si>
  <si>
    <t>600192, 600193, 600194, 600195, 600196, 600197, 600198, 600199, 600200, 600201, 600202, ArbKor</t>
  </si>
  <si>
    <t>SONDERFAHRT 2023/125-1</t>
  </si>
  <si>
    <t>600633, 600634, 600635, 600636, 600657, 600658, 600659, 600660, 600661, 600662, 600663, 600664, 600665, 600666</t>
  </si>
  <si>
    <t>583412, 598756, 591173, 591174, 591324, 591325, 598757, 597917, 597918, 597919, 597920, 597921, 597922, 597923, 597924, 597925, 597926, 597927, 597928, 597929, 597930, 597931, 597932, 597933, 597934, 597935, 597936, 597937, 597938, 597939, 597940, 597941, 597942</t>
  </si>
  <si>
    <t>Direktanlieferung am 15.06.23_1 PANPHARMA
SALDO: 803 (Verfügbar: --161)</t>
  </si>
  <si>
    <t>Direktanlieferung am 16.06.23_1 PANPHARMA
SALDO: 805 (Verfügbar: --163)</t>
  </si>
  <si>
    <t>Einlagerung aus Direktanlieferung am 15.06.23_1 PANPHARMA</t>
  </si>
  <si>
    <t>Einlagerung aus Direktanlieferung am 16.06.23_1 PANPHARMA</t>
  </si>
  <si>
    <t>600790, 600789, 600788, 600787, 600786, 600785, 600784, 600783, 600782, 600781, 600780, 600779, 600778, 600777, 600776, 600775, 600774, 600773, 600772, 600771, 600770, 600769, 600768, 600767, 600766, 600765, 600764, 600763, 600762, 600761, 600760, 600759, 600758, 600757, 600756</t>
  </si>
  <si>
    <t>586024, 586025, 596133, 596134, 596135, 596136, 596137, 596138, 594790, 594791, 594792, 594793, 594794, 556942, 556943, 595001, 595002, 590053, 545756, 591146, 586281, 586282, 586283, 586284, 586285, 586286</t>
  </si>
  <si>
    <t>SONDERFAHRT 2023/125-2</t>
  </si>
  <si>
    <t>Direktanlieferung am 28.06.23_1 PANPHARMA
SALDO: 811 (Verfügbar: --169)</t>
  </si>
  <si>
    <t>Direktanlieferung am 28.06.23_1 PANPHARMA
SALDO: 823 (Verfügbar: --181)</t>
  </si>
  <si>
    <t>SONDERFAHRT 2023/130-1</t>
  </si>
  <si>
    <t>MUSTERZUG je 1x Tray von
600771, 601352, 601354, 601356, 601358, 601359</t>
  </si>
  <si>
    <t>596139, 596140, 596141, 596142, 596143, 596144, 596145, 596146, 596147, 596148, 598789, 598790, 598791, 598792, 597656, 595003, 595004, 595005, 595006</t>
  </si>
  <si>
    <t>Einlagerung aus Direktanlieferung am 28.06.23_1 PANPHARMA</t>
  </si>
  <si>
    <t>601290, 601291, 601292, 601293, 601294, 601295, 601296, 601297, 601298, 601299, 601300, 601301, 601302, 601303, 601304, 601305, 601306, 601307, 601308, 601309, 601310, 601311, 601312, 601313, 601314, 301315, 601316, 601317, 601318, 601319, 601320, 601321</t>
  </si>
  <si>
    <t>Einlagerung aus Direktanlieferung am 28.06.23_2 PANPHARMA</t>
  </si>
  <si>
    <t>601351, 601352, 601353, 601354, 601355, 601356, 601357, 601358, 601359, 601360, 601361, 601417</t>
  </si>
  <si>
    <t>598760, 598761, 598762, 598763, 593804, 593805, 596149, 596150, 596151, 596152, 596153, 598793, 598794, 598795, 598796, 590055, 590056, 590057, 590058, 590059, 590060, 585305, 583413, 583414, 597047, 597048, 597049</t>
  </si>
  <si>
    <t>SONDERFAHRT 2023/141-1</t>
  </si>
  <si>
    <t>601712, 601713, 601714, 601715, 601716, 601717, 601718, 601719, 601720, 601721, 601722, 601723, 601724, 601725, 601726, 601711</t>
  </si>
  <si>
    <t>Direktanlieferung am 12.07.23_1 PANPHARMA
SALDO: 809 (Verfügbar: --167)</t>
  </si>
  <si>
    <t>Einlagerung aus Direktanlieferung am 12.07.23_1 PANPHARMA</t>
  </si>
  <si>
    <t>602217, 602218, 602219, 602220, 602221, 602222, 602223, 602224, 602225, 602226, 602227, 602228, 602229, 602230, 602231, 602232</t>
  </si>
  <si>
    <t>582416, 596043, 596044, 596045, 596046, 596047, 596048, 596049, 583415, 586026</t>
  </si>
  <si>
    <t>SONDERFAHRT 2023/141-2</t>
  </si>
  <si>
    <t>602106, 602107, 602108, 602109, 602110, 602111, 602112</t>
  </si>
  <si>
    <t>SONDERFAHRT 2023/147-1</t>
  </si>
  <si>
    <t>593807, 591326, 591327, 596029, 583416, 583417, 583418</t>
  </si>
  <si>
    <t>586252, 586253, 000037</t>
  </si>
  <si>
    <t>SONDERFAHRT 2023/147-2</t>
  </si>
  <si>
    <t>602464, 602658, 602659, 602660, 602661, 602662, 602663, 602664, 602665</t>
  </si>
  <si>
    <t>Direktanlieferung am 31.07.23_1 PANPHARMA
SALDO: 837 (Verfügbar: --195</t>
  </si>
  <si>
    <t>Einlagerung aus Direktanlieferung am 31.07.23_1 PANPHARMA</t>
  </si>
  <si>
    <t>602733, 602734, 602735, 602736, 602737, 602738, 602739, 602740, 602741, 602742, 602743, 602744, 602745, 602746, 602747, 602748, 602749, 602750, 602751, 602752, 602753, 602754, 602755, 602756, 602757, 602758, 602759, 602760, 602761, 602762, 602763, 602764</t>
  </si>
  <si>
    <t>SALDO: 841 (Verfügbar: --199</t>
  </si>
  <si>
    <t>596154, 596155, 582417, 591175, 591176, 583419</t>
  </si>
  <si>
    <t>SONDERFAHRT 2023/156-1</t>
  </si>
  <si>
    <t>602879, 602880, 602881, 602882, 602883, 602884, 602885, 602886, 602887, 602888</t>
  </si>
  <si>
    <t>Direktanlieferung am 07.08.23_1 PANPHARMA
SALDO: 874 (Verfügbar: --232</t>
  </si>
  <si>
    <t>Einlagerung aus Direktanlieferung am 07.08.23_1 PANPHARMA</t>
  </si>
  <si>
    <t>MUSTERZUG je 1x Tray von
602733, 602734, 602735, 602736</t>
  </si>
  <si>
    <t>mit nächstem Abruf</t>
  </si>
  <si>
    <t>MUSTERZUG je 1x Tray von
602971, 602972, 602973, 602974</t>
  </si>
  <si>
    <t>584466, 584467, 591554, 591555, 591556, 591557, 591558, 590054, 590061, 590062, 590063, 596269, 587056, 596035, 591147, 583420</t>
  </si>
  <si>
    <t>SONDERFAHRT 2023/165-1</t>
  </si>
  <si>
    <t>602971, 602972, 902973, 602974, 602975, 602976, 602977, 602978, 602979, 602980, 602981, 602982, 602983, 602984, 602985, 602986, 602987, 602988, 602989, 602990, 602991, 602992, 602993, 602994, 602995, 602996, 602997, 602998, 602999, 603000, 603001, 603002, 603003</t>
  </si>
  <si>
    <t>590064, 590065, 590066, 590067, 590068, 590069, 590070, 590071, 590072, 590073, 590074, 590075, 590076, 590077, 590078</t>
  </si>
  <si>
    <t>SONDERFAHRT 2023/165-2</t>
  </si>
  <si>
    <t>Direktanlieferung am 14.08.23_1 PANPHARMA
SALDO: 872 (Verfügbar: --230)</t>
  </si>
  <si>
    <t>Einlagerung aus Direktanlieferung am 14.08.23_1 PANPHARMA</t>
  </si>
  <si>
    <t>603295, 603296, 603297, 603298, 603299, 603300, 603301, 603302, 603303, 603304, 603305, 603306, 603307, 603308, 603309, 603310, 603311, 603312, 603313, 603314, 603315, 603316, 603317, 603318, 603319, 603320, 603321, 603322, 603323</t>
  </si>
  <si>
    <t>mit nächstem Abruf (17.08.23)</t>
  </si>
  <si>
    <t>MUSTERZUG je 1x Tray von
603295, 603296, 603297, 603308, 603309, 603310, 603311</t>
  </si>
  <si>
    <t>583421, 598863, 598655, 598656, 598657, 598658, 598659, 598660, 598661, 598662, 598663, 598664, 598665, 598666, 598667, 598668, 601351, 584865, 584866, 584867, 587057, 587058, 597017, 587663</t>
  </si>
  <si>
    <t>SONDERFAHRT 2023/165-3</t>
  </si>
  <si>
    <t>Direktanlieferung am 21.08.23_1 PANPHARMA
SALDO: 858 (Verfügbar: --216)</t>
  </si>
  <si>
    <t>603571, 603572, 603573, 603674, 603575, 603576, 603577, 603578, 603579, 603580</t>
  </si>
  <si>
    <t>Einlagerung aus Direktanlieferung am 21.08.23_1 PANPHARMA</t>
  </si>
  <si>
    <t>MUSTERZUG je 10 Stück von
603579, 603573</t>
  </si>
  <si>
    <t>hat Daniel abgeholt</t>
  </si>
  <si>
    <t>Direktanlieferung am 23.08.23_1 PANPHARMA
SALDO: 867 (Verfügbar: --225)</t>
  </si>
  <si>
    <t>Einlagerung aus Direktanlieferung am 23.08.23_1 PANPHARMA</t>
  </si>
  <si>
    <t>603720, 603721, 603722, 603723, 603724, 603725, 603726, 603727, 603728</t>
  </si>
  <si>
    <t>599728, 588886, 588887, 594883, 594884, 594885, 599428, 599429, 599430, 599431, 602109, 587059, 587060, 598864, 584868</t>
  </si>
  <si>
    <t>SONDERFAHRT 2023/175-1</t>
  </si>
  <si>
    <t>Direktanlieferung am 25.08.23_1 PANPHARMA
SALDO: 862 (Verfügbar: --220)</t>
  </si>
  <si>
    <t>Einlagerung aus Direktanlieferung am 25.08.23_1 PANPHARMA</t>
  </si>
  <si>
    <t>603811, 603812, 603813, 603814, 603815, 603816, 603817, 603818, 603819, 603820</t>
  </si>
  <si>
    <t>SONDERFAHRT 2023/175-2</t>
  </si>
  <si>
    <t>SONDERFAHRT 2023/175-3</t>
  </si>
  <si>
    <t>SONDERFAHRT 2023/175-4</t>
  </si>
  <si>
    <t>603876, 603877, 603878, 603879, 603880</t>
  </si>
  <si>
    <t>Direktanlieferung am 01.09.23_1 PANPHARMA
SALDO: 864 (Verfügbar: --222)</t>
  </si>
  <si>
    <t>Einlagerung aus Direktanlieferung am 01.09.23_1 PANPHARMA</t>
  </si>
  <si>
    <t>MUSTERZUG je 1x Tray von: 604219</t>
  </si>
  <si>
    <t>604219, 604220, 604221, 604222, 604223, 604224, 604225, 604226, 604227, 604228, 604229, 604230, 604231</t>
  </si>
  <si>
    <t>600633, 600634, 600635, 600636, 601296</t>
  </si>
  <si>
    <t>601290, 601291, 601292, 583422, 583423, 586027, 586028</t>
  </si>
  <si>
    <t>SONDERFAHRT 2023/188-1</t>
  </si>
  <si>
    <t>601296, 604292, 604291, 604290, 604289</t>
  </si>
  <si>
    <t>573212, 583045, 583046</t>
  </si>
  <si>
    <t>SONDERFAHRT 2023/188-2 (tel. Endrush)</t>
  </si>
  <si>
    <t>602110, 603726, 603727, 599729, 599730, 599731, 583424, 583047</t>
  </si>
  <si>
    <t>SONDERFAHRT 2023/188-3</t>
  </si>
  <si>
    <t>604451, 604452, 604453, 604454, 604455, 604496</t>
  </si>
  <si>
    <t>600192, 600193, 600194, 600195, 600196, 600197, 600198, 600199, 600200, 594886, 594887, 591177, 591178, 591179, 586030, 586029, 597463, 597464</t>
  </si>
  <si>
    <t>SONDERFAHRT 2023/200-1</t>
  </si>
  <si>
    <t>596270, 596271, 596272, 599732, 596030</t>
  </si>
  <si>
    <t>SONDERFAHRT 2023/200-2</t>
  </si>
  <si>
    <t>Direktanlieferung am 22.09.23_1 PANPHARMA
SALDO: 850 (Verfügbar: --208)</t>
  </si>
  <si>
    <t>Einlagerung aus Direktanlieferung am 22.09.23_1 PANPHARMA</t>
  </si>
  <si>
    <t>604951, 604952, 604953, 604954</t>
  </si>
  <si>
    <t>605097, 605114, 605115, 605116, 605117, 605118, 605119, 605120, 605121, 605122, 605123, 605124, 605125, 605126, 605127, 605128</t>
  </si>
  <si>
    <t>601293, 601294, 601295, 603876, 597943, 597944, 599733, 599734, 599735, 599736, 599737, 599738, 596273, 596274, 596275</t>
  </si>
  <si>
    <t>SONDERFAHRT 2023/207-1</t>
  </si>
  <si>
    <t>Direktanlieferung am 28.09.23_1 PANPHARMA
SALDO: 866 (Verfügbar: --224)</t>
  </si>
  <si>
    <t>Einlagerung aus Direktanlieferung am 28.09.23_1 PANPHARMA</t>
  </si>
  <si>
    <t>605389, 605390, 605391, 605392, 605393, 605394, 605395, 605396, 605397, 605398, 605399, 605400</t>
  </si>
  <si>
    <t>597945, 597946, 597947, 597948, 597949, 597950, 597951, 597952, 597953, 597954, 597955, 597956, 597957, 597958, 597959, 597019, 597020, 597021, 597022, 593458, 593459, 593460, 593461, 585306</t>
  </si>
  <si>
    <t>SONDERFAHRT 2023/212-1</t>
  </si>
  <si>
    <t>587664, 587665, 587666, 587667, 587668, 587669, 594807, 579754, 579755, 579756, 579757, 579758, 582686, 582687, 594424, 605097, 597023, 597024, 599136, 582429, 582430, 589056, 596036, 583425, 583426, 586031, 596031</t>
  </si>
  <si>
    <t>605682, 605683, 605684</t>
  </si>
  <si>
    <t>Direktanlieferung am 13.10.23_1 PANPHARMA
SALDO: 815 (Verfügbar: --173)</t>
  </si>
  <si>
    <t>Einlagerung aus Direktanlieferung am 13.10.23_1 PANPHARMA</t>
  </si>
  <si>
    <t>605936, 605937, 605938, 605939, 605940, 605941, 605942, 905943, 905944, 905945, 905946, 905947</t>
  </si>
  <si>
    <t>590505, 590506, 590507, 590508, 590509, 590510, 590511, 590512, 590513, 590514, 590515, 599093, 599094, 599095, 599096, 599097, 599098, 599099, 599100, 599101, 599102, 586032, 593810, 593811</t>
  </si>
  <si>
    <t>SONDERFAHRT 2023/220-1</t>
  </si>
  <si>
    <t>SONDERFAHRT 2023/212-2</t>
  </si>
  <si>
    <t>Direktanlieferung am 23.10.23_1 PANPHARMA
SALDO: 830 (Verfügbar: --188)</t>
  </si>
  <si>
    <t>Einlagerung aus Direktanlieferung am 23.10.23_1 PANPHARMA</t>
  </si>
  <si>
    <t>MUSTERZUG je 1x Tray von
606356, 606357, 606358, 606359, 606360, 606361, 606362, 606372, 606373, 606374, 606375</t>
  </si>
  <si>
    <t>606335, 606336, 606337, 606338, 606339, 606340, 606341, 606342, 606343, 606344, 606345, 606346, 606347, 606348, 606349, 606350, 606351, 606352, 606353, 606354, 606355, 606356, 606357, 606358, 606359, 606360, 606361, 606362, 606365, 606366, 606367, 606368, 606369, 606370, 606371, 606372, 606373, 606374, 606375</t>
  </si>
  <si>
    <t>598312, 596032, 598764, 598765</t>
  </si>
  <si>
    <t>SONDERFAHRT 2023/224-1</t>
  </si>
  <si>
    <t>606442, 606443, 606444, 606445, 606446, 606447, 606448, 606449, 606424, 606425, 606426, 606427, 606428, 606389</t>
  </si>
  <si>
    <t>Direktanlieferung am 27.10.23_1 PANPHARMA
SALDO: 850 (Verfügbar: --208)</t>
  </si>
  <si>
    <t>Einlagerung aus Direktanlieferung am 27.10.23_1 PANPHARMA</t>
  </si>
  <si>
    <t>606634, 606635, 606636, 606637, 606638, 606639, 606640, 606641, 606642, 606643</t>
  </si>
  <si>
    <t>Direktanlieferung am 27.10.23_2 PANPHARMA
SALDO: 862 (Verfügbar: --220)</t>
  </si>
  <si>
    <t>Einlagerung aus Direktanlieferung am 27.10.23_2 PANPHARMA</t>
  </si>
  <si>
    <t>606654, 606655, 606656, 606657, 606658, 606659, 606660, 606661, 606662, 606663, 606664, 606665</t>
  </si>
  <si>
    <t>MUSTERZUG je 1x Tray von
606654, 606655, 606656, 606657, 606658, 606659, 606660, 606661, 606662, 606663, 606664, 606665</t>
  </si>
  <si>
    <t>Einlagerung aus Direktanlieferung am 01.11.23_1 PANPHARMA</t>
  </si>
  <si>
    <t>606685, 606686, 606687, 606688, 606689, 606690, 606691, 606692, 606693, 606694, 606695, 606696, 606697, 606698, 606699, 606700, 606701, 606702, 606703, 606704, 606705, 
606708-A, 606708-B, 606708-C, 606708-D, 
606709-A, 606709-B, 606709-C, 606709-D</t>
  </si>
  <si>
    <t>Direktanlieferung am 01.11.23_1 PANPHARMA
SALDO: 882 (Verfügbar: --240)</t>
  </si>
  <si>
    <t>Einlagerung aus Direktanlieferung am 01.11.23_2 PANPHARMA</t>
  </si>
  <si>
    <t>606747, 606749, 606750, 606751, 606752, 606754, 606755, 606756, 606757</t>
  </si>
  <si>
    <t>MUSTERZUG je 1x Tray von
606747, 606749, 606750, 606751, 606752, 606754, 606755, 606756, 606757</t>
  </si>
  <si>
    <t>Direktanlieferung am 01.11.23_2 PANPHARMA
SALDO: 900 (Verfügbar: --258)</t>
  </si>
  <si>
    <t>589045, 589046, 596156, 596157, 596158, 596159, 596160, 596161, 596162, 596163, 596164</t>
  </si>
  <si>
    <t>SONDERFAHRT 2023/230-1</t>
  </si>
  <si>
    <t>SONDERFAHRT 2023/230-2</t>
  </si>
  <si>
    <t>599739, 601310, 601311, 603877, 603878, 603879, 603880, 571069, 590227, 590228, 596033, 596034, 569713, 604451, 604452</t>
  </si>
  <si>
    <t>601296, 601297</t>
  </si>
  <si>
    <t>SONDERFAHRT 2023/239-1</t>
  </si>
  <si>
    <t>590516, 590517, 590518, 590519, 590520, 590521, 590522, 590523, 590524, 583580, 583581, 583582, 597960, 597961, 597962, 597963, 597964, 597965, 597966, 597967, 597968, 597969, 597970, 597971, 597972, 597973, 597974, 597975, 597976, 600756, 597874, 597875</t>
  </si>
  <si>
    <t>SONDERFAHRT 2023/239-2</t>
  </si>
  <si>
    <t>607270, 607271, 607272, 607273, 607274, 607275, 607276, 607277, 607278, 607279, 607280, 607281</t>
  </si>
  <si>
    <t>SONDERFAHRT 2023/251-1</t>
  </si>
  <si>
    <t>590527, 597026, 583053</t>
  </si>
  <si>
    <t>565508, 565509, 565510, 565511, 565512</t>
  </si>
  <si>
    <t>SONDERFAHRT 2023/251-2</t>
  </si>
  <si>
    <t>601711, 601312, 601313, 602106, 602107, 602108, 591148, 591149, 591161, 585308, 602223, 597876, 597877, 601352, 601353, 601354, 601355, 601356, 601357, 601358, 601359, 601360, 601361, 601417, 597465, 597466, 585307</t>
  </si>
  <si>
    <t>SONDERFAHRT 2023/251-3</t>
  </si>
  <si>
    <t>606685, 606686, 606687, 606427, 606428, 599103, 599104, 599105, 599106, 598865, 598866</t>
  </si>
  <si>
    <t>608432, 608433, 608434, 608435, 608436, 608437</t>
  </si>
  <si>
    <t>SONDERFAHRT 2023/271-1</t>
  </si>
  <si>
    <t>Direktanlieferung am 08.12.23_1 PANPHARMA
SALDO: 823 (Verfügbar: --181)</t>
  </si>
  <si>
    <t>Einlagerung aus Direktanlieferung am 08.12.23_1 PANPHARMA</t>
  </si>
  <si>
    <t>590161, 608499, 608500, 608501, 608502, 608503, 608504, 608505, 608506, 608507, 608508, 608509</t>
  </si>
  <si>
    <t>eb0000135</t>
  </si>
  <si>
    <t>SONDERFAHRT 2023/276-1;  z.Hd.Herrn Ruge, Tel. 862440</t>
  </si>
  <si>
    <t xml:space="preserve">Vereinfachte Inventur 743 Paletten prüfen *0,5 Aufwand </t>
  </si>
  <si>
    <t>MUSTERZUG je 1x Tray von 590161, 608499</t>
  </si>
  <si>
    <t>Anlief. mit nächstem Abruf</t>
  </si>
  <si>
    <t>594808, 594809, 594810, 594811, 594812, 594813, 594814, 594815, 594816, 602733, 602734, 602735, 602736, 602737, 586200, 586202, 602224, 602225, 602226, 589057, 589058, 589059, 589060, 593462, 593463, 593464</t>
  </si>
  <si>
    <t>SONDERFAHRT 2023/276-2</t>
  </si>
  <si>
    <t>602738, 588702, 588703, 588704, 590528, 590529, 604219, 602227, 604496, 598314, 598315, 598316, 585309</t>
  </si>
  <si>
    <t>SONDERFAHRT 2023/276-3</t>
  </si>
  <si>
    <r>
      <t xml:space="preserve">nur das Vorhandensein der Archiv-Nummern abgleichen. </t>
    </r>
    <r>
      <rPr>
        <b/>
        <sz val="11"/>
        <color theme="1"/>
        <rFont val="Calibri"/>
        <family val="2"/>
        <scheme val="minor"/>
      </rPr>
      <t xml:space="preserve"> 
Lagerbestand = 86 am 02.01.2024</t>
    </r>
  </si>
  <si>
    <t xml:space="preserve">Vereinfachte Inventur (Archiv) 86 Paletten prüfen *0,5 Aufwand </t>
  </si>
  <si>
    <t>600757, 600758, 600759, 600760, 600761, 600762, 600763, 600764, 600765, 600766, 600767, 600768, 600769, 600770, 600771, 601314, 606688</t>
  </si>
  <si>
    <t>Direktanlieferung am 05.01.24_1 PANPHARMA
SALDO: 775 (Verfügbar: --133)</t>
  </si>
  <si>
    <t>609512, 609513, 609514, 609515, 609516, 609517, 609518, 609519, 609520</t>
  </si>
  <si>
    <t>Einlagerung aus Direktanlieferung am 05.01.24_1 PANPHARMA</t>
  </si>
  <si>
    <t>588705, 588706, 597028, 597029, 597030, 597031, 604220, 593465, 593466, 593467, 593468, 593469, 593470, 594888, 594889, 598317, 598318</t>
  </si>
  <si>
    <t>SONDERFAHRT 2024/12-2</t>
  </si>
  <si>
    <t>SONDERFAHRT 2024/12-1</t>
  </si>
  <si>
    <t>Direktanlieferung am 12.01.24_1 PANPHARMA
SALDO: 766 (Verfügbar: --124)</t>
  </si>
  <si>
    <t>Einlagerung aus Direktanlieferung am 12.01.24_1 PANPHARMA</t>
  </si>
  <si>
    <t>609845, 609846, 609847, 609848, 609849, 609850, 609851, 609852</t>
  </si>
  <si>
    <t>598766, 598767, 598768, 599107, 599108, 599109, 599110, 599111, 599112, 599113, 599114, 599115, 588707, 593555, 593556, 593557, 594890, 594891, 594892, 598399, 598400, 606689, 606690, 597878, 609512</t>
  </si>
  <si>
    <t>SONDERFAHRT 2024/24-1</t>
  </si>
  <si>
    <t>MUSTERZUG je 1x Tray von 609845</t>
  </si>
  <si>
    <t>wird abgeholt</t>
  </si>
  <si>
    <t>Direktanlieferung am 22.01.24_1 PANPHARMA
SALDO: 756 (Verfügbar: --114)</t>
  </si>
  <si>
    <t>Einlagerung aus Direktanlieferung am 22.01.24_1 PANPHARMA</t>
  </si>
  <si>
    <t>610179, 610180, 610181, 610182, 610183, 610184, 610185, 610186, 610187, 610188, 610189, 610190, 610191, 610192, 610193</t>
  </si>
  <si>
    <t>600772, 600773, 600774, 600775, 600776, 600777, 593558, 604289, 604290, 604291, 604292, 609513, 609514, 609515, 583054</t>
  </si>
  <si>
    <t>610385, 610386, 610387, 610388, 610389, 610390, 610325, 610326</t>
  </si>
  <si>
    <t>MUSTERZUG je 1x Tray von 610179</t>
  </si>
  <si>
    <t>Auslieferung zu Fuß</t>
  </si>
  <si>
    <t>594795, 594796, 590229, 599137, 599138, 599139, 599140, 599141, 602228, 602229, 593471, 593472, 593473, 593474, 593475, 593476, 593477</t>
  </si>
  <si>
    <t>Direktanlieferung am 05.02.24_1 PANPHARMA
SALDO: 756 (Verfügbar: --114)</t>
  </si>
  <si>
    <t>Einlagerung aus Direktanlieferung am 05.02.24_1 PANPHARMA</t>
  </si>
  <si>
    <t>610874, 610876, 610877, 610878, 610879, 610880, 610881, 610882, 610883, 610884, 610885, 610886, 610887, 610888, 610889, 610890, 610891, 610892, 610893, 610894, 610895, 610896, 610897, 610898</t>
  </si>
  <si>
    <t>Direktanlieferung am 06.02.24_1 PANPHARMA
SALDO: 783 (Verfügbar: --141)</t>
  </si>
  <si>
    <t>610978, 610979, 610980, 610981, 610982, 610983, 610984, 610985, 610986, 610987, 610988, 610989, 610990, 610991, 610992, 610993, 610994, 610995, 610996, 610997, 610998, 610999, 611000, 611001, 611002, 611003, 611004</t>
  </si>
  <si>
    <t>Einlagerung aus Direktanlieferung am 06.02.24_1 PANPHARMA</t>
  </si>
  <si>
    <t>Muster von 4 Paletten</t>
  </si>
  <si>
    <t>MUSTERZUG von 4 Paletten; 
1x Tray von Ch-Nr. N322095 + 3 Trays von Ch-Nr. N344053</t>
  </si>
  <si>
    <t>599116, 599117, 599118, 599119, 599120, 599121, 599122, 599123, 599124, 601315, 601316, 601317, 601318, 601319, 606691, 606692</t>
  </si>
  <si>
    <t>607981, 610971, 610972, 602733, 602734, 602735, 602736, 602737, 602738, 594813, 594814, 594815, 594816</t>
  </si>
  <si>
    <t>MUSTERZUG von je 1 Tray von: 610876, 610874</t>
  </si>
  <si>
    <t>SONDERFAHRT 2024/34-3</t>
  </si>
  <si>
    <t>SONDERFAHRT 2024/34-2</t>
  </si>
  <si>
    <t>SONDERFAHRT 2024/34-1</t>
  </si>
  <si>
    <t>608432, 608433, 608434, 608435</t>
  </si>
  <si>
    <t>SONDERFAHRT 2024/38-1</t>
  </si>
  <si>
    <t>600778, 600779, 600780, 600781, 600782, 600783, 600784, 600785, 600786, 600787, 600788, 600789, 600790, 599142, 599143, 599144, 602230, 602231, 603728, 585310, 609516, 609517, 609518, 609519, 598319, 598320, 598769, 598770, 598771</t>
  </si>
  <si>
    <t>SONDERFAHRT 2024/38-2</t>
  </si>
  <si>
    <t>Direktanlieferung am 19.02.24_1 PANPHARMA
SALDO: 755 (Verfügbar: --113) kein Frachtbrief (digital)</t>
  </si>
  <si>
    <t>Einlagerung aus Direktanlieferung am 19.02.24_1 PANPHARMA</t>
  </si>
  <si>
    <t>611589, 611590, 611591, 511592, 611593, 611594, 611595, 611596</t>
  </si>
  <si>
    <t xml:space="preserve">Direktanlieferung am 21.02.24_1 PANPHARMA  /// 30 Pal. Auf 33 Stpl.!!!
SALDO: 788 (Verfügbar: --146) </t>
  </si>
  <si>
    <t>Einlagerung aus Direktanlieferung am 21.02.24_1 PANPHARMA  /// 30 Pal. Auf 33 Stpl.!!!</t>
  </si>
  <si>
    <t>Abholung Handwerker; siehe Foto (Drehteller Seidensticker = 2,2 kbm)</t>
  </si>
  <si>
    <t>Aktenpalette aus OG</t>
  </si>
  <si>
    <t>Bereitsstellung; transportsichere Verpackung Aktenpalette; Palettentausch</t>
  </si>
  <si>
    <t>594813, 594814, 594815, 594816, 602733, 602734, 602735, 602736, 602737, 602738, 602739, 602740, 602741, 602742, 586198, 587061, 601320, 000103, 602232, 602879, 620880, 602881, 598401, 598402, 598403, 597879, 610385, 610386, 610387</t>
  </si>
  <si>
    <t>SONDERFAHRT 2024/38-3</t>
  </si>
  <si>
    <t>606708-A, 606708-B, 606708-C, 606708-D</t>
  </si>
  <si>
    <t>SONDERFAHRT 2024/44-1</t>
  </si>
  <si>
    <t xml:space="preserve">Direktanlieferung am 23.02.24_1 PANPHARMA  
SALDO: 772 (Verfügbar: --130) </t>
  </si>
  <si>
    <t>611907, 611908, 611909, 611910, 611911, 611912, 611913, 611914, 611915, 611916, 611917, 611918, 611919, 611920, 611921, 611922, 611923, 611924</t>
  </si>
  <si>
    <t xml:space="preserve">Direktanlieferung am 26.02.24_1 PANPHARMA  
SALDO: 782 (Verfügbar: --140) </t>
  </si>
  <si>
    <t xml:space="preserve">Einlagerung aus Direktanlieferung am 26.02.24_1 PANPHARMA </t>
  </si>
  <si>
    <t>MUSTERZUG 10 Trays aus Direktanlieferung 26.02.24</t>
  </si>
  <si>
    <t>612052, 612053, 612055, 612056, 612057, 612058, 612062, 612063, 612064, 612065</t>
  </si>
  <si>
    <t xml:space="preserve">Einlagerung aus Direktanlieferung am 28.02.24_1 PANPHARMA </t>
  </si>
  <si>
    <t xml:space="preserve">Direktanlieferung am 28.02.24_1 PANPHARMA  
SALDO: 797 (Verfügbar: --155) </t>
  </si>
  <si>
    <t>612196, 612197, 612198, 612199, 612200, 612201, 612202, 612203, 612204, 612205, 612206, 612207, 612208, 612209, 612210</t>
  </si>
  <si>
    <t>611745, 611746, 611747, 611748, 611749, 611750-A, 611750-B, 611750-C, 611750-D, 611751, 611752, 611753, 611754, 611755, 611756, 611757, 611762, 611763, 611764, 611765, 611766, 611767, 611768, 611769, 611770, 611771, 611772, 611773, 611774, 611775, 611776, 611777, 611778</t>
  </si>
  <si>
    <t>609520, 611907, 598404, 598405, 598406, 598407, 602882, 583238, 583239, 583583, 583584, 583585</t>
  </si>
  <si>
    <t>SONDERFAHRT 2024/44-3</t>
  </si>
  <si>
    <t>SONDERFAHRT 2024/44-2</t>
  </si>
  <si>
    <t>Direktanlieferung am 01.03.24_1 PANPHARMA
SALDO: 810 (Verfügbar: --168)</t>
  </si>
  <si>
    <t>Einlagerung aus Direktanlieferung am 01.03.24_1 PANPHARMA</t>
  </si>
  <si>
    <t>612314, 612315, 612316, 612317, 612318, 612319, 612320, 612321, 612322, 612323, 612324, 612325, 612326, 612327, 612328, 612329, 612330, 612331, 612332, 612333, 612334, 612335, 612336, 612337, 612338</t>
  </si>
  <si>
    <t>MUSTERZUG von je 1 Tray von: 612199, 612201, 612203</t>
  </si>
  <si>
    <t xml:space="preserve">mit nächstem Abruf </t>
  </si>
  <si>
    <t>MUSTERZUG von je 1 Tray von: 612324</t>
  </si>
  <si>
    <t>3 Stellplätze Schreibtisch aus OG</t>
  </si>
  <si>
    <t>Direktanlieferung am 06.03.24_1 PANPHARMA
SALDO: 825 (Verfügbar: --183)</t>
  </si>
  <si>
    <t>Einlagerung aus Direktanlieferung am 06.03.24_1 PANPHARMA</t>
  </si>
  <si>
    <t>610874, 610876, 610877, 610878, 586204, 586205, 587062, 601321, 602217, 602218, 602219, 602220, 599145, 606442, 606443, 606444, 597657, 610388, 610389, 611908, 611909, 586792, 3 Stellplätze Schreibtisch</t>
  </si>
  <si>
    <t>Sonderfahrt 2024/60-1</t>
  </si>
  <si>
    <t>612539, 612540, 612541, 612542, 612543, 612544, 612545, 612546, 612548, 612549, 612551, 612553</t>
  </si>
  <si>
    <t>602883, 602884</t>
  </si>
  <si>
    <t>Sonderfahrt 2024/67-1</t>
  </si>
  <si>
    <t>Direktanlieferung am 14.03.24_1 PANPHARMA
SALDO: 810 (Verfügbar: --168)</t>
  </si>
  <si>
    <t>Einlagerung aus Direktanlieferung am 14.03.24_1 PANPHARMA</t>
  </si>
  <si>
    <t>606445, 602221, 602222, 603720, 603721, 603722, 603723, 603724, 586798, 610879, 610880, 610881, 611910, 611911, 610978, 610979</t>
  </si>
  <si>
    <t>Sonderfahrt 2024/67-2</t>
  </si>
  <si>
    <t>612981, 612982, 612983, 612984, 612985, 612986, 612987, 612988, 612989, 612990, 612991, 612992</t>
  </si>
  <si>
    <t>zur Direktverladung ---&gt; Sonopharm am 19.04.24</t>
  </si>
  <si>
    <t>586203, 589353, 587065, 587066 (Teilmenge)</t>
  </si>
  <si>
    <t>591567, 591568, 591569, 591570, 591571, 591572, 591573, 596165, 596166, 603308, 603309, 603310, 603311, 603312, 603313, 603314, 603315, 603316, 603317, 603318, 603319, 603320, 603321, 603322, 603323</t>
  </si>
  <si>
    <t>zur Direktverladung ---&gt; Sonopharm am 19.04.24 (jede Palette Eb-Nr. Entfernt + 2x Etikett geklebt)</t>
  </si>
  <si>
    <t>613263, 613264, 613265, 613266, 613267, 613268, 613269, 613270, 613271, 613272, 613273, 613274, 613276, 613277, 613278, 613279, 613280, 613281</t>
  </si>
  <si>
    <t>Direktanlieferung am 20.03.24_1 PANPHARMA
SALDO: 784 (Verfügbar: --142)</t>
  </si>
  <si>
    <t>Einlagerung aus Direktanlieferung am 20.03.24_1 PANPHARMA</t>
  </si>
  <si>
    <t>MUSTERZUG von je 1 Tray von DA 20.03.24_1: Ch-Nr.1507210 + Ch-Nr.1509870</t>
  </si>
  <si>
    <t>598758, 606446, 606447, 602885, 602886, 598408, 600657, 610980, 610981, 597880, 598938, 611912, 611913, 611914, 596037, Tisch1-Stpl1, Tisch1-Stpl2, Tisch1-Stpl3, Tisch2-Stpl1, Tisch2-Stpl2, Tisch2-Stpl3</t>
  </si>
  <si>
    <t>Sonderfahrt 2024/75-1</t>
  </si>
  <si>
    <t>2 Tische verpackt und bereitgestellt (je 3 Stpl)</t>
  </si>
  <si>
    <t>613008, 613009</t>
  </si>
  <si>
    <t>Direktanlieferung am 22.03.24_1 PANPHARMA
SALDO: 778 (Verfügbar: --136)</t>
  </si>
  <si>
    <t>Einlagerung aus Direktanlieferung am 22.03.24_1 PANPHARMA</t>
  </si>
  <si>
    <t>613458, 613459, 613460, 613461, 613462, 613463, 613464</t>
  </si>
  <si>
    <t>606335, 606336, 606337, 606338, 606339, 606340, 606341, 606342, 606343, 606344, 606345, 606346, 606347, 606348, 598759, 602887, 602888, 604222, 604223, 603725, 605389, 596038, 596039, 596040, 611915, 611916, 610390, 612981, 612982, 
611750-A, 611750-B, 611750-C, 611750-D</t>
  </si>
  <si>
    <t>Sonderfahrt 2024/75-2</t>
  </si>
  <si>
    <t>Direktanlieferung am 02.04.24_1 PANPHARMA
SALDO: 757 (Verfügbar: --115)</t>
  </si>
  <si>
    <t>Einlagerung aus Direktanlieferung am 02.04.24_1 PANPHARMA</t>
  </si>
  <si>
    <t>Direktanlieferung am 04.04.24_1 PANPHARMA
SALDO: 775 (Verfügbar: --133)</t>
  </si>
  <si>
    <t>Einlagerung aus Direktanlieferung am 04.04.24_1 PANPHARMA</t>
  </si>
  <si>
    <t>606349, 606350, 606351, 606352, 606353, 606354, 606355, 606356, 604224, 604225, 604226, 604227, 604228, 604229, 604230, 604231, 600658, 612983</t>
  </si>
  <si>
    <t>Sonderfahrt 2024/94-1</t>
  </si>
  <si>
    <t>613805, 613806, 613807, 613808, 613809, 613810, 613811, 613812, 613813, 613814, 613815, 613816</t>
  </si>
  <si>
    <t>613917, 613918, 613919, 613920, 613921, 613922, 613923, 613924, 613925, 613926, 613927, 613928, 613929, 613930, 613931, 613932, 613933, 613934</t>
  </si>
  <si>
    <t>599125, 602971, 602972, 602973, 602974, 602975, 602976, 602977, 602978, 612314, 612315, 612316, 612317, 612318, 612319, 612320, 612321, 612322, 601712, 601713, 601714, 601715, 601298, 601299, 586797, 604453, 604454, 604455, 611917, 611918, 598939</t>
  </si>
  <si>
    <t>Sonderfahrt 2024/102-1</t>
  </si>
  <si>
    <t>000150, 000151, 000152, 000153, 000154, 000155</t>
  </si>
  <si>
    <t>Direktanlieferung am 18.04.24_1 PANPHARMA
SALDO: 745 (Verfügbar: --103)</t>
  </si>
  <si>
    <t>Einlagerung aus Direktanlieferung am 18.04.24_1 PANPHARMA</t>
  </si>
  <si>
    <t>Sonderfahrt 2024/102-2</t>
  </si>
  <si>
    <t>558421, 558422, 607981, 610971, 610972, 612062, 612063, 612064, 612065, 606448, 606449, 609845, 609846, 600659, 600660, 600661, 600662, 600663, 602979, 612984, 591249, 591229, 598266</t>
  </si>
  <si>
    <t>614558, 614563, 614564, 614565, 614566, 614567, 614568, 614569, 614570, 614571, 614572, 614573, 614574</t>
  </si>
  <si>
    <t>Direktanlieferung am 22.04.24_1 PANPHARMA - DIGITALER LIEFERSCHEIN!
SALDO: 734 (Verfügbar: --92)</t>
  </si>
  <si>
    <t>614703, 614704, 614705, 614706, 614707, 614708, 614709, 614710, 614711, 614712, 614713, 614714</t>
  </si>
  <si>
    <t xml:space="preserve">Einlagerung aus Direktanlieferung am 23.04.24_1 PANPHARMA </t>
  </si>
  <si>
    <t>Einlagerung aus Direktanlieferung am 22.04.24_1 PANPHARMA - DIGITALER LIEFERSCHEIN!</t>
  </si>
  <si>
    <t>Direktanlieferung am 23.04.24_1 PANPHARMA 
SALDO: 740 (Verfügbar: --98)</t>
  </si>
  <si>
    <t xml:space="preserve">Einlagerung aus Direktanlieferung am 24.04.24_1 PANPHARMA </t>
  </si>
  <si>
    <t>Direktanlieferung am 24.04.24_1 PANPHARMA 
SALDO: 754 (Verfügbar: --112)</t>
  </si>
  <si>
    <t>614875, 614876, 614877, 614878, 614879, 614880</t>
  </si>
  <si>
    <t>MUSTERZUG von je 1 Tray 614785</t>
  </si>
  <si>
    <t>mit nächster Lieferung</t>
  </si>
  <si>
    <t>591559, 591560, 591561, 591562, 591563, 591564, 591565, 591566, 590161, 594425, 594426, 594427, 594428, 594429, 597045, 601716, 601717, 601718, 601719, 601720, 610991, 610992, 610993, 610994</t>
  </si>
  <si>
    <t>Sonderfahrt 2024/112-1</t>
  </si>
  <si>
    <t>Direktanlieferung am 26.04.24_1 PANPHARMA 
SALDO: 754 (Verfügbar: --112)</t>
  </si>
  <si>
    <t xml:space="preserve">Einlagerung aus Direktanlieferung am 26.04.24_1 PANPHARMA </t>
  </si>
  <si>
    <t>614979, 614980, 614981, 614982, 614983, 614984, 614985, 614986, 614987, 614988, 614989, 614990, 614991, 614992</t>
  </si>
  <si>
    <t>mit Sonderfahrt 2024/112-1</t>
  </si>
  <si>
    <t>614625, 614626, 614627, 614628, 614629, 614630, 614631, 614788, 614789, 614790, 614791, 614792, 614793, 614794, 614795</t>
  </si>
  <si>
    <t>615006, 615007, 615008, 615009, 615010, 615011, 615012, 615013, 615014, 615015, 615016, 615017, 615018, 615019, 615020, 615021, 615022, 615023, 615024, 615025, 615026, 615027, 615028, 615029</t>
  </si>
  <si>
    <t>615411, 615412, 615413, 615414, 615415, 615416, 615417, 615418, 615419, 615420, 615421, 615422</t>
  </si>
  <si>
    <t>612985, 612986, 612987, 598940, 598941, 598950, 586206</t>
  </si>
  <si>
    <t>SONDERFAHRT 2024/130-1.1</t>
  </si>
  <si>
    <t>609847, 613008</t>
  </si>
  <si>
    <t>SONDERFAHRT 2024/130-1.2</t>
  </si>
  <si>
    <t>Direktanlieferung am 07.05.24_1 PANPHARMA 
SALDO: 772 (Verfügbar: --130)</t>
  </si>
  <si>
    <t>602743, 602744, 602745</t>
  </si>
  <si>
    <t>SONDERFAHRT 2024/130-2.1</t>
  </si>
  <si>
    <t>609848, 609849, 614979, 614980, 600664, 600665, 602980, 602981, 602982, 602983, 602984, 602985, 602986, 602987, 602988, 611919, 611920, 611921, 611922, 911923</t>
  </si>
  <si>
    <t>SONDERFAHRT 2024/130-2.2</t>
  </si>
  <si>
    <t>Direktanlieferung am 15.05.24_1 PANPHARMA 
SALDO: 772 (Verfügbar: --130)</t>
  </si>
  <si>
    <t xml:space="preserve">Einlagerung aus Direktanlieferung am 07.05.24_1 PANPHARMA </t>
  </si>
  <si>
    <t xml:space="preserve">Einlagerung aus Direktanlieferung am 15.05.24_1 PANPHARMA </t>
  </si>
  <si>
    <t>615699, 615700, 615701, 615702, 615703, 615704, 615705, 615706, 615707, 615708, 615709, 615710, 615711, 615712, 615713, 615714, 615715, 615716, 615717, 615718, 615719, 615720, 615721</t>
  </si>
  <si>
    <t>602111, 602112, 606389, 610325, 610326, 613276, 613277, 613458, 613459, 594430, 594431, 594432, 610882, 610883, 610884, 610885, 610886, 610887, 610888, 610889, 611745, 611746, 610982, 610983, 610984, 589349, 589351</t>
  </si>
  <si>
    <t>SONDERFAHRT 2024/135-1</t>
  </si>
  <si>
    <t>615500, 615501, 615502, 615503, 615563, 615565</t>
  </si>
  <si>
    <t>Direktanlieferung am 21.05.24_1 PANPHARMA 
SALDO: 780 (Verfügbar: --138)</t>
  </si>
  <si>
    <t xml:space="preserve">Einlagerung aus Direktanlieferung am 21.05.24_1 PANPHARMA </t>
  </si>
  <si>
    <t>609850, 609851, 609852, 611589, 611590, 611591, 611592, 611593, 611594, 611595, 613462, 587063, 587064, 610890, 610891, 610893, 610894, 610895, 610896, 610897, 610898, 611762, 598321, 611924</t>
  </si>
  <si>
    <t>SONDERFAHRT 2024/140-1</t>
  </si>
  <si>
    <t>615899, 615900, 615901, 615902, 615903, 615904, 615905, 615906, 615907, 615908, 615909, 615910, 615912, 615913, 615914, 615915, 615916, 615917, 615918, 615919, 615920, 615921, 615922, 615923, 615924, 615925, 615926, 615927, 615928</t>
  </si>
  <si>
    <t>Direktanlieferung am 30.05.24_1 PANPHARMA 
SALDO: 789 (Verfügbar: --147)</t>
  </si>
  <si>
    <t xml:space="preserve">Einlagerung aus Direktanlieferung am 30.05.24_1 PANPHARMA </t>
  </si>
  <si>
    <t>602746, 602747, 611596, 615411, 615412, 615413, 615414, 615415, 615416, 615417, 601721, 601722, 601723, 601724, 612988, 597467, 597468, 597469, 585311, 585312, 613917, 613918, 613919, 913920, 586799</t>
  </si>
  <si>
    <t>SONDERFAHRT 2024/144-1</t>
  </si>
  <si>
    <t>618607, 618608, 618609, 618610, 618611, 618612, 618613, 618614, 618615, 618616, 618617, 618618, 618619, 618620, 618621, 618622, 618623, 618624, 618625, 618626, 618627, 618628, 618629, 618630, 618631, 618632, 618633, 618634, 618635, 618636, 618637, 618638, 618639</t>
  </si>
  <si>
    <t>MUSTERZUG je 1 Tray von 615703 + 615716</t>
  </si>
  <si>
    <t>MUSTERZUG je 1 Tray von 614979</t>
  </si>
  <si>
    <t>618715, 618716, 618717, 618718, 618719, 618720, 618721, 618722</t>
  </si>
  <si>
    <t>601725, 601726, 612323, 587066, 589352, 594797, 594798, 594799, 612052, 612053, 611763, 611764, 612989, 612990, 613921, 000121, 000122</t>
  </si>
  <si>
    <t>SONDERFAHRT 2024/155-1</t>
  </si>
  <si>
    <t>618310, 618311, 618312</t>
  </si>
  <si>
    <t>MUSTERZUG je 2 Trays von 615500 + 615503</t>
  </si>
  <si>
    <t>SONDERFAHRT 2024/155-2</t>
  </si>
  <si>
    <t xml:space="preserve">Direktanlieferung am 31.05.24_1 PANPHARMA </t>
  </si>
  <si>
    <t>Einlagerung aus Direktanlieferung am 31.05.24_1 PANPHARMA 
SALDO: 772 (Verfügbar: --130)</t>
  </si>
  <si>
    <t>Direktanlieferung am 10.06.24_1 PANPHARMA 
SALDO: 767 (Verfügbar: --125)</t>
  </si>
  <si>
    <t>619129, 619130, 619131, 619132, 619133, 619134, 619135, 619136, 619137, 619138</t>
  </si>
  <si>
    <t xml:space="preserve">Einlagerung aus Direktanlieferung am 10.06.24_1 PANPHARMA </t>
  </si>
  <si>
    <t>Direktanlieferung am 12.06.24_1 PANPHARMA 
SALDO: 783 (Verfügbar: --141)</t>
  </si>
  <si>
    <t xml:space="preserve">Einlagerung aus Direktanlieferung am 12.06.24_1 PANPHARMA </t>
  </si>
  <si>
    <t>611751, 611774</t>
  </si>
  <si>
    <t>SONDERFAHRT 2024/155-3</t>
  </si>
  <si>
    <t>619218, 619219, 619220, 619221, 619222, 619223, 619224, 619225, 619226, 619227, 619228, 619229, 619230, 619231, 619232, 619233</t>
  </si>
  <si>
    <t>600666, 601300, 601301, 601302, 601303, 605391, 605392, 615912, 615913, 613805, 613806, 613807, 612991, 612992, 611752, 611753, 602748, 602749, 602750, 602751, 602752, 610892, 619218, 619219, 619220, 591231, 598255, 598256, 598257</t>
  </si>
  <si>
    <t>SONDERFAHRT 2024/155-4</t>
  </si>
  <si>
    <t>MUSTERZUG je 1 Tray von 619226, 619228, 619230, 619232</t>
  </si>
  <si>
    <t>606349, 606350, 606351, 606352, 606353, 606354, 606355, 606356</t>
  </si>
  <si>
    <t>611765, 611766, 611767</t>
  </si>
  <si>
    <t>SONDERFAHRT 2024/167-1</t>
  </si>
  <si>
    <t>Direktanlieferung am 18.06.24_1 PANPHARMA 
SALDO: 769 (Verfügbar: --127)</t>
  </si>
  <si>
    <t xml:space="preserve">Einlagerung aus Direktanlieferung am 18.06.24_1 PANPHARMA </t>
  </si>
  <si>
    <t>619636, 619637, 619638, 619639, 619640, 619641, 619642, 619643, 619644, 619645, 619646, 619647</t>
  </si>
  <si>
    <t>Direktanlieferung am 19.06.24_1 PANPHARMA 
SALDO: 779 (Verfügbar: --137)</t>
  </si>
  <si>
    <t>619655, 619656, 619657, 619658, 619659, 619660, 619661, 619662, 619663, 619664</t>
  </si>
  <si>
    <t>Direktanlieferung am 20.06.24_1 PANPHARMA 
SALDO: 781 (Verfügbar: --139)</t>
  </si>
  <si>
    <t xml:space="preserve">Einlagerung aus Direktanlieferung am 20.06.24_1 PANPHARMA </t>
  </si>
  <si>
    <t>615914, 615915, 615916, 613463, 613464, 603571, 603572, 602989, 602990, 602991, 613922, 613923, 613924, 613925, 613926, 611768, 611769, 611770, 611771</t>
  </si>
  <si>
    <t>Sonderfahrt 2024/167-2</t>
  </si>
  <si>
    <t>619726, 619727</t>
  </si>
  <si>
    <t>MUSTERZUG je 1 Tray von 619726</t>
  </si>
  <si>
    <t>Einlagerung aus Direktanlieferung am 19.06.24_1 PANPHARMA</t>
  </si>
  <si>
    <t>000150, 000152, 000154</t>
  </si>
  <si>
    <t>Sonderfahrt 2024/167-3</t>
  </si>
  <si>
    <t>Je 4x Markierung anbringen: 619726, 619727</t>
  </si>
  <si>
    <t>Sonderfahrt 2024/177-1</t>
  </si>
  <si>
    <t>585313, 598942, 598943, 619636, 597032, 597033, 597034, 597035, 599432, 599433, 608436, 608437, 619727, 619221, 589354, 603573</t>
  </si>
  <si>
    <t>594429, 594430, 594431, 594432, 612252, 612253, 612254, 612255, 612062, 612063, 612064, 612065</t>
  </si>
  <si>
    <t>602993, 602994, 615418, 615419, 615420, 599434, 598944, 598945, 619726, 613927, 613928, 614558, 586801, 619637</t>
  </si>
  <si>
    <t xml:space="preserve">Vereinfachte Inventur 14 Paletten prüfen *0,5 Aufwand </t>
  </si>
  <si>
    <r>
      <t xml:space="preserve">nur das Vorhandensein der EB-Nummern abgleichen. </t>
    </r>
    <r>
      <rPr>
        <b/>
        <sz val="11"/>
        <color theme="1"/>
        <rFont val="Calibri"/>
        <family val="2"/>
        <scheme val="minor"/>
      </rPr>
      <t xml:space="preserve"> </t>
    </r>
    <r>
      <rPr>
        <sz val="11"/>
        <color theme="1"/>
        <rFont val="Calibri"/>
        <family val="2"/>
        <scheme val="minor"/>
      </rPr>
      <t/>
    </r>
  </si>
  <si>
    <t>620320, 620321, 620322, 620323, 620324, 620325, 620326, 620327, 620328, 620329, 620330, 620331, 620333, 620334, 620335, 620336, 620337, 620338</t>
  </si>
  <si>
    <t>603574, 603575, 598258, 619222, 619223, 605393, 605394, 605395, 610985, 610986, 619638, 619639, 585314</t>
  </si>
  <si>
    <t>SONDERFAHRT 2024/187-1</t>
  </si>
  <si>
    <t>SONDERFAHRT 2024/190-1</t>
  </si>
  <si>
    <t>605114, 605115, 605116, 605117, 605118, 605119, 605120, 000014, 000031, 000032</t>
  </si>
  <si>
    <t>Gestellung zur Überprüfung durch PPH am 11.07.24
000006, 000014, 000015, 000029, 000030, 000031, 000032, 000073, 000074, 000075, 000076, 000077, 000078</t>
  </si>
  <si>
    <t>Eb0000156</t>
  </si>
  <si>
    <t>MUSTERZUG je 1 Tray von 612252</t>
  </si>
  <si>
    <t>610995, 610996, 610997, 610998, 614625, 602992, 602995, 602996, 602997, 605396, 615421, 615422, 613808, 603576, 605936, 614563, 606693, 606694, 613929, 613930, 613931, 613932, 603577</t>
  </si>
  <si>
    <t>SONDERFAHRT 2024/200-1</t>
  </si>
  <si>
    <t>Direktanlieferung am 04.07.24_1 PANPHARMA 
SALDO: 773 (Verfügbar: --131)</t>
  </si>
  <si>
    <t xml:space="preserve">Einlagerung aus Direktanlieferung am 04.07.24_1 PANPHARMA </t>
  </si>
  <si>
    <t>Direktanlieferung am 19.07.24_1 PANPHARMA 
SALDO: 729 (Verfügbar: --87)</t>
  </si>
  <si>
    <t xml:space="preserve">Einlagerung aus Direktanlieferung am 19.07.24_1 PANPHARMA </t>
  </si>
  <si>
    <t>626433, 626434, 626435, 626436, 626437, 626438, 626439, 626440, 626441, 626442, 626443, 626444, 626445, 626446, 626447</t>
  </si>
  <si>
    <t>MUSTERZUG je 1 Tray von 626447</t>
  </si>
  <si>
    <t>Direktanlieferung am 22.07.24_1 PANPHARMA 
SALDO: 739 (Verfügbar: --97)</t>
  </si>
  <si>
    <t xml:space="preserve">Einlagerung aus Direktanlieferung am 22.07.24_1 PANPHARMA </t>
  </si>
  <si>
    <t>MUSTERZUG je 1 Tray von N344135 + 4 Trays von N344285 
(Direktanlieferung am 22.07.24_1 PANPHARMA )</t>
  </si>
  <si>
    <t>626483, 626484, 626485, 626486, 626487, 626488, 626489, 626490, 626491, 626492</t>
  </si>
  <si>
    <t>605121, 605122, 605123, 605124, 605125, 605126, 605127, 583240, 583241, 620333, 620334, 602998, 602999, 603000, 603001, 603002, 603003, 615500, 615501, 615502, 615503, 610999, 611000, 619640, 615024, 613933, 613934, 615006</t>
  </si>
  <si>
    <t>SONDERFAHRT 2024/207-1</t>
  </si>
  <si>
    <t>MUSTERZUG je 1 Tray von 626483</t>
  </si>
  <si>
    <t>Direktanlieferung am 01.08.24_1 PANPHARMA 
SALDO: 731 (Verfügbar: --89)</t>
  </si>
  <si>
    <t xml:space="preserve">Einlagerung aus Direktanlieferung am 01.08.24_1 PANPHARMA </t>
  </si>
  <si>
    <t>SONDERFAHRT 2024/214-1</t>
  </si>
  <si>
    <t>605397, 605398, 620335, 620336, 613809, 613810, 613811, 613812, 613813, 613814, 604951, 604952, 604953, 604954, 614788, 605937, 605938, 603578, 598946, 598947, 619641, 615025, 598948, 615007, 615008, 000153, 000155</t>
  </si>
  <si>
    <t>Direktanlieferung am 02.08.24_1 PANPHARMA 
SALDO: 716 (Verfügbar: --74)</t>
  </si>
  <si>
    <t xml:space="preserve">Einlagerung aus Direktanlieferung am 02.08.24_1 PANPHARMA </t>
  </si>
  <si>
    <t>Bereitstellung zur Prüfung durch PPH; Wiedereinlagerung</t>
  </si>
  <si>
    <t>000005, 000008, 000017, 000026, 000027, 000028, 000033, 000034, 000035, 000036, 000038, 000039, 000051, 000052, 000053, 000054, 000055, 000090, 000092, 000093, 000096, 000097, 000098, 000099, 000100, 000101, 000102, 000127, 000128, 000129, 000130, 000131, 000132, 000133, 000143</t>
  </si>
  <si>
    <t>626937, 626938, 626939, 626940, 626941, 626942, 626943, 626944, 626945, 626946, 626947, 626948, 626949, 626950, 626951, 626952, 626953, 626954, 626955, 626956</t>
  </si>
  <si>
    <t>000033, 000052, 000053, 000054, 000055, 000090, 000096, 000098, 000099, 000100, 000128, 000129, 000131, 000133</t>
  </si>
  <si>
    <t>SONDERFAHRT 2024/214-2</t>
  </si>
  <si>
    <t>627019, 627020, 627021, 627022, 627023, 627024, 627025, 627026, 627027, 627028, 627029, 627030</t>
  </si>
  <si>
    <t>606918, 626984, 626983, 626982, 626981, 626980</t>
  </si>
  <si>
    <t>650128, 610179, 610180, 610181, 610182, 610183, 619129, 619130, 603579, 598259, 615009, 615010, 000015, 000030</t>
  </si>
  <si>
    <t>SONDERFAHRT 2024/222-1</t>
  </si>
  <si>
    <t>619131, 599435, 599436, 599437, 619224, 598260, 598949, 611001, 614564, 614626</t>
  </si>
  <si>
    <t>SONDERFAHRT 2024/231-2</t>
  </si>
  <si>
    <t>619642, 619643, 619644, 614627, 614628, 614629, 619132, 619133, 619134, 605399, 605400, 607270, 607271, 607272, 606709-A, 606709-B, 606709-C, 606709-D</t>
  </si>
  <si>
    <t>SONDERFAHRT 2024/238-1</t>
  </si>
  <si>
    <t>627835, 627836, 627837, 627838, 627839, 627840</t>
  </si>
  <si>
    <t>615026, 615027, 615028</t>
  </si>
  <si>
    <t>SONDERFAHRT 2024/241-1</t>
  </si>
  <si>
    <t>611002, 611003, 611004, 610987, 610988, 610989, 610990</t>
  </si>
  <si>
    <t>SONDERFAHRT 2024/241-2</t>
  </si>
  <si>
    <t>Direktanlieferung am 03.09.24_1 PANPHARMA 
SALDO: 682 (Verfügbar: --40)</t>
  </si>
  <si>
    <t xml:space="preserve">Einlagerung aus Direktanlieferung am 03.09.24_1 PANPHARMA </t>
  </si>
  <si>
    <t>628315, 628316, 628317, 628318, 628319, 628320, 628321, 628322, 628323, 628324, 628325, 628326, 628327, 628328, 628329, 628330, 628331, 628332, 628333, 628334</t>
  </si>
  <si>
    <t>612062, 612063, 612064, 612065, 614875, 615011, 615012, 627019, 627020, 627021, 627022, 627023, 586802, 614570, 614571, 614572</t>
  </si>
  <si>
    <t>SONDERFAHRT 2024/248-1</t>
  </si>
  <si>
    <t xml:space="preserve">Vereinfachte Inventur 62 Paletten prüfen *0,5 Aufwand </t>
  </si>
  <si>
    <t>627835, 627836, 627837, 615029, 619645</t>
  </si>
  <si>
    <t>SONDERFAHRT 2024/257-1</t>
  </si>
  <si>
    <t xml:space="preserve">Direktanlieferung am 16.09.24_1 PANPHARMA </t>
  </si>
  <si>
    <t xml:space="preserve">Einlagerung aus Direktanlieferung am 16.09.24_1 PANPHARMA </t>
  </si>
  <si>
    <t xml:space="preserve">Direktanlieferung am 16.09.24_2 PANPHARMA </t>
  </si>
  <si>
    <t>Einlagerung aus Direktanlieferung am 16.09.24_2 PANPHARMA 
SALDO: 698 (Verfügbar: --56)</t>
  </si>
  <si>
    <t>628694, 628695, 628696, 628697, 628698, 628699, 628700, 628701, 628702, 628703, 628704, 628705, 628706, 628707, 628708, 628709, 628710, 628711, 628712, 628713, 628714</t>
  </si>
  <si>
    <t>628719, 628720, 628721, 628722, 628723, 628724, 628725, 628726, 628727, 628728, 628729, 628730, 628731, 628732, 628733, 628735</t>
  </si>
  <si>
    <t>MUSTERZUG je 1 Tray von 628694, 628695, 628696, 628697</t>
  </si>
  <si>
    <t>MUSTERZUG je 1 Tray von 628321, 628322, 628326, 628327</t>
  </si>
  <si>
    <t>SONDERFAHRT 2024/257-2</t>
  </si>
  <si>
    <t xml:space="preserve">Direktanlieferung am 24.09.24_1 PANPHARMA </t>
  </si>
  <si>
    <t xml:space="preserve">Direktanlieferung am 24.09.24_2 PANPHARMA </t>
  </si>
  <si>
    <t xml:space="preserve">Einlagerung aus Direktanlieferung am 24.09.24_1 PANPHARMA </t>
  </si>
  <si>
    <t>Einlagerung aus Direktanlieferung am 24.09.24_2 PANPHARMA 
SALDO: 721 (Verfügbar: --79)</t>
  </si>
  <si>
    <t>MUSTERZUG je 1 Tray von 629001, 629002, 629003</t>
  </si>
  <si>
    <t>Anllieferung mit nächstem Abruf</t>
  </si>
  <si>
    <t>629016, 629017, 629018, 629019, 629020, 629021, 629022, 629023, 629024</t>
  </si>
  <si>
    <t>629001, 629002, 629003, 629004, 629005, 629006, 629007, 629008, 629009, 629010, 629011, 629012, 629013, 629014, 629015</t>
  </si>
  <si>
    <t xml:space="preserve">Einlagerung aus Direktanlieferung am 26.09.24_1 PANPHARMA </t>
  </si>
  <si>
    <t>Direktanlieferung am 26.09.24_1 PANPHARMA 
SALDO: 727 (Verfügbar: --85)</t>
  </si>
  <si>
    <t>583243, 607273, 619225, 619226, 619227, 619228, 619229, 629016, 629017, 000151</t>
  </si>
  <si>
    <t>SONDERFAHRT 2024/268-1</t>
  </si>
  <si>
    <t>629108, 629109, 629110, 629111, 629112, 629113</t>
  </si>
  <si>
    <t>Direktanlieferung am 30.09.24_1 PANPHARMA 
SALDO: 742 (Verfügbar: --100)</t>
  </si>
  <si>
    <t xml:space="preserve">Einlagerung aus Direktanlieferung am 30.09.24_1 PANPHARMA </t>
  </si>
  <si>
    <t>629193, 629194, 629195, 629196, 629197, 629198, 629199, 629200, 629201, 629202, 629203, 629204, 629205, 629206, 629207, 629208, 629209, 629210, 629211, 629212, 629213, 629214, 629215, 629216, 629217</t>
  </si>
  <si>
    <t>629193, 607274, 619230, 619231, 619232, 619233, 626483, 626484, 626485, 626486, 626487, 626488, 589355, 611747, 611748, 611749, 615013, 619646</t>
  </si>
  <si>
    <t>SONDERFAHRT 2024/273-1</t>
  </si>
  <si>
    <t>MUSTERZUG je 1 Tray von 629108, 629113</t>
  </si>
  <si>
    <t>613278, 613279, 613280, 613281</t>
  </si>
  <si>
    <t>SONDERFAHRT 2024/273-1 (18-20 Uhr)</t>
  </si>
  <si>
    <t>629369, 629370, 629371, 629372, 629373, 629374, 629375, 629376, 629377, 629378, 629379</t>
  </si>
  <si>
    <t>Direktanlieferung am 08.10.24_1 PANPHARMA 
SALDO: 731 (Verfügbar: --89)</t>
  </si>
  <si>
    <t xml:space="preserve">Einlagerung aus Direktanlieferung am 08.10.24_1 PANPHARMA </t>
  </si>
  <si>
    <t>612252, 612253, 612254, 612255, 614789, 614790, 614791, 614792, 589356, 619647, 629369, 615014, 615015</t>
  </si>
  <si>
    <t>SONDERFAHRT 2024/273-2</t>
  </si>
  <si>
    <t>Direktanlieferung am 14.10.24_1 PANPHARMA 
SALDO: 718 (Verfügbar: --76)</t>
  </si>
  <si>
    <t xml:space="preserve">MUSTERZUG je 
1 Tray von 3 Paletten aus Direktanlieferung am 14.10.24_1 PANPHARMA </t>
  </si>
  <si>
    <t>629523, 629524, 629525, 629526, 629527, 629528, 629529, 629530</t>
  </si>
  <si>
    <t xml:space="preserve">Einlagerung aus Direktanlieferung am 14.10.24_1 PANPHARMA </t>
  </si>
  <si>
    <t>629593, 629594, 629595, 629596, 629597, 629598, 629599, 629600</t>
  </si>
  <si>
    <t xml:space="preserve">Einlagerung aus Direktanlieferung am 16.10.24_1 PANPHARMA </t>
  </si>
  <si>
    <t>610184, 610185, 610186, 610187, 610188, 610189, 610190, 602753, 602754, 602755, 602756, 602757, 602758, 602759, 589357</t>
  </si>
  <si>
    <t>Direktanlieferung am 16.10.24_1 PANPHARMA 
SALDO: 734 (Verfügbar: --92)</t>
  </si>
  <si>
    <t>SONDERFAHRT 2024/288-1</t>
  </si>
  <si>
    <t>594429, 594430, 594431, 594432</t>
  </si>
  <si>
    <t>SONDERFAHRT 2024/288-2</t>
  </si>
  <si>
    <t>594433, 594434, 594435, 594437</t>
  </si>
  <si>
    <t>SONDERFAHRT 2024/297-1</t>
  </si>
  <si>
    <t>SONDERFAHRT 2024/297-2</t>
  </si>
  <si>
    <t>602760, 602761, 602762, 602763, 602764, 603295, 603296, 603297, 611754, 629370, 629371, 614630</t>
  </si>
  <si>
    <t>SONDERFAHRT 2024/297-3</t>
  </si>
  <si>
    <t>610192, 610193, 612324, 612325, 612326, 612327, 612328, 618627, 618628, 603580, 606634, 605939, 605940, 615016, 612055, 612056, 612057, 612058</t>
  </si>
  <si>
    <t>SONDERFAHRT 2024/301-1</t>
  </si>
  <si>
    <t>611757, 627030</t>
  </si>
  <si>
    <t>Bereitstellung zur Überprüfung</t>
  </si>
  <si>
    <t>SONDERFAHRT 2024/310-1</t>
  </si>
  <si>
    <t>Direktanlieferung am 07.11.24_1 PANPHARMA 
SALDO: 710 (Verfügbar: --68)</t>
  </si>
  <si>
    <t xml:space="preserve">Einlagerung aus Direktanlieferung am 07.11.24_1 PANPHARMA </t>
  </si>
  <si>
    <t>630276, 630277, 630278, 630279, 630280, 630281, 630282, 630283, 630284, 630285, 630286, 630287, 630288, 630289, 630290, 630291, 630292, 630293, 630295, 630296, 630297, 630298, 630299, 630300, 630301, 630302, 630303, 630304, 630305, 630306, 630307, 630308</t>
  </si>
  <si>
    <t>Direktanlieferung am 08.11.24_1 PANPHARMA 
SALDO: 726 (Verfügbar: --84)</t>
  </si>
  <si>
    <t xml:space="preserve">Einlagerung aus Direktanlieferung am 08.11.24_1 PANPHARMA </t>
  </si>
  <si>
    <t>630363, 630364, 630365, 630366, 630367, 630368, 630369, 630378, 630379, 630380, 630381, 630382, 630383, 630384, 630385, 630386</t>
  </si>
  <si>
    <t>601304, 601305, 601306, 618629, 599723, 606635, 605941, 605942, 605943, 606695, 611775, 611776, 627024, 627025, 627026, 615017, 615018, 629372</t>
  </si>
  <si>
    <t>SONDERFAHRT 2024/323-1</t>
  </si>
  <si>
    <t>MUSTERZUG je 1 Tray von 628326</t>
  </si>
  <si>
    <t>Direktanlieferung am 15.11.24_1 PANPHARMA 
SALDO: 730 (Verfügbar: --88)</t>
  </si>
  <si>
    <t>632500, 632501, 632502, 632503, 632504, 632505, 632506, 632507, 632508, 632509, 632510, 632512, 632513, 632514, 632515, 632516, 632517, 632518, 632519, 632520, 632521, 632522</t>
  </si>
  <si>
    <t xml:space="preserve">Einlagerung aus Direktanlieferung am 15.11.24_1 PANPHARMA </t>
  </si>
  <si>
    <t xml:space="preserve">Einlagerung aus Direktanlieferung am 18.11.24_1 PANPHARMA </t>
  </si>
  <si>
    <t>Direktanlieferung am 18.11.24_1 PANPHARMA 
SALDO: 745 (Verfügbar: --103)</t>
  </si>
  <si>
    <t>632587, 632588, 632589, 632590, 632591, 632592, 632593, 632594, 632595, 632596, 632597, 632598, 632599, 632600, 632601</t>
  </si>
  <si>
    <t>607275, 607276, 607277, 629213, 615565, 615563, 606349, 606350, 606351, 606352, 606353, 606354, 606355, 606356, 606357, 606358, 606359, 606360, 606361, 606362, 606365, 606366, 606367, 606368, 606369, 606370, 606371, 606372, 606373, 606374, 606375, 615699, 615700, 615701</t>
  </si>
  <si>
    <t>SONDERFAHRT 2024/330-1</t>
  </si>
  <si>
    <t>613815, 613816, 614981, 614982, 606918, 626980, 626981, 626982, 626983, 626984, 605944, 629373, 629374, 629375, 629376, 614631</t>
  </si>
  <si>
    <t>SONDERFAHRT 2024/334-1</t>
  </si>
  <si>
    <t>Direktanlieferung am 02.12.24_1 PANPHARMA 
SALDO: 722 (Verfügbar: --80)</t>
  </si>
  <si>
    <t xml:space="preserve">Einlagerung aus Direktanlieferung am 02.12.24_1 PANPHARMA </t>
  </si>
  <si>
    <t xml:space="preserve">MUSTERZUG je 
je 1 Tray von 6 Paletten aus Direktanlieferung am 02.12.24_1 PANPHARMA </t>
  </si>
  <si>
    <t>Direktanlieferung am 03.12.24_1 PANPHARMA 
SALDO: 732 (Verfügbar: --90)</t>
  </si>
  <si>
    <t xml:space="preserve">Einlagerung aus Direktanlieferung am 03.12.24_1 PANPHARMA </t>
  </si>
  <si>
    <t xml:space="preserve">MUSTERZUG 3 Kartons aus Direktanlieferung am 03.12.24_1 PANPHARMA </t>
  </si>
  <si>
    <t>633076, 633077, 633078, 633079, 633080, 633081, 633082, 633083, 633084, 633085, 633086, 633087, 633088, 633089, 633090, 633091, 633092, 633093, 633094, 633095, 633096, 633097, 633098, 633099, 633100, 633101, 633102</t>
  </si>
  <si>
    <t>MUSTERZUG je 1 Tray von 633082, 633086</t>
  </si>
  <si>
    <t>633160, 633161, 633164, 633165, 633171, 633173, 633174, 633176, 633177, 633178</t>
  </si>
  <si>
    <t>601307, 601308, 607278, 607279, 607280, 607281, 614703, 614983, 614984, 606636, 606637, 594438, 594439, 608499, 608500, 608501, 605945, 614565, 615019, 615020, 615021, 615022, 615023</t>
  </si>
  <si>
    <t>2024/344-1</t>
  </si>
  <si>
    <t>633047, 633048, 633049, 633050</t>
  </si>
  <si>
    <r>
      <t xml:space="preserve">nur das Vorhandensein der EB-Nummern abgleichen. </t>
    </r>
    <r>
      <rPr>
        <b/>
        <sz val="11"/>
        <color theme="1"/>
        <rFont val="Calibri"/>
        <family val="2"/>
        <scheme val="minor"/>
      </rPr>
      <t xml:space="preserve"> 
Lagerbestand = 651 (EB-Pal) am 12.12.2024</t>
    </r>
    <r>
      <rPr>
        <sz val="11"/>
        <color theme="1"/>
        <rFont val="Calibri"/>
        <family val="2"/>
        <scheme val="minor"/>
      </rPr>
      <t/>
    </r>
  </si>
  <si>
    <r>
      <t xml:space="preserve">nur das Vorhandensein der EB-Nummern abgleichen. </t>
    </r>
    <r>
      <rPr>
        <b/>
        <sz val="11"/>
        <color theme="1"/>
        <rFont val="Calibri"/>
        <family val="2"/>
        <scheme val="minor"/>
      </rPr>
      <t xml:space="preserve"> 
Lagerbestand = 732 (EB-Pal) am 14.12.2023</t>
    </r>
  </si>
  <si>
    <t xml:space="preserve">Vereinfachte Inventur 652 Paletten prüfen *0,5 Aufwand </t>
  </si>
  <si>
    <t>2024/350-1</t>
  </si>
  <si>
    <t>614704, 614705, 614706, 614707, 614708, 614709, 605682, 614985, 614986, 614987, 612329, 612330, 611772, 611773</t>
  </si>
  <si>
    <t>2024/350-2</t>
  </si>
  <si>
    <t>612331, 612332, 612333, 612334, 614710, 614988, 614989, 603299, 603300, 603301, 603302, 603303, 626489, 626490, 626491, 626492, 628694, 628695, 628696, 628697, 628698, 628699, 628700, 628701, 628702, 628703, 611755, 630276, 630277</t>
  </si>
  <si>
    <t>EB-Nummern-Änderung: 633177 =&gt; 633815</t>
  </si>
  <si>
    <t>633160, 633161, 633164, 633165, 633171, 633173, 633174, 633176, 633815, 633178</t>
  </si>
  <si>
    <t>Gestellung zur Überprüpfung durch PPH am 20.12.24</t>
  </si>
  <si>
    <t>633818, 633819, 633820, 633821, 633822, 633823</t>
  </si>
  <si>
    <t>EB-Nummern-Änderung: 633178 =&gt; 633281</t>
  </si>
  <si>
    <t>633160, 633161, 633164, 633165, 633171, 633173, 633174, 633176, 633815, 633281</t>
  </si>
  <si>
    <t>Direktanlieferung am 09.01.25_1 PANPHARMA 
SALDO: 691 (Verfügbar: --49)</t>
  </si>
  <si>
    <t xml:space="preserve">Einlagerung aus Direktanlieferung am 09.01.25_1 PANPHARMA </t>
  </si>
  <si>
    <t>2025/15-1</t>
  </si>
  <si>
    <t>629209, 629210, 629211, 629212, 619135, 614711, 620337, 620338, 633084, 603298, 603304, 603305, 603306, 603307, 612196, 612197, 612198, 612199, 612200, 612201, 612202, 612203, 612204, 612205, 612206, 612207, 612208, 612209, 612210, 629001, 629002, 614566, 629377, 633818, 627027</t>
  </si>
  <si>
    <t>634241, 634242, 634243, 634244, 634245, 634246, 634247, 634248, 634249, 634250, 634251, 634252, 634253, 634254, 634255</t>
  </si>
  <si>
    <t>619136, 614990, 614991, 614992, 628735, 614567, 629378, 629018, 630278</t>
  </si>
  <si>
    <t>2025/20-1</t>
  </si>
  <si>
    <t>619137, 615917, 615702, 614876, 614877, 614878, 614879, 614880, 632500, 632501, 606696, 606697, 630279</t>
  </si>
  <si>
    <t>2025/30-1</t>
  </si>
  <si>
    <t>Direktanlieferung am 24.01.25_1 PANPHARMA 
SALDO: 691 (Verfügbar: --06)</t>
  </si>
  <si>
    <t>634859, 634860, 634861, 634862, 634863, 634864, 634865, 634866, 634867, 634868, 634869, 634870, 634871, 634872</t>
  </si>
  <si>
    <t>612335, 612336, 612337, 612338, 618607, 618608, 618609, 618610, 618611, 608503, 608504, 608505, 608506, 608507, 608508, 608509, 628315, 632502, 614568, 630280, 629379, 633819</t>
  </si>
  <si>
    <t>2025/34-1</t>
  </si>
  <si>
    <t xml:space="preserve">Einlagerung aus Direktanlieferung am 24.01.25_1 PANPHARMA </t>
  </si>
  <si>
    <t>Direktanlieferung am 03.02.25_1 PANPHARMA 
SALDO: 654 (Verfügbar: --12)</t>
  </si>
  <si>
    <t>Einlagerung Direktanlieferung am 03.02.25_1 PANPHARMA</t>
  </si>
  <si>
    <t>auf Tisch</t>
  </si>
  <si>
    <t>MUSTERZUG je 1 Tray von 635204</t>
  </si>
  <si>
    <t>2025/40-1</t>
  </si>
  <si>
    <t>635177, 635178, 635179, 635180, 635181, 635182, 635183, 635184, 635185, 635186, 635187, 635188, 635189, 635190, 635191, 635192, 635193, 635194, 635195, 635196, 635197, 635198, 635199, 635200, 635201, 635202, 635203, 635204</t>
  </si>
  <si>
    <t>618612, 618613, 618614, 618615, 618616, 618617, 614712, 614713, 614714, 613460, 613461, 608502, 628316, 628317, 628318, 628319, 628320, 628321, 628322, 629113, 632503, 597783, 627838, 630281, 630282</t>
  </si>
  <si>
    <t>Direktanlieferung am 07.02.25_1 PANPHARMA 
SALDO: 650 (Verfügbar: --08)</t>
  </si>
  <si>
    <t xml:space="preserve">Einlagerung aus Direktanlieferung am 07.02.25_1 PANPHARMA </t>
  </si>
  <si>
    <t xml:space="preserve">Einlagerung aus Direktanlieferung am 07.02.25_2 PANPHARMA </t>
  </si>
  <si>
    <t>2025/40-2</t>
  </si>
  <si>
    <t>635390, 635391, 635392, 635393, 635394, 635395, 635396, 635397, 635398, 635399, 635400, 635401, 635402, 635403, 635404, 635405, 635406, 635407, 635408, 635409, 635410, 635411</t>
  </si>
  <si>
    <t>Direktanlieferung am 07.02.25_2 PANPHARMA 
SALDO: 687 (Verfügbar: --45)</t>
  </si>
  <si>
    <t>635420, 635421, 635422, 635425, 635426, 635427, 635428, 635429, 635430, 635431, 635432, 635433, 635434, 635435, 635436, 635437, 635438, 635439, 635440, 635441, 635442, 635443, 635444, 635445, 635446, 635447, 635448, 635449, 635450, 635451, 635452, 635453, 635454, 635455, 635456, 635457, 635458</t>
  </si>
  <si>
    <t>2025/53-1</t>
  </si>
  <si>
    <t>2025/53-1 Abholung PANPHARMA 10.02.25_1
SALDO: 694 (Verfügbar: --52)</t>
  </si>
  <si>
    <t>Einlagerung aus 2025/53-1 Abholung PANPHARMA 10.02.25_1</t>
  </si>
  <si>
    <t>635401, 635402, 635403</t>
  </si>
  <si>
    <t>635522, 635523, 635524, 635525, 635526, 635527, 635528, 635529, 635530, 635531</t>
  </si>
  <si>
    <t>601309, 613263, 613264, 613265</t>
  </si>
  <si>
    <t>2025/53-2</t>
  </si>
  <si>
    <t>618630, 613266, 615918, 615919, 615920, 615921, 615922, 615923, 615924, 615925, 615926, 615927, 615928, 629003, 629004, 629005, 629006, 629007, 629008, 629009, 629010, 629011, 629012, 629013, 629014, 629015, 635177, 635178, 606747</t>
  </si>
  <si>
    <t>2025/53-3</t>
  </si>
  <si>
    <t>635640, 635641, 635642, 635643, 635644, 635645, 635646, 635647</t>
  </si>
  <si>
    <t>2025/53-3 Abholung PANPHARMA 13.02.25_1
SALDO: 669 (Verfügbar: --27)</t>
  </si>
  <si>
    <t>Einlagerung aus 2025/53-3 Abholung PANPHARMA 13.02.25_1</t>
  </si>
  <si>
    <t>599724, 618631, 628323, 628324, 628325, 628326, 628327, 628328, 614793, 614794, 614795, 606749, 606750, 635404, 630283, 630284, 635390, 634859, 000071, 000073, 000078, 000105</t>
  </si>
  <si>
    <t>2025/57-1</t>
  </si>
  <si>
    <t>Einlagerung aus 2025/57-1 Abholung PANPHARMA 20.02.25_1</t>
  </si>
  <si>
    <t>2025/57-1 Abholung PANPHARMA 20.02.25_1
SALDO: 648 (Verfügbar: --06)</t>
  </si>
  <si>
    <t>Eb0000064</t>
  </si>
  <si>
    <t>Direktanlieferung PANPHARMA 26.02.25_1
SALDO: 656 (Verfügbar: --14)</t>
  </si>
  <si>
    <t>Direktanlieferung PANPHARMA 26.02.25_2
SALDO: 679 (Verfügbar: --37)</t>
  </si>
  <si>
    <t>Einlagerung aus Direktanlieferung PANPHARMA 26.02.25_1</t>
  </si>
  <si>
    <t>Einlagerung aus Direktanlieferung PANPHARMA 26.02.25_2</t>
  </si>
  <si>
    <t>636145, 636146, 636147, 636148, 636149, 636150, 636151, 636152</t>
  </si>
  <si>
    <t>2025/65-1</t>
  </si>
  <si>
    <t>636181, 636182, 636183, 636184, 636185, 636186, 636187, 636188, 636189, 636190, 636191, 636192, 636193, 636194, 636195, 636196, 636197, 636198, 636199, 636200, 636201, 636202, 636203</t>
  </si>
  <si>
    <t>MUSTERZUG je 1 Tray von 636203</t>
  </si>
  <si>
    <t>618310, 618311, 618312, 618632, 618633, 618634, 628704, 606751, 606752, 632504, 634241, 634242, 634243, 630285, 634860, 635391, 633820, 635405, 635406, 635407, 635408</t>
  </si>
  <si>
    <t xml:space="preserve">Einlagerung aus Direktanlieferung am 03.03.25_1 PANPHARMA </t>
  </si>
  <si>
    <t>Direktanlieferung am 03.03.25_1 PANPHARMA 
SALDO: 689 (Verfügbar: --47)</t>
  </si>
  <si>
    <t>636306, 636307, 636308, 636309, 636310, 636311, 636312, 636313, 636314, 636315, 636316, 636317, 636318, 636319, 636320, 636321, 636322, 636323, 636324, 636325, 636326, 636327, 636328, 636330, 636331, 636332, 636333, 636334, 636335, 636336, 636337</t>
  </si>
  <si>
    <t>MUSTERZUG je 1 Tray von 636337</t>
  </si>
  <si>
    <t>Direktanlieferung am 04.03.25_1 PANPHARMA 
SALDO: 718 (Verfügbar: --76)</t>
  </si>
  <si>
    <t xml:space="preserve">Einlagerung aus Direktanlieferung am 04.03.25_1 PANPHARMA </t>
  </si>
  <si>
    <t>636419, 636420, 636421, 636422, 636423, 636424, 636425, 636426, 636427, 636428, 636429, 636430, 636431, 636432, 636433, 636434, 636435, 636436, 636437, 636438, 636439, 636440, 636441, 636442, 636443, 636444, 636445, 636446, 636447</t>
  </si>
  <si>
    <t>618618, 599725, 599726, 628329, 628330, 628331, 628332, 628333, 628334, 636181, 636182, 636183, 636184, 636185, 636186, 636187, 636188, 627028, 634244, 634245, 634246, 632505</t>
  </si>
  <si>
    <t>2025/78-1</t>
  </si>
  <si>
    <t>Direktanlieferung am 10.03.25_1 PANPHARMA 
SALDO: 712 (Verfügbar: --70)</t>
  </si>
  <si>
    <t xml:space="preserve">Einlagerung aus Direktanlieferung am 10.03.25_1 PANPHARMA </t>
  </si>
  <si>
    <t>636693, 636694, 636695, 636696, 636697, 636698, 636700, 636701, 636702, 636703, 636704, 636705, 636706, 636707, 636708, 636709</t>
  </si>
  <si>
    <t xml:space="preserve">MUSTERZUG je 1 Tray von Direktanlieferung am 10.03.25_1 PANPHARMA </t>
  </si>
  <si>
    <t>Abholung</t>
  </si>
  <si>
    <t>618619, 618620, 618621, 618622, 618623, 613267, 613268, 613269, 613270, 635179, 635180, 635181, 635182, 635183, 636189, 636190, 636191, 636192, 636193, 636194, 606754, 606755, 606756, 632506, 602464, 602658, 602659, 627839, 627029, 630306, 630286, 630287, 635392, 634861</t>
  </si>
  <si>
    <t>2025/79-1</t>
  </si>
  <si>
    <t xml:space="preserve">Einlagerung aus Direktanlieferung am 17.03.25_1 PANPHARMA </t>
  </si>
  <si>
    <t>Direktanlieferung am 17.03.25_1 PANPHARMA 
SALDO: 697 (Verfügbar: --55)</t>
  </si>
  <si>
    <t>636907, 636908, 636909, 636910, 636911, 636912, 636913, 636914, 636915, 636916, 636917, 636918, 636919, 636920, 636921, 636922, 636923, 636924, 636939</t>
  </si>
  <si>
    <t>618138, 626433, 628705, 628706, 629108, 629109, 629110, 629111, 602660, 602661, 630307, 630308</t>
  </si>
  <si>
    <t>2025/85-1</t>
  </si>
  <si>
    <t>626434, 626435, 626436, 606638, 606639, 636907, 636908, 636909, 636910, 636911, 636912, 605947, 630288, 635393, 634252</t>
  </si>
  <si>
    <t>Eb0000073</t>
  </si>
  <si>
    <t>633083, 636337, 620320, 620321, 618635, 618636, 618637, 606640, 606641, 605946, 606654, 606655, 606656, 636913, 636914, 636915, 636916, 636917, 636918, 636919, 636920, 636921, 632507, 632508, 611777, 611778, 627840, 630363, 630289, 635394, 635395, 634862</t>
  </si>
  <si>
    <t>2025/102-1</t>
  </si>
  <si>
    <t>634044, 634045, 634046, 634047, 634050, 634051, 634052, 618227, 637385, 637386, 637387, 637388</t>
  </si>
  <si>
    <t xml:space="preserve">2025/96-1 </t>
  </si>
  <si>
    <t>2025/96-1
SALDO: 671 (Verfügbar: --29)</t>
  </si>
  <si>
    <t>2025/106-1</t>
  </si>
  <si>
    <t>626437, 626438, 636336, 613271, 636145, 628707, 628708, 606757, 614569, 630364, 633821, 634863, 634864, 634865</t>
  </si>
  <si>
    <t>635184, 635185, 635186, 635187, 635188, 635189, 635190</t>
  </si>
  <si>
    <t>2025/106-2</t>
  </si>
  <si>
    <t>606367, 606372, 606373, 606374, 606375, 615699, 615700, 615701, 615702</t>
  </si>
  <si>
    <t>Direktanlieferung am 14.04.25_1 PANPHARMA 
SALDO: 652 (Verfügbar: --10)</t>
  </si>
  <si>
    <t xml:space="preserve">Einlagerung aus Direktanlieferung am 14.04.25_1 PANPHARMA </t>
  </si>
  <si>
    <t>MUSTERZUG je 1 Tray von 638026, 638065</t>
  </si>
  <si>
    <t>2025/109-1</t>
  </si>
  <si>
    <t>613272, 613273, 620322, 620323, 620324, 620325, 626439, 626440, 626441, 632509, 635396, 630295, 630296, 613274</t>
  </si>
  <si>
    <t>638023, 638024, 638025, 638026, 638065, 638066, 638067, 638068, 638069, 638070, 638071, 638072, 638073</t>
  </si>
  <si>
    <t>618624, 618625, 618626, 626937, 626938, 626939, 630297, 634866, 635397, 628709, 628710, 628711</t>
  </si>
  <si>
    <t>2025/109-2</t>
  </si>
  <si>
    <t>Direktanlieferung am 29.04.25_1 PANPHARMA 
SALDO: 645 (Verfügbar: --03)</t>
  </si>
  <si>
    <t xml:space="preserve">Einlagerung aus Direktanlieferung am 29.04.25_1 PANPHARMA </t>
  </si>
  <si>
    <t>638746, 638747, 638748, 638749, 638750, 638751, 638752, 638753, 638754, 638755, 638756, 638757, 638758, 638759, 638760, 638761, 638762, 638763, 638764</t>
  </si>
  <si>
    <t>635191, 588888, 550943, 626940, 629019, 606698, 635398, 635399, 635400</t>
  </si>
  <si>
    <t>2025/118-1</t>
  </si>
  <si>
    <t>639208, 639204, 639205, 639206, 639207, 639208, 639209, 639210</t>
  </si>
  <si>
    <t>Direktanlieferung am 08.05.25_1 PANPHARMA 
SALDO: 644 (Verfügbar: --02)</t>
  </si>
  <si>
    <t xml:space="preserve">Einlagerung aus Direktanlieferung am 08.05.25_1 PANPHARMA </t>
  </si>
  <si>
    <t>626941, 626942, 626943, 626944, 626945, 626946, 626947, 626948, 626949, 626950, 626951, 626952, 626953, 626954, 626955, 626956, 620326, 618638, 632510, 632512, 630365, 630298, 630299, 630300, 630378, 630379, 630380</t>
  </si>
  <si>
    <t>2025/126-1</t>
  </si>
  <si>
    <t>639085, 639086, 601420, 601266, 639090, 639089, 639088, 639087</t>
  </si>
  <si>
    <t>639320, 639321, 639322, 639323, 639324, 639325, 639326, 639327, 639328, 639329</t>
  </si>
  <si>
    <t xml:space="preserve">Direktanlieferung am 19.05.25_1 PANPHARMA </t>
  </si>
  <si>
    <t>Direktanlieferung am 19.05.25_1 PANPHARMA 
SALDO: 635 (Verfügbar: +7)</t>
  </si>
  <si>
    <t>629194, 629195, 629196, 629197, 629198, 629199, 618639, 619655, 636922, 636923, 636924, 636939, GrKis1, GrKis2</t>
  </si>
  <si>
    <t>2025/133-1</t>
  </si>
  <si>
    <t>Direktanlieferung am 23.05.25_1 PANPHARMA 
SALDO: 626 (Verfügbar: +16)</t>
  </si>
  <si>
    <t xml:space="preserve">Einlagerung aus Direktanlieferung am 23.05.25_1 PANPHARMA </t>
  </si>
  <si>
    <t>639588, 639589, 639590-VS, 639591, 639592</t>
  </si>
  <si>
    <t>619656, 619657, 620327, 620328, 620329, 620330, 620331, 629593, 634247, 634248, 634249, 634250, 630290, 630291, 630292, 630293</t>
  </si>
  <si>
    <t>2025/137-1</t>
  </si>
  <si>
    <t>1 Pal. Bürobedarf für PPH mitnehmen + bereitstellen</t>
  </si>
  <si>
    <t>Direktanlieferung am 03.06.25_1 PANPHARMA 
SALDO: 626 (Verfügbar: +16)</t>
  </si>
  <si>
    <t xml:space="preserve">Einlagerung aus Direktanlieferung am 03.06.25_1 PANPHARMA </t>
  </si>
  <si>
    <t>639860, 639861, 639862, 639863, 639864, 639865, 639866, 639867, 639868, 639869, 639870, 639871, 639872, 639873, 639874, 639875</t>
  </si>
  <si>
    <t>598261, 598262, 598263, 598264, 598265, 606642, 606658, 632513, 618715, 614573, 630381, 630382, 630366, 634867, 639320, 639321, 639322</t>
  </si>
  <si>
    <t>2025/142-1</t>
  </si>
  <si>
    <t>Direktanlieferung am 16.06.25_1 PANPHARMA 
SALDO: 630 (Verfügbar: +12)</t>
  </si>
  <si>
    <t>MUSTERZUG  1 Tray von N344251 + 2 Trays von N344731</t>
  </si>
  <si>
    <t>640348, 640349, 640350, 640351, 640352, 640353, 640354, 640355, 640356, 640357, 640358, 640359, 640360, 640361, 640362, 640363, 640364, 640365, 640366, 640367, 640368</t>
  </si>
  <si>
    <t>Direktanlieferung am 18.06.25_1 PANPHARMA 
SALDO: 640 (Verfügbar: +02)</t>
  </si>
  <si>
    <t xml:space="preserve">Einlagerung aus Direktanlieferung am 18.06.25_1 PANPHARMA </t>
  </si>
  <si>
    <t>640472, 640473, 640474, 640475, 640476, 640477, 640478, 640479, 640480, 640481</t>
  </si>
  <si>
    <t>mit nächstem Abruf anliefern</t>
  </si>
  <si>
    <t xml:space="preserve">Einlagerung aus Direktanlieferung am 16.06.25_1 PANPHARMA </t>
  </si>
  <si>
    <t>619658, 619659, 629594, 635640, 635641, 635642, 635643, 635644, 630383, 632514, 632515, 638746, 638747, 638748, 630367</t>
  </si>
  <si>
    <t>2025/158-1</t>
  </si>
  <si>
    <t>629200, 629201, 629202, 629203, 615899, 615900, 615901, 629595, 629596, 633076, 633077, 633078, 633079, 633080, 636693, 636694, 638749, 638750</t>
  </si>
  <si>
    <t>2025/164-1</t>
  </si>
  <si>
    <t xml:space="preserve">Einlagerung aus Direktanlieferung am 27.06.25_1 PANPHARMA </t>
  </si>
  <si>
    <t>Direktanlieferung am 27.06.25_1 PANPHARMA 
SALDO: 640 (Verfügbar: +27) /// OHNE Papiere; Quittung über Scanner</t>
  </si>
  <si>
    <t>640855, 640856, 640857, 640858, 640859, 640860, 640863, 640864</t>
  </si>
  <si>
    <t>615902, 615903, 615904, 615905, 615906, 615907, 615908, 615909, 615910, 619660, 619661, 619662, 633085, 633086, 632516, 632517, 614574, 635420, 638751, 638752, 638753, 638754, 638755, 638756, 628712, 628713, 628714, 633822, 634868</t>
  </si>
  <si>
    <t>2025/169-2</t>
  </si>
  <si>
    <t>640973, 640974, 640975, 640976, 640977, 640978, 640979, 640980, 640981, 640985, 640986, 640987, 640988, 640989, 640990, 640991</t>
  </si>
  <si>
    <t>wurde mit Handhubwagen von Dimitrij abgeholt</t>
  </si>
  <si>
    <t>639203, 639204, 639205, 639206, 629597, 629598, 629599, 629600, 640855, 618716, 629020, 629021, 629022, 629023, 634869, 633823</t>
  </si>
  <si>
    <t>2025/179-1</t>
  </si>
  <si>
    <t>605683, 605684</t>
  </si>
  <si>
    <t>2025/179-2</t>
  </si>
  <si>
    <t>629204, 629205, 629206, 629207, 619663, 619664, 633087, 633088, 633089, 633090, 633091, 633092, 636323, 626442, 630384, 640348, 640349</t>
  </si>
  <si>
    <t>2025/191-1</t>
  </si>
  <si>
    <t>MUSTERZUG  1 Tray von 
638065, 638073, 638023, 638026</t>
  </si>
  <si>
    <t xml:space="preserve">mit Anlieferung aus Neu Wumlstorf ausgeliefert </t>
  </si>
  <si>
    <t>629208, 632587, 632588, 632589, 632590, 632591, 632592, 635192, 635193, 635194, 635195, 635196, 635197, 635198, 640350, 640351, 640352, 640353, 640354, 640355, 640356, 640357, 629523, 632518, 632519, 630385, 630386, 639860, 639861</t>
  </si>
  <si>
    <t>Direktanlieferung am 25.07.25_1 PANPHARMA 
SALDO: 548 (Verfügbar: +94)</t>
  </si>
  <si>
    <t>MUSTERZUG  2 Tray von Direktanlieferung 25.07.25_1</t>
  </si>
  <si>
    <t>2025/198-1</t>
  </si>
  <si>
    <t>639207, 639208, 639209, 626443, 626444, 626445, 626446, 626447, 636146, 629524, 629525, 618227, 632520, 638757, 638758</t>
  </si>
  <si>
    <t xml:space="preserve">Einlagerung aus Direktanlieferung am 25.07.25_1 PANPHARMA </t>
  </si>
  <si>
    <t>642173, 642174, 642175, 642176, 642177, 642178, 642179, 642180, 642182, 642183, 642184</t>
  </si>
  <si>
    <t>2025/193-1</t>
  </si>
  <si>
    <t>642069, 642070, 642071, 642072, 642073, 642074, 642075, 642076, 642077, 642078, 642079, 642080, 642081, 642082, 642084, 642085, 642086, 642087, 642088, 642089</t>
  </si>
  <si>
    <t xml:space="preserve">Direktanlieferung am 01.08.25_1 PANPHARMA </t>
  </si>
  <si>
    <t>MUSTERZUG je 1 Tray aus Ch.-Nr. 1639780 + 1639790</t>
  </si>
  <si>
    <t xml:space="preserve">Einlagerung aus Direktanlieferung am 01.08.25_1 PANPHARMA </t>
  </si>
  <si>
    <t>642253, 642254, 642255, 642256, 642257, 642258, 642259, 642260, 642261, 642262, 642263, 642264, 642265, 642266, 642267, 642268, 642269, 642270, 642271, 642272, 642273, 642274</t>
  </si>
  <si>
    <t>640973, 640974</t>
  </si>
  <si>
    <t>wurde heute durch Daniel Schidlowski per Hubwagen abgeholt</t>
  </si>
  <si>
    <t>634870, 634871, 634872, 618717, 640975, 640976, 640977, 640856, 640857, 640858, 628719, 628720</t>
  </si>
  <si>
    <t>2025/205-1</t>
  </si>
  <si>
    <t xml:space="preserve">Direktanlieferung am 11.08.25_1 PANPHARMA </t>
  </si>
  <si>
    <t>MUSTERZUG je 1 Tray aus Ch.-Nr. 1566400 + 1639770</t>
  </si>
  <si>
    <t>642575, 642576, 642577, 642578, 642579, 642580, 642581, 642582, 642583, 642584</t>
  </si>
  <si>
    <t xml:space="preserve">Einlagerung aus Direktanlieferung am 11.08.25_1 PANPHARMA </t>
  </si>
  <si>
    <t>636695, 636696, 636697, 636698, 632593, 636147, 636148, 629112, 637385, 630368, 632521, 629526, 629527, 629528</t>
  </si>
  <si>
    <t>2025/210-1</t>
  </si>
  <si>
    <t>642610, 642611, 642612</t>
  </si>
  <si>
    <t>636324, 636325</t>
  </si>
  <si>
    <t>2025/211-1</t>
  </si>
  <si>
    <t>632595, 632596, 632597, 632598, 632599, 632600, 632601, 636306, 636307, 636308, 636309, 639210, 636326, 636327, 632522</t>
  </si>
  <si>
    <t>2025/211-2</t>
  </si>
  <si>
    <t xml:space="preserve">Direktanlieferung am 26.08.25_1 PANPHARMA </t>
  </si>
  <si>
    <t>643105, 64316, 643107, 643108, 643109, 643110, 643111, 643112, 643113, 643114, 643115, 643116, 643117, 643118, 643119, 643120, 643121, 643122, 643123, 643124, 643125, 643126, 643127, 643128, 643129</t>
  </si>
  <si>
    <t>Einlagerung aus Direktanlieferung am 26.08.25_1 PANPHARMA 
SALDO: 568 (Verfügbar: +74)</t>
  </si>
  <si>
    <t>632594, 636311, 636312, 636313, 636314, 636315, 636316, 636317, 636318, 636328, 636330, 635422, 635436, 635409, 635410, 630369</t>
  </si>
  <si>
    <t xml:space="preserve">Direktanlieferung am 28.08.25_1 PANPHARMA </t>
  </si>
  <si>
    <t xml:space="preserve">Einlagerung aus Direktanlieferung am 28.08.25_1 PANPHARMA </t>
  </si>
  <si>
    <t>643273, 643274, 643275-VS, 643276, 643277, 643278, 643279, 643280, 643281, 643282, 643283, 643284, 643285, 643286, 643287, 643288, 643289, 643290, 643291, 643292</t>
  </si>
  <si>
    <t>638023, 638024, 638025, 638026, 640358, 640359, 640360, 640361, 640362, 640363, 640364, 640365, 638759, 638760</t>
  </si>
  <si>
    <t>2025/219-2</t>
  </si>
  <si>
    <t>2025/219-1</t>
  </si>
  <si>
    <t>MUSTERZUG je 1 Tray aus 643274 + 643275</t>
  </si>
  <si>
    <t>aus DA vom 28.08.25 / Auslieferung mit Abrufen</t>
  </si>
  <si>
    <t>628721, 628722, 628723, 636310, 636319, 636320, 583586, 640978, 635411, 635437, 640985</t>
  </si>
  <si>
    <t>2025/225-1</t>
  </si>
  <si>
    <t xml:space="preserve">Direktanlieferung am 11.09.25_1 PANPHARMA </t>
  </si>
  <si>
    <t>643869, 643870, 643871, 643872, 643873, 643874, 643875, 643876, 643877, 643878, 643879, 643880, ohneNr, ohneNr</t>
  </si>
  <si>
    <t xml:space="preserve">Einlagerung aus Direktanlieferung am 11.09.25_1 PANPHARMA </t>
  </si>
  <si>
    <t>636149, 636150, 640472, 640473, 637386, 635438, 618718, 638761, 638762, 639864, 643111, ohneNr, ohneNr</t>
  </si>
  <si>
    <t>2025/227-1</t>
  </si>
  <si>
    <t>643668, 643669, 643670, 643671, 643672, 643673, 643674, 643675, 643676, 643677, 643678, 643679, 643680, 643681, 643682, 643683, 643684, 643685, 643686, 643687, 643665, 643666, 643882-A, 643882-B, 643882-C, 643882-D</t>
  </si>
  <si>
    <t>Inventur 10 Pal: 
639862, 639863, 639864, 639865, 639866, 639867, 639868, 639869, 639870, 639871</t>
  </si>
  <si>
    <t>Ergebnis: alle bis auf 1 hier / bereits ausgeliefert: 639864 (am 11.09.25)</t>
  </si>
  <si>
    <t xml:space="preserve">Direktanlieferung am 19.09.25_1 PANPHARMA </t>
  </si>
  <si>
    <t xml:space="preserve">Einlagerung aus Direktanlieferung am 19.09.25_1 PANPHARMA </t>
  </si>
  <si>
    <t>644156, 644157, 644158, 644159, 644160, 644161, 644162, 644163, 644164, 644165, 644166, 644167, 644168, 644169, 644170, 644171, 644172, 644173, 644174, 644175, 644176, 644177, 644178, 644179, 644180, 644181, 644182, 644183, 644184, 644185, 644186, 644187, 644188, 644189</t>
  </si>
  <si>
    <t>Direktanlieferung am 22.09.25_1 PANPHARMA  // PALETTENTAUSCH!!!</t>
  </si>
  <si>
    <t>644226, 644227, 644228, 644229, 644230, 644231</t>
  </si>
  <si>
    <t>Einlagerung aus Direktanlieferung am 22.09.25_1 PANPHARMA  // PALETTENTAUSCH!!!</t>
  </si>
  <si>
    <t>550421, 599727, 628724, 628725, 628726, 628727, 635645, 635646, 635647, 635439, 606643, 598292, 606657, 638763, 638764, 629024, 643105</t>
  </si>
  <si>
    <t>2025/237-1</t>
  </si>
  <si>
    <t>644152, 644153, 644154, 644155</t>
  </si>
  <si>
    <t>550422, 550423</t>
  </si>
  <si>
    <t>2025/239-1</t>
  </si>
  <si>
    <t>644421, 644422, 644423, 644423</t>
  </si>
  <si>
    <t>Direktanlieferung am 29.09.25_1 PANPHARMA</t>
  </si>
  <si>
    <t>Einlagerung aus Direktanlieferung am 29.09.25_1 PANPHARMA</t>
  </si>
  <si>
    <t>644546, 644547, 644548</t>
  </si>
  <si>
    <t>636195, 636196, 636197, 636198, 636199, 636321, 636322, 636419, 636420, 636421, 636422, 643869, 643870, 643871, 639862, 639863, 639323</t>
  </si>
  <si>
    <t>2025/244-1</t>
  </si>
  <si>
    <t>644474, 644475</t>
  </si>
  <si>
    <t>Direktanlieferung am 06.10.25_1 PANPHARMA</t>
  </si>
  <si>
    <t>MUSTERZUG je 1 Tray aus 644547</t>
  </si>
  <si>
    <t>644629, 644630, 644631, 644632, 644633, 644634, 644635, 644636, 644637, 644638, 644639, 644640, 644641, 644642, 644643, 644644, 644645, 644646, 644647, 644648, 644649, 644650, 644651</t>
  </si>
  <si>
    <t>644421, 642173, 642174, 642175, 635522, 598293, 598294, 598295, 598296, 598297, 630301, 630302, 630303, 640979, 639324</t>
  </si>
  <si>
    <t>Direktanlieferung am 09.10.25_1 PANPHARMA</t>
  </si>
  <si>
    <t>MUSTERZUG je 1 Tray aus Ch-Nr.1633640 + 1633650</t>
  </si>
  <si>
    <t>2025/251-1</t>
  </si>
  <si>
    <t>Einlagerung aus Direktanlieferung am 09.10.25_1 PANPHARMA</t>
  </si>
  <si>
    <t>MUSTERZUG je 3 Stück aus 644155, 644189, 644168</t>
  </si>
  <si>
    <t>Direktanlieferung am 13.10.25_1 PANPHARMA</t>
  </si>
  <si>
    <t>Einlagerung aus Direktanlieferung am 13.10.25_1 PANPHARMA</t>
  </si>
  <si>
    <t>644842, 644843, 644844, 644845, 644846, 644847, 644848, 644849, 644850, 644851, 644852, 644853, 644854, 644855, 644856, 644857</t>
  </si>
  <si>
    <t>644880, 644881, 644882, 644883, 644884, 644890, 644891, 644892, 644893, 644894, 644895, 644896, 644897, 644898, 644899, 644900, 644901, 644902, 644903, 644904, 644905, 644906, 644907, 644908, 644909, 644910</t>
  </si>
  <si>
    <t>Direktanlieferung am 15.10.25_1 PANPHARMA</t>
  </si>
  <si>
    <t>MUSTERZUG je 1 Tray aus Ch-Nr.1639750</t>
  </si>
  <si>
    <t>2025/252-1</t>
  </si>
  <si>
    <t>Einlagerung aus Direktanlieferung am 15.10.25_1 PANPHARMA
SALDO: 661 (Verfügbar: --19)</t>
  </si>
  <si>
    <t>Direktanlieferung am 16.10.25_1 PANPHARMA</t>
  </si>
  <si>
    <t>Einlagerung aus Direktanlieferung am 16.10.25_1 PANPHARMA
SALDO: 679 (Verfügbar: --37)</t>
  </si>
  <si>
    <t>MUSTERZUG je 1 Tray aus 644849</t>
  </si>
  <si>
    <t>642176, 642177, 642178, 642179, 642180, 628728, 628729, 635440, 639872, 644170, 644171, 644172, 644173, 644152, 643112, 643113, 643114</t>
  </si>
  <si>
    <t>2025/252-2</t>
  </si>
  <si>
    <t>645058, 645059, 645060, 645061, 645062</t>
  </si>
  <si>
    <t>645032, 645033, 645034, 645035, 645036, 645037, 645038, 645039, 645040, 645041, 645042, 645043, 645044, 645045, 645046, 645047, 645048, 645049, 645050, 645051</t>
  </si>
  <si>
    <t>645100, 645101, 645102, 645103, 645104, 645105, 645106, 645107, 645108, 645109, 645110, 645111, 645112, 645113, 645114, 645115, 645116, 645117, 645118</t>
  </si>
  <si>
    <t>Direktanlieferung am 17.10.25_1 PANPHARMA</t>
  </si>
  <si>
    <t>Einlagerung aus Direktanlieferung am 17.10.25_1 PANPHARMA</t>
  </si>
  <si>
    <t>MUSTERZUG je 1 Tray aus Direktanlieferung am 17.01.25_1</t>
  </si>
  <si>
    <t>Direktanlieferung am 20.10.25_1 PANPHARMA</t>
  </si>
  <si>
    <t>MUSTERZUG je 1 Tray aus Direktanlieferung am 20.01.25_1</t>
  </si>
  <si>
    <t>645179, 645180, 645181, 645182</t>
  </si>
  <si>
    <t>645233, 645234, 645235, 645236, 645237, 645238, 645239, 645240</t>
  </si>
  <si>
    <t>Einlagerung aus Direktanlieferung am 20.10.25_1 PANPHARMA
SALDO: 679 (Verfügbar: --37)</t>
  </si>
  <si>
    <t>Direktanlieferung am 22.10.25_1 PANPHARMA</t>
  </si>
  <si>
    <t>645341, 645342, 645343, 645344, 645345, 645346, 645347, 645348</t>
  </si>
  <si>
    <t>Einlagerung aus Direktanlieferung am 22.10.25_1 PANPHARMA
SALDO: 687 (Verfügbar: --45)</t>
  </si>
  <si>
    <t>MUSTERZUG je 1 Tray aus Direktanlieferung Ch.1633620 am 22.01.25_1</t>
  </si>
  <si>
    <t>636423, 636424, 636425, 636426, 636427, 636428, 636429, 645341, 645342, 645343, 645344, 645345, 645346, 645347, 636331, 636332, 635425, 639865, 639866, 639867, 639868, 639869, 634254, 644226, 644227, 644228, 644229, 644635, 644636, 644637, 644638, 644639</t>
  </si>
  <si>
    <t>2025/260-1
SALDO: 655 (Verfügbar: --13)</t>
  </si>
  <si>
    <t>Bereitstellung zur Prüfung: 645032</t>
  </si>
  <si>
    <t>Lieferantencharge-Nr. prüfen</t>
  </si>
  <si>
    <t>Direktanlieferung am 27.10.25_1 PANPHARMA</t>
  </si>
  <si>
    <t>Einlagerung aus Direktanlieferung am 27.10.25_1 PANPHARMA
SALDO: 675 (Verfügbar: --33)</t>
  </si>
  <si>
    <t>2025/265-1</t>
  </si>
  <si>
    <t>645509, 645510, 645511, 645512, 645513, 645514, 645515, 645516, 645517, 645518, 645519, 645520, 645521, 645522, 645523, 645524, 645525, 645526, 645527, 645528</t>
  </si>
  <si>
    <t>Direktanlieferung am 28.10.25_1 PANPHARMA</t>
  </si>
  <si>
    <t>Einlagerung aus Direktanlieferung am 28.10.25_1 PANPHARMA
SALDO: 687 (Verfügbar: --45)</t>
  </si>
  <si>
    <t>2025/265-3</t>
  </si>
  <si>
    <t>636430, 636431, 636432, 636433, 636333, 636334, 636335, 635199, 635200, 635201, 635202, 635203, 635204, 643273, 643274, 635426, 635441, 635442</t>
  </si>
  <si>
    <t>Einlagerung aus Direktanlieferung am 30.10.25_1 PANPHARMA</t>
  </si>
  <si>
    <t>Direktanlieferung am 30.10.25_1 PANPHARMA
SALDO: 676 (Verfügbar: --34)</t>
  </si>
  <si>
    <t>Direktanlieferung am 30.10.25_2 PANPHARMA
SALDO: 686 (Verfügbar: --44)</t>
  </si>
  <si>
    <t>Einlagerung aus Direktanlieferung am 30.10.25_2 PANPHARMA</t>
  </si>
  <si>
    <t>645644, 645645, 645646, 645647, 645648, 645649, 645650, 645651, 645652, 645653, 645654, 645655, 645656</t>
  </si>
  <si>
    <t>Direktanlieferung am 03.11.25_1 PANPHARMA
SALDO: 696 (Verfügbar: --54)</t>
  </si>
  <si>
    <t>Einlagerung aus Direktanlieferung am 03.11.25_1 PANPHARMA</t>
  </si>
  <si>
    <t>645697, 645698, 645699, 645700, 645701, 645702, 645703</t>
  </si>
  <si>
    <t>Direktanlieferung am 04.11.25_1 PANPHARMA
SALDO: 711 (Verfügbar: --69)</t>
  </si>
  <si>
    <t>Einlagerung aus Direktanlieferung am 04.11.25_1 PANPHARMA</t>
  </si>
  <si>
    <t>MUSTERZUG je 1 Tray aus Direktanlieferung am 30.10.25_2
Ch-Nr.1566390 + Ch-Nr.1639800</t>
  </si>
  <si>
    <t>MUSTERZUG je 1 Tray aus Direktanlieferung am 04.11.25_1
Ch-Nr.1633630 + Ch-Nr.1633880 + Ch-Nr.1663940</t>
  </si>
  <si>
    <t>644422, 644423, 644424</t>
  </si>
  <si>
    <t>2025/271-1</t>
  </si>
  <si>
    <t>645766, 645767, 645768, 645769, 645770, 645771, 645772, 645773, 645774, 645775</t>
  </si>
  <si>
    <t>645780, 645781, 645782, 645783, 645784, 645785, 645786, 645787, 645788, 645789</t>
  </si>
  <si>
    <t>2025/271-2</t>
  </si>
  <si>
    <t>642254, 642255, 642256, 642257, 642258, 642575, 636436, 640366, 640367, 640368, 642069, 642070, 642071, 642072, 642073, 642074, 642075, 642076, 642077, 642078, 642079, 629529, 629530, 633160, 597786</t>
  </si>
  <si>
    <t>645915, 645916, 645917, 645918, 645919, 645920, 645921, 645922, 645924, 645925, 645926, 645927, 645928, 645929, 645930</t>
  </si>
  <si>
    <t>Einlagerung aus Direktanlieferung am 13.11.25_1 PANPHARMA</t>
  </si>
  <si>
    <t>MUSTERZUG je 1 Tray aus Direktanlieferung am 13.11.25_1
Ch.-Nr. 1639760 +  Ch.-Nr. 1633930 + Ch.-Nr. 1633870 + Ch.-Nr. 1664170</t>
  </si>
  <si>
    <t>2025/279-1</t>
  </si>
  <si>
    <t>636434, 636435, 642260, 642261, 642262, 642263, 642264, 642265, 642266, 642267, 642268, 642269, 642576, 642577, 642578, 642579, 642580, 642581, 642582, 642583, 642584, 618719, 618720, 636151, 633161, 644157, 644158</t>
  </si>
  <si>
    <t>Direktanlieferung am 13.11.25_1 PANPHARMA
SALDO: 714 (Verfügbar: --72)</t>
  </si>
  <si>
    <t>646469, 646470, 646471, 646472, 646473, 646475, 646476, 646477, 646478, 646479, 646480, 646481, 646482, 646483, 646484, 646485, 646486, 646487, 646488, 646489, 646490, 646491, 646492, 646493, 646494, 646496, 646497, 646498, 646499</t>
  </si>
  <si>
    <t>642259, 636437, 636438, 645766, 644547, 644548, 643275, 643276, 643277, 643278, 643279, 643280, 643281, 643282, 640980, 640981, 643115</t>
  </si>
  <si>
    <t>2025/282-1</t>
  </si>
  <si>
    <t>646647, 646648, 646649, 646650</t>
  </si>
  <si>
    <t>1 Pal. Getränke von PPH für PPH-Büro OHS3a</t>
  </si>
  <si>
    <t>Direktanlieferung am 21.11.25_1 PANPHARMA
SALDO: 698 (Verfügbar: --56)</t>
  </si>
  <si>
    <t>Einlagerung aus Direktanlieferung am 21.11.25_1 PANPHARMA</t>
  </si>
  <si>
    <t>MUSTERZUG je 1 Tray aus Direktanlieferung am 13.11.25_1
Ch.-Nr. 1633920 +  Ch.-Nr. 1633940 + Ch.-Nr. 1633680 + Ch.-Nr. 1633910</t>
  </si>
  <si>
    <t>aus Direktanlieferung am 21.11.25_1 PANPHARMA</t>
  </si>
  <si>
    <t>2025/279-1 // aus Direktanlieferung am 13.11.25_1 PANPHARMA</t>
  </si>
  <si>
    <t>ACHTUNG: Lagerkontrakt bis Ende 2025 festgeschrieben. Es finden Anfang 2024 und 2025 jährliche Inflationsanpassungen statt.</t>
  </si>
  <si>
    <t>Direktanlieferung am 24.11.25_1 PANPHARMA
SALDO: 714 (Verfügbar: --72)</t>
  </si>
  <si>
    <t>Einlagerung aus Direktanlieferung am 24.11.25_1 PANPHARMA</t>
  </si>
  <si>
    <t>646847, 646848, 646849, 646850, 646851, 646852, 646853, 646854, 646855, 646856, 646857, 646858, 646859, 646860, 646861, 646862, 646863, 646864, 646865, 646866, 646867, 646868, 646869, 646870, 646871, 646872</t>
  </si>
  <si>
    <t>646897, 646898, 646899, 646900, 646901, 646902, 646903, 646904, 646905, 646906, 646907, 646908, 646909, 646910, 646911, 646912</t>
  </si>
  <si>
    <t>MUSTERZUG je 1 Tray 646897 + 646898</t>
  </si>
  <si>
    <t>1 Pal. Getränkeleergut aus Büro OHS</t>
  </si>
  <si>
    <t>645348, 645915</t>
  </si>
  <si>
    <t>2025/282-2</t>
  </si>
  <si>
    <t>640859, 646871, 643283, 643284, 643285, 643286, 643287, 643288, 643289, 643290, 643291, 643292, 644890, 633164, 635443, 630304, 644474</t>
  </si>
  <si>
    <t>2025/282-3</t>
  </si>
  <si>
    <t>Direktanlieferung am 01.12.25_1 PANPHARMA
SALDO: 722 (Verfügbar: --80)</t>
  </si>
  <si>
    <t>647271, 647272, 647273, 647274, 647275, 647276, 647277, 647278, 647279, 647280, 647281, 647282, 647283, 647284, 647285, 647286, 647287, 647288, 647289, 647290, 647291, 647292, 647293, 647294, 647295, 647296, 647297</t>
  </si>
  <si>
    <t>Einlagerung aus Direktanlieferung am 01.12.25_1 PANPHARMA</t>
  </si>
  <si>
    <t>636439, 643665, 643666, 633165, 633171, 636152, 637387, 618721, 630305, 639870, 639871, 644475, 644640, 644641, 601420, 606699, 643872</t>
  </si>
  <si>
    <t>2025/292-1</t>
  </si>
  <si>
    <t>635522; 647399; 647400; 647401; 647402; 647403</t>
  </si>
  <si>
    <t>635522, 635523, 635524(VS), 635525, 635526, 635527, 635528, 635529, 635530, 635531(VS)</t>
  </si>
  <si>
    <t>Bereitstellung auf Anforderungsemail vom 03.12.25 / wird durch Sped. abgeholt</t>
  </si>
  <si>
    <t>Ausgeliefert am 05.12.25: LKW 34R20922 / 34KM3383 Hakan Surikaya</t>
  </si>
  <si>
    <t>634044, 634045</t>
  </si>
  <si>
    <t>2025/295-1</t>
  </si>
  <si>
    <t>644546, 645767, 645768, 645916, 645917, 644153, 634046, 644642, 644643, 644644, 644645, 644646, 644647, 644648, 644649, 644650, 644651</t>
  </si>
  <si>
    <t>2025/295-2</t>
  </si>
  <si>
    <t>633093, 633094</t>
  </si>
  <si>
    <t>2025/295-3</t>
  </si>
  <si>
    <t>Direktanlieferung am 18.12.25_1 PANPHARMA
SALDO: 699 (Verfügbar: --57)</t>
  </si>
  <si>
    <t>647990, 647991, 647992, 647993, 647994, 647995, 647996, 647997, 647998, 647999, 648000, 648001, 648002, 648003, 648004, 648005, 648006, 648007, 648008</t>
  </si>
  <si>
    <t>Einlagerung aus Direktanlieferung am 18.12.25_1 PANPHARMA</t>
  </si>
  <si>
    <t>642270, 642271, 642272, 645769, 645770, 645771, 645772, 645773, 633095, 633096, 633097, 635427, 643106, 643873, 643874, 643875, 645100, 645101, 
643882-A, 643882-B, 642882-C, 642882-D</t>
  </si>
  <si>
    <t>2025/297-1</t>
  </si>
  <si>
    <t xml:space="preserve">Vereinfachte Inventur 619 Paletten prüfen *0,5 Aufwand </t>
  </si>
  <si>
    <r>
      <t xml:space="preserve">nur das Vorhandensein der EB-Nummern abgleichen. </t>
    </r>
    <r>
      <rPr>
        <b/>
        <sz val="11"/>
        <color theme="1"/>
        <rFont val="Calibri"/>
        <family val="2"/>
        <scheme val="minor"/>
      </rPr>
      <t xml:space="preserve"> 
Lagerbestand = 619 von 619 (EB-Pal) am 19.12.2025 vorhanden</t>
    </r>
  </si>
  <si>
    <t>2026/5-1</t>
  </si>
  <si>
    <t>642273, 642274, 642182, 642183, 636440, 636441, 645924, 645925, 645926, 639588, 597789, 635428, 647997, 647998, 647999, 648006, 643107</t>
  </si>
  <si>
    <t>2026/5-2</t>
  </si>
  <si>
    <t>Einlagerung aus Direktanlieferung am 12.01.26_1 PANPHARMA</t>
  </si>
  <si>
    <t>648452, 648453, 648454, 648455, 648456, 648460, 648461, 648462, 648463, 648464, 648465, 648466, 648467, 648468, 648469, 648470, 648471, 648472, 648473, 648475, 648476, 648477, 648478, 648482, 648483, 648484, 648485, 648486, 648487, 648488, 648489, 648490, 648491, 648492, 648493</t>
  </si>
  <si>
    <t>Direktanlieferung am 15.01.26_1 PANPHARMA
SALDO: 706 (Verfügbar: --64)</t>
  </si>
  <si>
    <t>Direktanlieferung am 12.01.26_1 PANPHARMA
SALDO: 694 (Verfügbar: --52)</t>
  </si>
  <si>
    <t>Einlagerung aus Direktanlieferung am 15.01.26_1 PANPHARMA</t>
  </si>
  <si>
    <t>645774, 645775, 646857, 646858, 646859, 646860, 645922, 636442, 636443, 565513, 565514, 645058, 635444, 648000, 648001, 643116, 643117</t>
  </si>
  <si>
    <t>2026/11-1</t>
  </si>
  <si>
    <t>648384, 648385, 648386, 648387, 648388, 648389, 000157, 000158, 000159, 000160, 000161</t>
  </si>
  <si>
    <t>642184, 646496, 639325, 639326</t>
  </si>
  <si>
    <t>2026/11-2</t>
  </si>
  <si>
    <t>648673, 648674, 648675, 648676, 648677, 648678, 648679, 648680, 648681, 648682, 648687, 648688</t>
  </si>
  <si>
    <t>2026/11-1
SALDO: 700 (Verfügbar: --58)</t>
  </si>
  <si>
    <t>Direktanlieferung am 20.01.26_1 PANPHARMA
SALDO: 713 (Verfügbar: --71)</t>
  </si>
  <si>
    <t>Einlagerung aus Direktanlieferung am 20.01.26_1 PANPHARMA</t>
  </si>
  <si>
    <t>648911, 648912, 648913, 648914, 648915, 648916, 648917, 648918, 648919, 648920, 648921, 648922, 648923, 648924, 648925, 648926, 648927</t>
  </si>
  <si>
    <t>MUSTERZUG je 1 Tray aus Direktanlieferung am 20.01.26_1</t>
  </si>
  <si>
    <t>2026/17-2</t>
  </si>
  <si>
    <t>636200, 636201</t>
  </si>
  <si>
    <t>2026/17-1</t>
  </si>
  <si>
    <t>643118, 643119, 646861, 646862, 646863, 646864, 645921, 646469, 646470, 646471, 565515, 643108, 643109, 643110, 644629, 645102, 645103</t>
  </si>
  <si>
    <t>645919, 645920</t>
  </si>
  <si>
    <t>2026/20-2</t>
  </si>
  <si>
    <t>2026/20-1</t>
  </si>
  <si>
    <t>647990, 647991, 647992</t>
  </si>
  <si>
    <t>Direktanlieferung am 27.01.26_1 PANPHARMA
SALDO: 722 (Verfügbar: --80)</t>
  </si>
  <si>
    <t>Einlagerung aus Direktanlieferung am 27.01.26_1 PANPHARMA</t>
  </si>
  <si>
    <t>MUSTERZUG je 1 Tray aus Direktanlieferung am 27.01.26_1</t>
  </si>
  <si>
    <t>MUSTERZUG je 1 Tray aus 648911, 648673</t>
  </si>
  <si>
    <t>MUSTERZUG je 1 Tray aus 644891, 645509, 645644, 645645</t>
  </si>
  <si>
    <t>Direktanlieferung am 28.01.26_1 PANPHARMA
SALDO: 744 (Verfügbar: --102)</t>
  </si>
  <si>
    <t>Einlagerung aus Direktanlieferung am 28.01.26_1 PANPHARMA</t>
  </si>
  <si>
    <t>628730, 628731, 628732, 628733</t>
  </si>
  <si>
    <t>649223, 649224, 649225, 649226, 649227, 649228, 649229, 649230, 649231, 649232, 649233, 649234, 649235, 649236, 649237, 649238, 649239, 649240, 649241, 649242, 649243, 649244, 649245, 649246, 649247, 649248, 649249, 649250, 649251, 249252, 649253, 649254, 649255</t>
  </si>
  <si>
    <t>Direktanlieferung am 29.01.26_1 PANPHARMA
SALDO: 766 (Verfügbar: --124)</t>
  </si>
  <si>
    <t>Einlagerung aus Direktanlieferung am 29.01.26_1 PANPHARMA</t>
  </si>
  <si>
    <t>2026/24-1</t>
  </si>
  <si>
    <t>mit nächstem Abruf 2026/24-1</t>
  </si>
  <si>
    <t>643668, 643669, 646472, 635445, 635446, 640986</t>
  </si>
  <si>
    <t>649362, 649363, 649364, 649365, 649366, 649367, 649368, 649369, 649370, 649371, 649372, 649373, 649374, 649375, 649376, 649377, 649378, 649379, 649380, 649381, 649382, 649383</t>
  </si>
  <si>
    <t>soll am 29.01.26 abgeholt werden</t>
  </si>
  <si>
    <t>Bereitstellung; soll am  29.01.26 abgeholt werden</t>
  </si>
  <si>
    <t>MUSTERZUG je 1 Tray aus 649449, 649456, 649383</t>
  </si>
  <si>
    <t>649431, 649432, 649433, 649434, 649345, 649436, 649437, 649438, 649439, 649440, 649441, 649442, 649443, 649444, 649445, 649446, 649447, 649448, 649449, 649454, 649455, 649456</t>
  </si>
  <si>
    <t>648002, 648003, 648004, 648005</t>
  </si>
  <si>
    <t>2026/24-2</t>
  </si>
  <si>
    <t>Direktanlieferung am 02.02.26_1 PANPHARMA
SALDO: 767 (Verfügbar: --125)</t>
  </si>
  <si>
    <t>Direktanlieferung am 03.02.26_1 PANPHARMA
SALDO: 782 (Verfügbar: --140)</t>
  </si>
  <si>
    <t>Einlagerung aus Direktanlieferung am 02.02.26_1 PANPHARMA</t>
  </si>
  <si>
    <t>Einlagerung aus Direktanlieferung am 03.02.26_1 PANPHARMA</t>
  </si>
  <si>
    <t>MUSTERZUG je 1 Tray aus 1641870 + 1675290</t>
  </si>
  <si>
    <t>MUSTERZUG je 1 Tray aus N241211</t>
  </si>
  <si>
    <t>649692, 649693, 649694, 649695, 649696, 649697, 649698, 649699, 649700, 649701, 649702, 649703, 649704, 649705, 649706</t>
  </si>
  <si>
    <t>649675, 649676, 649677, 649678, 649679, 649680, 649681, 649682, 649683, 649684, 649685, 649686, 649687, 649688, 649689</t>
  </si>
  <si>
    <t>643670, 643671, 643672, 643673, 646865, 646866, 648911, 633098, 633099, 633100, 633101, 646473, 649692, 649693, 649694, 618722, 643120, 635447, 635448</t>
  </si>
  <si>
    <t>2026/33-1 (2 Fahrten)</t>
  </si>
  <si>
    <t>MUSTERZUG je 1 Tray aus 649703, 649255</t>
  </si>
  <si>
    <t>643674, 643675, 643676, 643677, 643678, 643679, 643680, 643681, 643682, 644842, 645780, 638065, 638066, 638067, 638068, 638069, 644891, 644892, 644893, 644894, 642080, 642081, 635421, 635429, 640987, 643121, 643122, 643123, 634047, 634050, 644174, 644159, 644160, 643876</t>
  </si>
  <si>
    <t>2026/39-1</t>
  </si>
  <si>
    <t>MUSTERZUG je 1 Tray aus 644880</t>
  </si>
  <si>
    <t>649827, 629828, 649829, 649830, 649831</t>
  </si>
  <si>
    <t>2026/39-1 (2 Fahrten)</t>
  </si>
  <si>
    <t>Direktanlieferung am 17.02.26_1 PANPHARMA
SALDO: 746 (Verfügbar: --104)</t>
  </si>
  <si>
    <t>Einlagerung aus Direktanlieferung am 17.02.26_1 PANPHARMA</t>
  </si>
  <si>
    <t>650218, 650219, 650220, 650221, 650222, 650223, 650224, 650225, 650226, 650227, 650228, 650229</t>
  </si>
  <si>
    <t>643683, 643684, 643685, 643686, 643687, 645918, 637388, 643124, 643125, 643126, 643127, 643128, 643129, 635449, 635450, 644161</t>
  </si>
  <si>
    <t>2026/42-1</t>
  </si>
  <si>
    <t>Direktanlieferung am 19.02.26_1 PANPHARMA
SALDO: 746 (Verfügbar: --104)</t>
  </si>
  <si>
    <t>Einlagerung aus Direktanlieferung am 19.02.26_1 PANPHARMA</t>
  </si>
  <si>
    <t>MUSTERZUG  2 Tray aus Direktanlieferung am 19.02.26_1 PANPHARMA</t>
  </si>
  <si>
    <t>650370, 650371, 650372, 650373, 650374, 650375, 650376, 650377, 650378, 650379, 650380, 650381, 650382, 650383, 650384, 650385</t>
  </si>
  <si>
    <t>648912, 648673, 648674, 648675, 648676, 648677, 648678, 648679, 648680, 645781, 644895, 640988, 643877</t>
  </si>
  <si>
    <t>2026/42-2</t>
  </si>
  <si>
    <t>MUSTERZUG je 1 Tray aus 650370</t>
  </si>
  <si>
    <t>Bereitstellung zur Prüfung: 649454, 649455, 649456</t>
  </si>
  <si>
    <t>Bereitstellung zur Prüfung durch PPH; Neuverpackung nach Musterzug</t>
  </si>
  <si>
    <t>648913, 633102, 644843, 644844, 550944, 645644, 645645, 645645, 645647, 645648, 645649, 635451, 635430, 639873, 639874, 639875, 606700, 000156</t>
  </si>
  <si>
    <t>2026/46-1</t>
  </si>
  <si>
    <t>648687, 648688</t>
  </si>
  <si>
    <t>2026/48-1</t>
  </si>
  <si>
    <t>645032, 645033, 645034, 645035, 645036, 648914, 644845, 648007, 648008, 642082, 644175, 644176, 644630, 647271, 647272, 647273, 647274</t>
  </si>
  <si>
    <t>2026/48-2</t>
  </si>
  <si>
    <t>MUSTERZUG je 1 Tray aus 649362, 649431</t>
  </si>
  <si>
    <t>650788, 650789, 650790, 650791, 650792, 650793</t>
  </si>
  <si>
    <t>649703, 649704</t>
  </si>
  <si>
    <t>651002, 651004, 651005, 651006, 651007, 651008, 651009, 651010</t>
  </si>
  <si>
    <t>Direktanlieferung am 06.03.26_1 PANPHARMA
SALDO: 708 (Verfügbar: --66)</t>
  </si>
  <si>
    <t>Einlagerung aus Direktanlieferung am 06.03.26_1 PANPHARMA</t>
  </si>
  <si>
    <t>MUSTERZUG je 1 Tray aus Direktanlieferung am 06.03.26_1 PANPHARMA</t>
  </si>
  <si>
    <t>Direktanlieferung am 06.03.26_2 PANPHARMA
SALDO: 724 (Verfügbar: --82)</t>
  </si>
  <si>
    <t>650986, 650987, 650988, 650989, 650990, 650991, 650992, 650993, 650994, 650995, 650996, 650997, 650998, 650999, 651000, 651001</t>
  </si>
  <si>
    <t>Einlagerung aus Direktanlieferung am 06.03.26_2 PANPHARMA</t>
  </si>
  <si>
    <t>650986, 638070, 638071</t>
  </si>
  <si>
    <t>2026/59-2</t>
  </si>
  <si>
    <t>649705, 649706</t>
  </si>
  <si>
    <t>2026/59-3</t>
  </si>
  <si>
    <t>Direktanlieferung am 10.03.26_1 PANPHARMA
SALDO: 727 (Verfügbar: --85)</t>
  </si>
  <si>
    <t>Einlagerung aus Direktanlieferung am 10.03.26_1 PANPHARMA</t>
  </si>
  <si>
    <t>Direktanlieferung am 10.03.26_2 PANPHARMA
SALDO: 744 (Verfügbar: --102)</t>
  </si>
  <si>
    <t>Einlagerung aus Direktanlieferung am 10.03.26_2 PANPHARMA</t>
  </si>
  <si>
    <t xml:space="preserve">MUSTERZUG je 21 Tray aus 4 Pal von Direktanlieferung am 10.03.26_1 </t>
  </si>
  <si>
    <t>MUSTERZUG je 1 Tray aus 4 Pal von Direktanlieferung am 06.03.26_2</t>
  </si>
  <si>
    <t>651114, 651115, 651116, 651117, 651118, 651119, 651120, 651121, 651122, 651123, 651124, 651125, 651126, 651127, 651128, 651129, 651130</t>
  </si>
  <si>
    <t>651133, 651134, 651135, 651136, 651137, 651138, 651139, 651140</t>
  </si>
  <si>
    <t>645927, 645928, 645929, 635431, 644230, 644231, 648384, 648385, 642084, 642085, 644631</t>
  </si>
  <si>
    <t>2026/61-1</t>
  </si>
  <si>
    <t>650999, 651000, 651001, 645037, 645038, 645039, 645040, 645041, 645042, 645043, 645044, 645045, 645046, 635452, 635453, 633173, 639589</t>
  </si>
  <si>
    <t>2026/65-1</t>
  </si>
  <si>
    <t>Direktanlieferung am 24.03.26_1 PANPHARMA
SALDO: 732 (Verfügbar: --90)</t>
  </si>
  <si>
    <t>Einlagerung aus Direktanlieferung am 24.03.26_1 PANPHARMA</t>
  </si>
  <si>
    <t>MUSTERZUG je 1 Tray aus 2 Pal von Direktanlieferung am 24.03.26_1</t>
  </si>
  <si>
    <t>651882, 651883, 651884, 651885, 651886, 651887, 651888, 651889, 651890, 651891, 651892, 651893, 651894, 651895, 651896, 651897</t>
  </si>
  <si>
    <t>Direktanlieferung am 25.03.26_1 PANPHARMA
SALDO: 742 (Verfügbar: --100)</t>
  </si>
  <si>
    <t>Einlagerung aus Direktanlieferung am 25.03.26_1 PANPHARMA</t>
  </si>
  <si>
    <t>2026/70-1</t>
  </si>
  <si>
    <t>2026/70-2</t>
  </si>
  <si>
    <t>645047, 645048, 645049, 645050, 645051, 646475, 646476, 646477, 644846, 644847, 644848, 645930, 635454, 634051, 634052, 650218, 647993, 645650, 645651, 645652, 645653, 645654, 643878, 643879</t>
  </si>
  <si>
    <t>652001, 652002, 652003, 652004, 652005, 652007, 652008, 652009, 652010, 652011</t>
  </si>
  <si>
    <t>650988, 650989, 650990</t>
  </si>
  <si>
    <t>2026/73-1</t>
  </si>
  <si>
    <t>***</t>
  </si>
  <si>
    <t>Direktanlieferung am 01.04.26_1 PANPHARMA
SALDO: 727 (Verfügbar: --85)</t>
  </si>
  <si>
    <t>Einlagerung aus Direktanlieferung am 01.04.26_1 PANPHARMA</t>
  </si>
  <si>
    <t>648681, 648915, 648916, 648917, 648918, 597790, 635432, 635433, 647275, 647276, 647277, 647278, 648386, 648387, 645782, 598298, 598299</t>
  </si>
  <si>
    <t>2026/79-1</t>
  </si>
  <si>
    <t>652268, 652269, 652270, 652271, 652272, 652273, 652274, 652276, 652277, 652278, 652279, 652280</t>
  </si>
  <si>
    <t>646478, 646479, 646480, 646481, 646482, 646483, 646484, 648682, 651883, 636444, 636445, 635455, 598300, 598301, 598302, 644177, 640989</t>
  </si>
  <si>
    <t>Einlagerung aus Direktanlieferung am 13.04.26_1 PANPHARMA</t>
  </si>
  <si>
    <t>Direktanlieferung am 13.04.26_1 PANPHARMA
SALDO: 706 (Verfügbar: --64)</t>
  </si>
  <si>
    <t>Einlagerung aus Direktanlieferung am 14.04.26_1 PANPHARMA</t>
  </si>
  <si>
    <t>Direktanlieferung am 14.04.26_1 PANPHARMA
SALDO: 731 (Verfügbar: --89)</t>
  </si>
  <si>
    <t>MUSTERZUG je 1 Tray aus 2 Pal von Direktanlieferung am 13.04.26_1</t>
  </si>
  <si>
    <t>MUSTERZUG je 1 Tray aus Ch-Nr. 1692830 + 1689490</t>
  </si>
  <si>
    <t>Einlagerung aus Direktanlieferung am 15.04.26_1 PANPHARMA</t>
  </si>
  <si>
    <t>652673, 652674, 652675, 652676, 652677, 652678, 652679, 652680, 652681, 652682, 652683, 652684, 652685, 652686, 652687, 652688, 652689, 652690, 652691, 652692, 652693, 652694, 652695, 652696, 652697</t>
  </si>
  <si>
    <t>652654, 652655, 652656, 652657, 652658, 652659, 652660, 652661, 652662, 652663, 652664, 652665, 652666</t>
  </si>
  <si>
    <t>Direktanlieferung am 15.04.26_1 PANPHARMA
SALDO: 745 (Verfügbar: --103)</t>
  </si>
  <si>
    <t>652838, 652839, 652840, 652841, 652842, 652843, 652844, 652845, 652846, 652847, 652848, 652849, 652850, 652851</t>
  </si>
  <si>
    <t>2026/90-1</t>
  </si>
  <si>
    <t>2026/84-1</t>
  </si>
  <si>
    <t>636446, 636447, 636704, 648922, 648919, 648920, 648921, 647279, 647280, 647281, 647282, 647283, 647284, 635456, 642086, 642087, 642088</t>
  </si>
  <si>
    <t>652613, 652612, 652611, 652610, 000156</t>
  </si>
  <si>
    <t>Direktanlieferung am 20.04.26_1 PANPHARMA
SALDO: 746 (Verfügbar: --104)</t>
  </si>
  <si>
    <t>Einlagerung aus Direktanlieferung am 20.04.26_1 PANPHARMA</t>
  </si>
  <si>
    <t>MUSTERZUG je 1 Tray aus 2 Pal von Direktanlieferung am 20.04.26_1</t>
  </si>
  <si>
    <t>Abholtisch</t>
  </si>
  <si>
    <t>652954, 652955, 652956, 652957, 652958, 652959, 652960, 652961, 652962, 652963, 652964, 652965, 652966</t>
  </si>
  <si>
    <t>642253, 652964, 652965, 636705, 636706, 648923, 648924, 635457, 635434, 650219, 650220, 650221, 639590, 642089, 645509, 645510, 645511, 633174, 644154, 644155, 652673, 652674, 647285, 647286</t>
  </si>
  <si>
    <t>2026/97-1</t>
  </si>
  <si>
    <t>Direktanlieferung am 24.04.26_1 PANPHARMA
SALDO: 755 (Verfügbar: --113)</t>
  </si>
  <si>
    <t>653199, 653200, 653201, 653202, 653203, 653204, 653205, 653206, 653207, 653208, 653209, 653210, 653211, 653212, 653213, 653214, 653215, 653216, 653217, 653218, 653219, 653220, 653221, 653222, 653223, 653224, 653225, 653226, 653227, 653228, 653229, 653230, 653231</t>
  </si>
  <si>
    <t>Direktanlieferung am 24.04.26_2 PANPHARMA
SALDO: 779 (Verfügbar: --137)</t>
  </si>
  <si>
    <t>Einlagerung aus Direktanlieferung am 24.04.26_2 PANPHARMA</t>
  </si>
  <si>
    <t>Einlagerung aus Direktanlieferung am 24.04.26_1 PANPHARMA</t>
  </si>
  <si>
    <t>MUSTERZUG je 1 Tray aus 2 Pal von Direktanlieferung am 24.04.26_2</t>
  </si>
  <si>
    <t>653232, 653233, 653234, 653235, 653236, 653237, 653238, 653239, 653240, 653241, 653242, 653243, 653244, 653245, 653246, 653247, 653248, 653249, 653250, 653251, 653252, 653253, 653254, 653255</t>
  </si>
  <si>
    <t>MUSTERZUG je 1 Tray 652848</t>
  </si>
  <si>
    <t>104-1</t>
  </si>
  <si>
    <t>104-2</t>
  </si>
  <si>
    <t>651882, 651885, 651884, 636707, 636708, 644849, 644850, 644851, 635435, 645059, 653199, 645104, 645105, 645106, 633176, 652675, 652676, 652677, 652678, 652679, 652680, 639327, 636202, 636203, 642610, 642611, 642612, 645179, 645180, 645181, 645182, 649675, 645512, 645513</t>
  </si>
  <si>
    <t>653257, 653258, 653259, 653260</t>
  </si>
  <si>
    <t>648483, 647287, 647288, 647289, 653210, 653211, 653212, 653213, 639591, 649676, 649677, 645514, 645515, 645107, 645108, 645109</t>
  </si>
  <si>
    <t>589047, 636709, 646847, 646848, 653214, 653215, 643880, 000104, 000149, 000005, 000050-A, 000050-B</t>
  </si>
  <si>
    <t>2026/119-1</t>
  </si>
  <si>
    <t>2026/114-1</t>
  </si>
  <si>
    <t>2026/104-2
SALDO: 748 (Verfügbar: --106)</t>
  </si>
  <si>
    <t>Direktanlieferung am 11.05.26_1 PANPHARMA
SALDO: 739 (Verfügbar: --97)</t>
  </si>
  <si>
    <t>Einlagerung aus Direktanlieferung am 11.05.26_1 PANPHARMA</t>
  </si>
  <si>
    <t>MUSTERZUG je 1 Tray aus 2 Pal von Direktanlieferung am 11.05.26_1</t>
  </si>
  <si>
    <t>646485, 646486, 646487, 646488, 646489, 651886, 646849, 646850, 653989, 653990, 653991, 653992, 648452, 653216, 653217, 639592, 633281, 645516, 645517, 645518, 645519, 645520, 645521, 645522, 645523, 644178, 644179, 644180</t>
  </si>
  <si>
    <t>2026/122-1</t>
  </si>
  <si>
    <t>653989, 653990, 653991, 653992, 653993, 653994, 653995, 653996, 653997, 653998, 653999, 654000, 654001, 654002, 654003, 654004, 654005, 654006, 654007</t>
  </si>
  <si>
    <t>MUSTERZUG je 1 Tray 653232</t>
  </si>
  <si>
    <t>2026/126-1</t>
  </si>
  <si>
    <t>646490, 646491, 646492, 649678, 649679, 649680, 649681, 649682, 649683, 649684, 649685, 649686, 649687, 649688, 649689, 648453, 648454, 645060, 645110, 645111, 652268, 639328, 639329, 651114, 640990, 640991</t>
  </si>
  <si>
    <t>2026-126-2</t>
  </si>
  <si>
    <t>646493, 646494, 649223, 649224, 648925, 648926, 648927, 650788, 650789, 650790, 652269, 652270, 633815, 645233, 645234, 648484</t>
  </si>
  <si>
    <t>2026/126-3</t>
  </si>
  <si>
    <t>2026/126-2</t>
  </si>
  <si>
    <t>Direktanlieferung am 28.05.26_1 PANPHARMA
SALDO: 673 (Verfügbar: --31)</t>
  </si>
  <si>
    <t>Einlagerung aus Direktanlieferung am 28.05.26_1 PANPHARMA</t>
  </si>
  <si>
    <t>MUSTERZUG je 1 Tray aus 5 Pal von Direktanlieferung am 28.05.26_1</t>
  </si>
  <si>
    <t>654287, 654288, 654289</t>
  </si>
  <si>
    <t>654625, 654626, 654627, 654628, 654629</t>
  </si>
  <si>
    <t>Bereitstellung zur DIREKTABHOLUNG: (54 Pal. lt. Abruf)</t>
  </si>
  <si>
    <t>649431, 649432, 649433, 649434, 649435, 649436, 649437, 649438, 649439, 649440, 649441, 649442, 649443, 649444, 649445, 649446, 649447, 649448, 649449, 649454, 649455, 649456</t>
  </si>
  <si>
    <t>Rücklagerung, da diese Ware nun doch nicht raus geht (10 Pal.)</t>
  </si>
  <si>
    <t>Direktanlieferung am 04.06.26_1 PANPHARMA
SALDO: 639 (Verfügbar: +3)</t>
  </si>
  <si>
    <t>Einlagerung aus Direktanlieferung am 04.06.26_1 PANPHARMA</t>
  </si>
  <si>
    <t>DirektABHOLUNG INJ3F043 Ch. 600900 (22 Pal) / Trailer:FY424</t>
  </si>
  <si>
    <t>DirektABHOLUNG INJ3F043 Ch. 600950 (19 Pal) + INJ3F043 Ch. 600960 (3 Pal) / Trailer: OR-59-RR</t>
  </si>
  <si>
    <t>654926, 654927, 654928, 654929, 654930, 654931, 654932</t>
  </si>
  <si>
    <t>650791, 650792, 650793, 651888, 651889, 651890, 651887, 646851, 646852, 645061, 652271, 652272, 652273, 652274, 645783, 645784, 645785, 654625, 654626, 654627, 654628, 654629, 644632, 645235</t>
  </si>
  <si>
    <t>2026/137-1</t>
  </si>
  <si>
    <t>x</t>
  </si>
  <si>
    <t>Direktanlieferung am 08.06.26_1 PANPHARMA
SALDO: 661 (Verfügbar: --19)</t>
  </si>
  <si>
    <t>Einlagerung aus Direktanlieferung am 08.06.26_1 PANPHARMA</t>
  </si>
  <si>
    <t>655051, 655052, 655053, 655054, 655055, 655056, 655057, 655058, 655059, 655060, 655061, 655062, 655063, 655064, 655065, 655066, 655067, 655068, 655069, 655070, 655071, 655072, 655073, 655074, 655075, 655076, 655077, 655078, 655079, 655080, 655081, 655082, 655083, 655084, 655085, 655086, 655087, 655088, 655089, 655090, 655091, 655092, 655093, 655094, 655095, 655096</t>
  </si>
  <si>
    <t>MUSTERZUG je 1 Tray 654931, 654926</t>
  </si>
  <si>
    <t>EB-Nummern - Änderung: 654931 =&gt; 654979 + 654932 =&gt; 654980</t>
  </si>
  <si>
    <t>Daniel Schidlowski</t>
  </si>
  <si>
    <t>MUSTERZUG je 1 Tray 654926, 654927, 654928, 654929, 654930, 654979, 654980</t>
  </si>
  <si>
    <t>2026/142-1</t>
  </si>
  <si>
    <t>649695, 648455, 653218, 653219, 645655, 645656, 560771, 560772, 560774, 560775, 560776, 560778, 560779, 560780, 560781, 560782</t>
  </si>
  <si>
    <t>Direktanlieferung am 12.06.26_1 PANPHARMA
SALDO: 642 (Verfügbar: --10)</t>
  </si>
  <si>
    <t>Direktanlieferung am 12.06.26_1 PANPHARMA</t>
  </si>
  <si>
    <t>655334, 655335, 655336, 655337, 655338, 655339, 655340</t>
  </si>
  <si>
    <t>MUSTERZUG je 1 Tray aus 655334, 655335, 655336, 655337, 655338, 655339, 655340</t>
  </si>
  <si>
    <t>645112, 645113, 645114, 645115, 645116</t>
  </si>
  <si>
    <t>2026/142-2</t>
  </si>
  <si>
    <t>Direktanlieferung am 18.06.26_1 PANPHARMA
SALDO: 659 (Verfügbar: --17)</t>
  </si>
  <si>
    <t>Einlagerung aus Direktanlieferung am 18.06.26_1 PANPHARMA</t>
  </si>
  <si>
    <t>655564, 655565, 655566, 655567, 655568, 655569, 655570, 655571, 655572, 655573, 655574, 655575</t>
  </si>
  <si>
    <t>649225, 649226, 649227, 649228, 649229, 649230, 649231, 652838, 652839, 644896, 644897, 644898, 644899, 644900, 644901, 644902, 648456, 653200, 653201, 653202, 653203, 653204, 653205</t>
  </si>
  <si>
    <t>2026/148-1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</si>
</sst>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6" x14ac:knownFonts="1">
    <font>
      <sz val="11"/>
      <color theme="1"/>
      <name val="Calibri"/>
      <family val="2"/>
      <scheme val="minor"/>
    </font>
    <font>
      <b/>
      <sz val="11"/>
      <color theme="1"/>
      <name val="Calibri"/>
      <family val="2"/>
      <scheme val="minor"/>
    </font>
    <font>
      <sz val="20"/>
      <color theme="1"/>
      <name val="Calibri"/>
      <family val="2"/>
      <scheme val="minor"/>
    </font>
    <font>
      <b/>
      <sz val="11"/>
      <name val="Calibri"/>
      <family val="2"/>
      <scheme val="minor"/>
    </font>
    <font>
      <sz val="11"/>
      <name val="Calibri"/>
      <family val="2"/>
      <scheme val="minor"/>
    </font>
    <font>
      <sz val="11"/>
      <color theme="1"/>
      <name val="Calibri"/>
      <family val="2"/>
      <scheme val="minor"/>
    </font>
    <font>
      <sz val="12"/>
      <color theme="1"/>
      <name val="Calibri"/>
      <family val="2"/>
      <scheme val="minor"/>
    </font>
    <font>
      <b/>
      <sz val="14"/>
      <color rgb="FFFF0000"/>
      <name val="Calibri"/>
      <family val="2"/>
      <scheme val="minor"/>
    </font>
    <font>
      <sz val="11"/>
      <color rgb="FF006100"/>
      <name val="Calibri"/>
      <family val="2"/>
      <scheme val="minor"/>
    </font>
    <font>
      <b/>
      <sz val="14"/>
      <color theme="1"/>
      <name val="Calibri"/>
      <family val="2"/>
      <scheme val="minor"/>
    </font>
    <font>
      <b/>
      <sz val="14"/>
      <color rgb="FF006100"/>
      <name val="Calibri"/>
      <family val="2"/>
      <scheme val="minor"/>
    </font>
    <font>
      <sz val="11"/>
      <color rgb="FF000000"/>
      <name val="Calibri"/>
      <family val="2"/>
      <scheme val="minor"/>
    </font>
    <font>
      <sz val="11"/>
      <color rgb="FFFF0000"/>
      <name val="Calibri"/>
      <family val="2"/>
      <scheme val="minor"/>
    </font>
    <font>
      <sz val="14"/>
      <name val="Calibri"/>
      <family val="2"/>
      <scheme val="minor"/>
    </font>
    <font>
      <b/>
      <sz val="16"/>
      <color rgb="FFFF0000"/>
      <name val="Calibri"/>
      <family val="2"/>
      <scheme val="minor"/>
    </font>
    <font>
      <sz val="8"/>
      <name val="Calibri"/>
      <family val="2"/>
      <scheme val="minor"/>
    </font>
  </fonts>
  <fills count="3">
    <fill>
      <patternFill patternType="none"/>
    </fill>
    <fill>
      <patternFill patternType="gray125"/>
    </fill>
    <fill>
      <patternFill patternType="solid">
        <fgColor rgb="FFC6EFCE"/>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8" fillId="2" borderId="0" applyNumberFormat="0" applyBorder="0" applyAlignment="0" applyProtection="0"/>
    <xf numFmtId="9" fontId="5" fillId="0" borderId="0" applyFont="0" applyFill="0" applyBorder="0" applyAlignment="0" applyProtection="0"/>
    <xf numFmtId="44" fontId="5" fillId="0" borderId="0" applyFont="0" applyFill="0" applyBorder="0" applyAlignment="0" applyProtection="0"/>
  </cellStyleXfs>
  <cellXfs count="123">
    <xf numFmtId="0" fontId="0" fillId="0" borderId="0" xfId="0"/>
    <xf numFmtId="14" fontId="2" fillId="0" borderId="0" xfId="0" applyNumberFormat="1" applyFont="1" applyFill="1" applyAlignment="1" applyProtection="1">
      <alignment horizontal="left"/>
    </xf>
    <xf numFmtId="0" fontId="0" fillId="0" borderId="0" xfId="0" applyFill="1" applyAlignment="1" applyProtection="1">
      <alignment horizontal="center"/>
    </xf>
    <xf numFmtId="0" fontId="0" fillId="0" borderId="0" xfId="0" applyFill="1" applyProtection="1"/>
    <xf numFmtId="0" fontId="0" fillId="0" borderId="0" xfId="0" applyFill="1" applyAlignment="1" applyProtection="1">
      <alignment horizontal="left"/>
    </xf>
    <xf numFmtId="14" fontId="0" fillId="0" borderId="0" xfId="0" applyNumberFormat="1" applyFill="1" applyAlignment="1" applyProtection="1">
      <alignment horizontal="center"/>
    </xf>
    <xf numFmtId="0" fontId="1" fillId="0" borderId="0" xfId="0" applyFont="1" applyFill="1" applyAlignment="1" applyProtection="1">
      <alignment horizontal="center"/>
    </xf>
    <xf numFmtId="0" fontId="0" fillId="0" borderId="0" xfId="0" applyFill="1" applyAlignment="1" applyProtection="1">
      <alignment horizontal="center" wrapText="1"/>
    </xf>
    <xf numFmtId="0" fontId="1" fillId="0" borderId="1" xfId="0" applyFont="1" applyFill="1" applyBorder="1" applyAlignment="1" applyProtection="1">
      <alignment horizontal="center" wrapText="1"/>
    </xf>
    <xf numFmtId="0" fontId="3" fillId="0" borderId="1" xfId="0" applyFont="1" applyFill="1" applyBorder="1" applyAlignment="1" applyProtection="1">
      <alignment horizontal="center" wrapText="1"/>
    </xf>
    <xf numFmtId="0" fontId="1" fillId="0" borderId="2" xfId="0" applyFont="1" applyFill="1" applyBorder="1" applyAlignment="1" applyProtection="1">
      <alignment horizontal="center"/>
    </xf>
    <xf numFmtId="0" fontId="3" fillId="0" borderId="2" xfId="0" applyFont="1" applyFill="1" applyBorder="1" applyAlignment="1" applyProtection="1">
      <alignment horizontal="center"/>
    </xf>
    <xf numFmtId="14" fontId="0" fillId="0" borderId="0" xfId="0" applyNumberFormat="1" applyFill="1" applyAlignment="1" applyProtection="1">
      <alignment horizontal="center" vertical="top"/>
      <protection locked="0"/>
    </xf>
    <xf numFmtId="0" fontId="0" fillId="0" borderId="0" xfId="0" applyFill="1" applyAlignment="1" applyProtection="1">
      <alignment horizontal="center" vertical="top"/>
      <protection locked="0"/>
    </xf>
    <xf numFmtId="0" fontId="0" fillId="0" borderId="0" xfId="0" applyFill="1" applyAlignment="1" applyProtection="1">
      <alignment horizontal="center" vertical="top"/>
    </xf>
    <xf numFmtId="0" fontId="0" fillId="0" borderId="0" xfId="0" applyFill="1" applyAlignment="1" applyProtection="1">
      <alignment vertical="top"/>
    </xf>
    <xf numFmtId="0" fontId="0" fillId="0" borderId="0" xfId="0" applyFill="1" applyAlignment="1" applyProtection="1">
      <alignment horizontal="left" vertical="top" wrapText="1"/>
      <protection locked="0"/>
    </xf>
    <xf numFmtId="14" fontId="0" fillId="0" borderId="0" xfId="0" applyNumberFormat="1" applyFill="1" applyAlignment="1" applyProtection="1">
      <alignment horizontal="center"/>
      <protection locked="0"/>
    </xf>
    <xf numFmtId="0" fontId="0" fillId="0" borderId="0" xfId="0" applyFill="1" applyAlignment="1" applyProtection="1">
      <alignment horizontal="center"/>
      <protection locked="0"/>
    </xf>
    <xf numFmtId="0" fontId="0" fillId="0" borderId="0" xfId="0" applyFill="1" applyAlignment="1" applyProtection="1">
      <alignment horizontal="left" wrapText="1"/>
      <protection locked="0"/>
    </xf>
    <xf numFmtId="0" fontId="0" fillId="0" borderId="0" xfId="0" applyFill="1" applyAlignment="1" applyProtection="1">
      <alignment horizontal="left"/>
      <protection locked="0"/>
    </xf>
    <xf numFmtId="14" fontId="4" fillId="0" borderId="0" xfId="0" applyNumberFormat="1" applyFont="1" applyFill="1" applyAlignment="1" applyProtection="1">
      <alignment horizontal="center"/>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xf>
    <xf numFmtId="0" fontId="4" fillId="0" borderId="0" xfId="0" applyFont="1" applyFill="1" applyProtection="1"/>
    <xf numFmtId="0" fontId="4" fillId="0" borderId="0" xfId="0" applyFont="1" applyFill="1" applyAlignment="1" applyProtection="1">
      <alignment horizontal="left" wrapText="1"/>
      <protection locked="0"/>
    </xf>
    <xf numFmtId="0" fontId="4" fillId="0" borderId="0" xfId="0" applyFont="1" applyFill="1" applyAlignment="1" applyProtection="1">
      <alignment horizontal="left"/>
      <protection locked="0"/>
    </xf>
    <xf numFmtId="0" fontId="0" fillId="0" borderId="0" xfId="0" applyProtection="1"/>
    <xf numFmtId="0" fontId="0" fillId="0" borderId="0" xfId="0" applyFill="1" applyAlignment="1" applyProtection="1"/>
    <xf numFmtId="14" fontId="0" fillId="0" borderId="3" xfId="0" applyNumberFormat="1" applyFill="1" applyBorder="1" applyAlignment="1" applyProtection="1">
      <alignment horizontal="center"/>
    </xf>
    <xf numFmtId="0" fontId="0" fillId="0" borderId="3" xfId="0" applyFill="1" applyBorder="1" applyAlignment="1" applyProtection="1">
      <alignment horizontal="center"/>
    </xf>
    <xf numFmtId="0" fontId="0" fillId="0" borderId="3" xfId="0" applyFill="1" applyBorder="1" applyProtection="1"/>
    <xf numFmtId="0" fontId="1" fillId="0" borderId="4" xfId="0" applyFont="1" applyFill="1" applyBorder="1" applyAlignment="1" applyProtection="1">
      <alignment horizontal="center"/>
    </xf>
    <xf numFmtId="0" fontId="3" fillId="0" borderId="4" xfId="0" applyFont="1" applyFill="1" applyBorder="1" applyAlignment="1" applyProtection="1">
      <alignment horizontal="center"/>
    </xf>
    <xf numFmtId="0" fontId="0" fillId="0" borderId="3" xfId="0" applyFill="1" applyBorder="1" applyAlignment="1" applyProtection="1">
      <alignment horizontal="left"/>
    </xf>
    <xf numFmtId="0" fontId="0" fillId="0" borderId="3" xfId="0" applyBorder="1" applyProtection="1"/>
    <xf numFmtId="0" fontId="0" fillId="0" borderId="0" xfId="0" applyAlignment="1" applyProtection="1">
      <alignment horizontal="left"/>
    </xf>
    <xf numFmtId="0" fontId="0" fillId="0" borderId="0" xfId="0" applyAlignment="1" applyProtection="1">
      <alignment vertical="top"/>
    </xf>
    <xf numFmtId="0" fontId="7" fillId="0" borderId="0" xfId="0" applyFont="1" applyProtection="1"/>
    <xf numFmtId="0" fontId="9" fillId="0" borderId="5" xfId="0" applyFont="1" applyFill="1" applyBorder="1" applyAlignment="1" applyProtection="1">
      <alignment horizontal="center"/>
    </xf>
    <xf numFmtId="0" fontId="9" fillId="0" borderId="6" xfId="0" applyFont="1" applyFill="1" applyBorder="1" applyAlignment="1" applyProtection="1">
      <alignment horizontal="left"/>
    </xf>
    <xf numFmtId="0" fontId="9" fillId="0" borderId="7" xfId="0" applyFont="1" applyFill="1" applyBorder="1" applyAlignment="1" applyProtection="1">
      <alignment horizontal="center"/>
    </xf>
    <xf numFmtId="0" fontId="10" fillId="2" borderId="8" xfId="1" applyFont="1" applyBorder="1" applyAlignment="1" applyProtection="1">
      <alignment horizontal="left" vertical="top"/>
    </xf>
    <xf numFmtId="0" fontId="11" fillId="0" borderId="0" xfId="0" applyFont="1" applyAlignment="1">
      <alignment vertical="center"/>
    </xf>
    <xf numFmtId="0" fontId="7" fillId="0" borderId="0" xfId="0" applyFont="1" applyAlignment="1" applyProtection="1">
      <alignment wrapText="1"/>
    </xf>
    <xf numFmtId="0" fontId="0" fillId="0" borderId="0" xfId="0" applyAlignment="1">
      <alignment horizontal="left"/>
    </xf>
    <xf numFmtId="0" fontId="0" fillId="0" borderId="0" xfId="0" applyAlignment="1" applyProtection="1">
      <alignment horizontal="center"/>
    </xf>
    <xf numFmtId="0" fontId="7" fillId="0" borderId="0" xfId="0" applyFont="1" applyAlignment="1" applyProtection="1">
      <alignment vertical="top"/>
    </xf>
    <xf numFmtId="0" fontId="11" fillId="0" borderId="0" xfId="0" applyFont="1" applyAlignment="1">
      <alignment vertical="center" wrapText="1"/>
    </xf>
    <xf numFmtId="0" fontId="0" fillId="0" borderId="0" xfId="0" applyAlignment="1">
      <alignment horizontal="left" wrapText="1"/>
    </xf>
    <xf numFmtId="10" fontId="0" fillId="0" borderId="3" xfId="2" applyNumberFormat="1" applyFont="1" applyBorder="1" applyAlignment="1" applyProtection="1">
      <alignment horizontal="left"/>
    </xf>
    <xf numFmtId="17" fontId="0" fillId="0" borderId="0" xfId="0" applyNumberFormat="1"/>
    <xf numFmtId="10" fontId="0" fillId="0" borderId="0" xfId="0" applyNumberFormat="1"/>
    <xf numFmtId="0" fontId="4" fillId="0" borderId="0" xfId="0" applyFont="1" applyProtection="1"/>
    <xf numFmtId="0" fontId="4" fillId="0" borderId="0" xfId="0" applyFont="1" applyAlignment="1" applyProtection="1">
      <alignment horizontal="left"/>
    </xf>
    <xf numFmtId="10" fontId="4" fillId="0" borderId="3" xfId="2" applyNumberFormat="1" applyFont="1" applyBorder="1" applyAlignment="1" applyProtection="1">
      <alignment horizontal="left"/>
    </xf>
    <xf numFmtId="0" fontId="13" fillId="0" borderId="0" xfId="0" applyFont="1" applyProtection="1"/>
    <xf numFmtId="49" fontId="0" fillId="0" borderId="0" xfId="0" applyNumberFormat="1" applyFill="1" applyAlignment="1" applyProtection="1">
      <alignment horizontal="left" wrapText="1"/>
      <protection locked="0"/>
    </xf>
    <xf numFmtId="0" fontId="0" fillId="0" borderId="0" xfId="0" applyNumberFormat="1" applyFill="1"/>
    <xf numFmtId="0" fontId="0" fillId="0" borderId="0" xfId="0" applyFill="1" applyAlignment="1" applyProtection="1">
      <alignment horizontal="left" wrapText="1"/>
    </xf>
    <xf numFmtId="14" fontId="4" fillId="0" borderId="0" xfId="0" applyNumberFormat="1" applyFont="1" applyFill="1" applyAlignment="1" applyProtection="1">
      <alignment horizontal="center"/>
    </xf>
    <xf numFmtId="0" fontId="4" fillId="0" borderId="0" xfId="0" applyFont="1" applyFill="1" applyAlignment="1" applyProtection="1">
      <alignment horizontal="left" wrapText="1"/>
    </xf>
    <xf numFmtId="14" fontId="2" fillId="0" borderId="0" xfId="0" applyNumberFormat="1" applyFont="1" applyFill="1" applyAlignment="1" applyProtection="1">
      <alignment horizontal="left"/>
      <protection locked="0"/>
    </xf>
    <xf numFmtId="0" fontId="0" fillId="0" borderId="0" xfId="0" applyFill="1" applyAlignment="1" applyProtection="1">
      <protection locked="0"/>
    </xf>
    <xf numFmtId="0" fontId="9" fillId="0" borderId="5" xfId="0" applyFont="1" applyFill="1" applyBorder="1" applyAlignment="1" applyProtection="1">
      <alignment horizontal="center"/>
      <protection locked="0"/>
    </xf>
    <xf numFmtId="0" fontId="9" fillId="0" borderId="6" xfId="0" applyFont="1" applyFill="1" applyBorder="1" applyAlignment="1" applyProtection="1">
      <alignment horizontal="left"/>
      <protection locked="0"/>
    </xf>
    <xf numFmtId="0" fontId="0" fillId="0" borderId="0" xfId="0" applyProtection="1">
      <protection locked="0"/>
    </xf>
    <xf numFmtId="0" fontId="1" fillId="0" borderId="0" xfId="0" applyFont="1" applyFill="1" applyAlignment="1" applyProtection="1">
      <alignment horizontal="center"/>
      <protection locked="0"/>
    </xf>
    <xf numFmtId="0" fontId="9" fillId="0" borderId="7" xfId="0" applyFont="1" applyFill="1" applyBorder="1" applyAlignment="1" applyProtection="1">
      <alignment horizontal="center"/>
      <protection locked="0"/>
    </xf>
    <xf numFmtId="0" fontId="10" fillId="2" borderId="8" xfId="1" applyFont="1" applyBorder="1" applyAlignment="1" applyProtection="1">
      <alignment horizontal="left" vertical="top"/>
      <protection locked="0"/>
    </xf>
    <xf numFmtId="0" fontId="0" fillId="0" borderId="0" xfId="0" applyFill="1" applyAlignment="1" applyProtection="1">
      <alignment horizontal="center" wrapText="1"/>
      <protection locked="0"/>
    </xf>
    <xf numFmtId="0" fontId="1" fillId="0" borderId="1" xfId="0" applyFont="1" applyFill="1" applyBorder="1" applyAlignment="1" applyProtection="1">
      <alignment horizontal="center" wrapText="1"/>
      <protection locked="0"/>
    </xf>
    <xf numFmtId="0" fontId="3" fillId="0" borderId="1" xfId="0" applyFont="1" applyFill="1" applyBorder="1" applyAlignment="1" applyProtection="1">
      <alignment horizontal="center" wrapText="1"/>
      <protection locked="0"/>
    </xf>
    <xf numFmtId="0" fontId="1" fillId="0" borderId="2"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0" fillId="0" borderId="0" xfId="0" applyAlignment="1" applyProtection="1">
      <alignment horizontal="left"/>
      <protection locked="0"/>
    </xf>
    <xf numFmtId="14" fontId="0" fillId="0" borderId="3" xfId="0" applyNumberFormat="1" applyFill="1" applyBorder="1" applyAlignment="1" applyProtection="1">
      <alignment horizontal="center"/>
      <protection locked="0"/>
    </xf>
    <xf numFmtId="0" fontId="0" fillId="0" borderId="3" xfId="0" applyFill="1" applyBorder="1" applyAlignment="1" applyProtection="1">
      <alignment horizontal="center"/>
      <protection locked="0"/>
    </xf>
    <xf numFmtId="0" fontId="1" fillId="0" borderId="4"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0" fillId="0" borderId="3" xfId="0" applyFill="1" applyBorder="1" applyAlignment="1" applyProtection="1">
      <alignment horizontal="left"/>
      <protection locked="0"/>
    </xf>
    <xf numFmtId="10" fontId="0" fillId="0" borderId="3" xfId="2" applyNumberFormat="1" applyFont="1" applyBorder="1" applyAlignment="1" applyProtection="1">
      <alignment horizontal="left"/>
      <protection locked="0"/>
    </xf>
    <xf numFmtId="0" fontId="0" fillId="0" borderId="3" xfId="0" applyBorder="1" applyProtection="1">
      <protection locked="0"/>
    </xf>
    <xf numFmtId="0" fontId="7" fillId="0" borderId="0" xfId="0" applyFont="1" applyProtection="1">
      <protection locked="0"/>
    </xf>
    <xf numFmtId="0" fontId="0" fillId="0" borderId="0" xfId="0" applyAlignment="1" applyProtection="1">
      <alignment horizontal="center"/>
      <protection locked="0"/>
    </xf>
    <xf numFmtId="0" fontId="0" fillId="0" borderId="0" xfId="0" applyAlignment="1" applyProtection="1">
      <alignment wrapText="1"/>
    </xf>
    <xf numFmtId="0" fontId="12" fillId="0" borderId="0" xfId="0" applyFont="1" applyProtection="1"/>
    <xf numFmtId="0" fontId="12" fillId="0" borderId="0" xfId="0" applyFont="1" applyFill="1" applyAlignment="1" applyProtection="1">
      <alignment horizontal="left" wrapText="1"/>
      <protection locked="0"/>
    </xf>
    <xf numFmtId="0" fontId="6" fillId="0" borderId="0" xfId="0" applyFont="1" applyAlignment="1"/>
    <xf numFmtId="0" fontId="0" fillId="0" borderId="0" xfId="0" applyAlignment="1" applyProtection="1">
      <alignment horizontal="left"/>
    </xf>
    <xf numFmtId="0" fontId="0" fillId="0" borderId="0" xfId="0" applyAlignment="1" applyProtection="1">
      <alignment horizontal="center"/>
    </xf>
    <xf numFmtId="0" fontId="4" fillId="0" borderId="0" xfId="0" applyFont="1" applyAlignment="1" applyProtection="1">
      <alignment wrapText="1"/>
    </xf>
    <xf numFmtId="0" fontId="11" fillId="0" borderId="0" xfId="0" applyFont="1" applyAlignment="1">
      <alignment horizontal="left"/>
    </xf>
    <xf numFmtId="44" fontId="0" fillId="0" borderId="0" xfId="3" applyFont="1"/>
    <xf numFmtId="0" fontId="0" fillId="0" borderId="0" xfId="0" applyAlignment="1" applyProtection="1">
      <alignment horizontal="left"/>
    </xf>
    <xf numFmtId="0" fontId="0" fillId="0" borderId="0" xfId="0" applyAlignment="1" applyProtection="1">
      <alignment horizontal="center"/>
    </xf>
    <xf numFmtId="0" fontId="0" fillId="0" borderId="0" xfId="0" applyAlignment="1" applyProtection="1">
      <alignment horizontal="left"/>
    </xf>
    <xf numFmtId="0" fontId="0" fillId="0" borderId="0" xfId="0" applyAlignment="1" applyProtection="1">
      <alignment horizontal="center"/>
    </xf>
    <xf numFmtId="0" fontId="1" fillId="0" borderId="0" xfId="0" applyFont="1"/>
    <xf numFmtId="0" fontId="1" fillId="0" borderId="0" xfId="0" applyFont="1" applyAlignment="1">
      <alignment wrapText="1"/>
    </xf>
    <xf numFmtId="0" fontId="1" fillId="0" borderId="0" xfId="0" applyNumberFormat="1" applyFont="1" applyFill="1" applyAlignment="1">
      <alignment wrapText="1"/>
    </xf>
    <xf numFmtId="10" fontId="1" fillId="0" borderId="0" xfId="0" applyNumberFormat="1" applyFont="1"/>
    <xf numFmtId="44" fontId="1" fillId="0" borderId="0" xfId="0" applyNumberFormat="1" applyFont="1"/>
    <xf numFmtId="0" fontId="1" fillId="0" borderId="0" xfId="0" applyNumberFormat="1" applyFont="1" applyFill="1"/>
    <xf numFmtId="0" fontId="1" fillId="0" borderId="0" xfId="0" applyFont="1" applyAlignment="1">
      <alignment horizontal="right" wrapText="1"/>
    </xf>
    <xf numFmtId="0" fontId="0" fillId="0" borderId="0" xfId="0" applyAlignment="1" applyProtection="1">
      <alignment horizontal="left"/>
    </xf>
    <xf numFmtId="0" fontId="4" fillId="0" borderId="0" xfId="0" applyFont="1" applyProtection="1">
      <protection locked="0"/>
    </xf>
    <xf numFmtId="0" fontId="4" fillId="0" borderId="0" xfId="0" applyFont="1" applyAlignment="1" applyProtection="1">
      <alignment wrapText="1"/>
      <protection locked="0"/>
    </xf>
    <xf numFmtId="0" fontId="0" fillId="0" borderId="0" xfId="0" applyAlignment="1" applyProtection="1">
      <alignment horizontal="left" wrapText="1"/>
      <protection locked="0"/>
    </xf>
    <xf numFmtId="0" fontId="0" fillId="0" borderId="0" xfId="0" applyAlignment="1" applyProtection="1">
      <alignment wrapText="1"/>
      <protection locked="0"/>
    </xf>
    <xf numFmtId="0" fontId="9" fillId="0" borderId="6" xfId="0" applyFont="1" applyFill="1" applyBorder="1" applyAlignment="1" applyProtection="1">
      <alignment horizontal="left" wrapText="1"/>
    </xf>
    <xf numFmtId="0" fontId="10" fillId="2" borderId="8" xfId="1" applyFont="1" applyBorder="1" applyAlignment="1" applyProtection="1">
      <alignment horizontal="left" vertical="top" wrapText="1"/>
    </xf>
    <xf numFmtId="0" fontId="0" fillId="0" borderId="3" xfId="0" applyFill="1" applyBorder="1" applyAlignment="1" applyProtection="1">
      <alignment horizontal="left" wrapText="1"/>
    </xf>
    <xf numFmtId="0" fontId="0" fillId="0" borderId="0" xfId="0" applyAlignment="1" applyProtection="1">
      <alignment horizontal="left"/>
    </xf>
    <xf numFmtId="0" fontId="0" fillId="0" borderId="0" xfId="0" applyAlignment="1" applyProtection="1">
      <alignment horizontal="left"/>
    </xf>
    <xf numFmtId="49" fontId="4" fillId="0" borderId="0" xfId="0" applyNumberFormat="1" applyFont="1" applyProtection="1">
      <protection locked="0"/>
    </xf>
    <xf numFmtId="49" fontId="0" fillId="0" borderId="0" xfId="0" applyNumberFormat="1" applyProtection="1">
      <protection locked="0"/>
    </xf>
    <xf numFmtId="49" fontId="0" fillId="0" borderId="0" xfId="0" applyNumberFormat="1" applyAlignment="1" applyProtection="1">
      <alignment wrapText="1"/>
      <protection locked="0"/>
    </xf>
    <xf numFmtId="49" fontId="4" fillId="0" borderId="0" xfId="0" applyNumberFormat="1" applyFont="1" applyFill="1" applyProtection="1">
      <protection locked="0"/>
    </xf>
    <xf numFmtId="49" fontId="0" fillId="0" borderId="0" xfId="0" applyNumberFormat="1" applyFill="1" applyProtection="1">
      <protection locked="0"/>
    </xf>
    <xf numFmtId="0" fontId="0" fillId="0" borderId="0" xfId="0" applyAlignment="1" applyProtection="1">
      <alignment horizontal="left"/>
    </xf>
    <xf numFmtId="0" fontId="0" fillId="0" borderId="0" xfId="0" applyAlignment="1" applyProtection="1">
      <alignment horizontal="center"/>
    </xf>
    <xf numFmtId="0" fontId="12" fillId="0" borderId="0" xfId="0" applyFont="1" applyAlignment="1">
      <alignment horizontal="center" vertical="center" wrapText="1"/>
    </xf>
  </cellXfs>
  <cellStyles count="4">
    <cellStyle name="Gut" xfId="1" builtinId="26"/>
    <cellStyle name="Prozent" xfId="2" builtinId="5"/>
    <cellStyle name="Standard" xfId="0" builtinId="0"/>
    <cellStyle name="Währung" xfId="3" builtinId="4"/>
  </cellStyles>
  <dxfs count="228">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cat>
            <c:numRef>
              <c:f>Traffic!$A$2:$A$13</c:f>
              <c:numCache>
                <c:formatCode>mmm\-yy</c:formatCode>
                <c:ptCount val="1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numCache>
            </c:numRef>
          </c:cat>
          <c:val>
            <c:numRef>
              <c:f>Traffic!$B$2:$B$13</c:f>
              <c:numCache>
                <c:formatCode>0.00%</c:formatCode>
                <c:ptCount val="12"/>
                <c:pt idx="0">
                  <c:v>0.30909090909090908</c:v>
                </c:pt>
                <c:pt idx="1">
                  <c:v>0.53266331658291455</c:v>
                </c:pt>
                <c:pt idx="2">
                  <c:v>0.35714285714285715</c:v>
                </c:pt>
                <c:pt idx="3">
                  <c:v>0.30158730158730157</c:v>
                </c:pt>
                <c:pt idx="4">
                  <c:v>0.58730158730158732</c:v>
                </c:pt>
                <c:pt idx="5">
                  <c:v>0.43650793650793651</c:v>
                </c:pt>
                <c:pt idx="6">
                  <c:v>7.9365079365079361E-3</c:v>
                </c:pt>
                <c:pt idx="7">
                  <c:v>0.33333333333333331</c:v>
                </c:pt>
                <c:pt idx="8">
                  <c:v>0.47348484848484851</c:v>
                </c:pt>
                <c:pt idx="9">
                  <c:v>0.25724637681159418</c:v>
                </c:pt>
                <c:pt idx="10">
                  <c:v>0.5714285714285714</c:v>
                </c:pt>
                <c:pt idx="11">
                  <c:v>0.31904761904761902</c:v>
                </c:pt>
              </c:numCache>
            </c:numRef>
          </c:val>
          <c:extLst>
            <c:ext xmlns:c16="http://schemas.microsoft.com/office/drawing/2014/chart" uri="{C3380CC4-5D6E-409C-BE32-E72D297353CC}">
              <c16:uniqueId val="{00000000-C83B-49B3-9056-FFA164F22EDA}"/>
            </c:ext>
          </c:extLst>
        </c:ser>
        <c:dLbls>
          <c:showLegendKey val="0"/>
          <c:showVal val="0"/>
          <c:showCatName val="0"/>
          <c:showSerName val="0"/>
          <c:showPercent val="0"/>
          <c:showBubbleSize val="0"/>
        </c:dLbls>
        <c:gapWidth val="150"/>
        <c:axId val="394790576"/>
        <c:axId val="394790968"/>
      </c:barChart>
      <c:dateAx>
        <c:axId val="39479057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94790968"/>
        <c:crosses val="autoZero"/>
        <c:auto val="1"/>
        <c:lblOffset val="100"/>
        <c:baseTimeUnit val="months"/>
      </c:dateAx>
      <c:valAx>
        <c:axId val="394790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94790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 2018 </a:t>
            </a:r>
          </a:p>
        </c:rich>
      </c:tx>
      <c:layout>
        <c:manualLayout>
          <c:xMode val="edge"/>
          <c:yMode val="edge"/>
          <c:x val="0.414874890638670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1084322211330223E-2"/>
          <c:y val="0.17588972431077693"/>
          <c:w val="0.91203804269691324"/>
          <c:h val="0.69780316934067455"/>
        </c:manualLayout>
      </c:layout>
      <c:barChart>
        <c:barDir val="col"/>
        <c:grouping val="clustered"/>
        <c:varyColors val="0"/>
        <c:ser>
          <c:idx val="0"/>
          <c:order val="0"/>
          <c:spPr>
            <a:solidFill>
              <a:schemeClr val="accent1"/>
            </a:solidFill>
            <a:ln>
              <a:noFill/>
            </a:ln>
            <a:effectLst/>
          </c:spPr>
          <c:invertIfNegative val="0"/>
          <c:cat>
            <c:numRef>
              <c:f>Traffic!$A$14:$A$25</c:f>
              <c:numCache>
                <c:formatCode>mmm\-yy</c:formatCode>
                <c:ptCount val="1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numCache>
            </c:numRef>
          </c:cat>
          <c:val>
            <c:numRef>
              <c:f>Traffic!$B$14:$B$25</c:f>
              <c:numCache>
                <c:formatCode>0.00%</c:formatCode>
                <c:ptCount val="12"/>
                <c:pt idx="0">
                  <c:v>0.87938596491228072</c:v>
                </c:pt>
                <c:pt idx="1">
                  <c:v>0.61585365853658536</c:v>
                </c:pt>
                <c:pt idx="2">
                  <c:v>0.46544715447154472</c:v>
                </c:pt>
                <c:pt idx="3">
                  <c:v>0.79878048780487809</c:v>
                </c:pt>
                <c:pt idx="4">
                  <c:v>0.69360269360269355</c:v>
                </c:pt>
                <c:pt idx="5">
                  <c:v>0.56397306397306401</c:v>
                </c:pt>
                <c:pt idx="6">
                  <c:v>0.11279461279461279</c:v>
                </c:pt>
                <c:pt idx="7">
                  <c:v>0.38047138047138046</c:v>
                </c:pt>
                <c:pt idx="8">
                  <c:v>0.41245791245791247</c:v>
                </c:pt>
                <c:pt idx="9">
                  <c:v>0.56565656565656564</c:v>
                </c:pt>
                <c:pt idx="10">
                  <c:v>0.67340067340067344</c:v>
                </c:pt>
                <c:pt idx="11">
                  <c:v>0.92929292929292928</c:v>
                </c:pt>
              </c:numCache>
            </c:numRef>
          </c:val>
          <c:extLst>
            <c:ext xmlns:c16="http://schemas.microsoft.com/office/drawing/2014/chart" uri="{C3380CC4-5D6E-409C-BE32-E72D297353CC}">
              <c16:uniqueId val="{00000000-DF90-494C-9E9D-D86E971E8E83}"/>
            </c:ext>
          </c:extLst>
        </c:ser>
        <c:dLbls>
          <c:showLegendKey val="0"/>
          <c:showVal val="0"/>
          <c:showCatName val="0"/>
          <c:showSerName val="0"/>
          <c:showPercent val="0"/>
          <c:showBubbleSize val="0"/>
        </c:dLbls>
        <c:gapWidth val="219"/>
        <c:overlap val="-27"/>
        <c:axId val="515713304"/>
        <c:axId val="515718400"/>
      </c:barChart>
      <c:dateAx>
        <c:axId val="51571330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8400"/>
        <c:crosses val="autoZero"/>
        <c:auto val="1"/>
        <c:lblOffset val="100"/>
        <c:baseTimeUnit val="months"/>
      </c:dateAx>
      <c:valAx>
        <c:axId val="51571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3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 2019 </a:t>
            </a:r>
          </a:p>
        </c:rich>
      </c:tx>
      <c:layout>
        <c:manualLayout>
          <c:xMode val="edge"/>
          <c:yMode val="edge"/>
          <c:x val="0.414874890638670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1084322211330223E-2"/>
          <c:y val="0.17588972431077693"/>
          <c:w val="0.91203804269691324"/>
          <c:h val="0.69780316934067455"/>
        </c:manualLayout>
      </c:layout>
      <c:barChart>
        <c:barDir val="col"/>
        <c:grouping val="clustered"/>
        <c:varyColors val="0"/>
        <c:ser>
          <c:idx val="0"/>
          <c:order val="0"/>
          <c:tx>
            <c:strRef>
              <c:f>Traffic!$A$26:$A$37</c:f>
              <c:strCache>
                <c:ptCount val="12"/>
                <c:pt idx="0">
                  <c:v>Jan 19</c:v>
                </c:pt>
                <c:pt idx="1">
                  <c:v>Feb 19</c:v>
                </c:pt>
                <c:pt idx="2">
                  <c:v>Mrz 19</c:v>
                </c:pt>
                <c:pt idx="3">
                  <c:v>Apr 19</c:v>
                </c:pt>
                <c:pt idx="4">
                  <c:v>Mai 19</c:v>
                </c:pt>
                <c:pt idx="5">
                  <c:v>Jun 19</c:v>
                </c:pt>
                <c:pt idx="6">
                  <c:v>Jul 19</c:v>
                </c:pt>
                <c:pt idx="7">
                  <c:v>Aug 19</c:v>
                </c:pt>
                <c:pt idx="8">
                  <c:v>Sep 19</c:v>
                </c:pt>
                <c:pt idx="9">
                  <c:v>Okt 19</c:v>
                </c:pt>
                <c:pt idx="10">
                  <c:v>Nov 19</c:v>
                </c:pt>
                <c:pt idx="11">
                  <c:v>Dez 19</c:v>
                </c:pt>
              </c:strCache>
            </c:strRef>
          </c:tx>
          <c:spPr>
            <a:solidFill>
              <a:schemeClr val="accent1"/>
            </a:solidFill>
            <a:ln>
              <a:noFill/>
            </a:ln>
            <a:effectLst/>
          </c:spPr>
          <c:invertIfNegative val="0"/>
          <c:cat>
            <c:numRef>
              <c:f>Traffic!$A$26:$A$37</c:f>
              <c:numCache>
                <c:formatCode>mmm\-yy</c:formatCode>
                <c:ptCount val="1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numCache>
            </c:numRef>
          </c:cat>
          <c:val>
            <c:numRef>
              <c:f>Traffic!$B$26:$B$37</c:f>
              <c:numCache>
                <c:formatCode>0.00%</c:formatCode>
                <c:ptCount val="12"/>
                <c:pt idx="0">
                  <c:v>4.8821548821548821E-2</c:v>
                </c:pt>
                <c:pt idx="1">
                  <c:v>0.16666666666666666</c:v>
                </c:pt>
                <c:pt idx="2">
                  <c:v>0.28956228956228958</c:v>
                </c:pt>
                <c:pt idx="3">
                  <c:v>0.26767676767676768</c:v>
                </c:pt>
                <c:pt idx="4">
                  <c:v>0.35185185185185186</c:v>
                </c:pt>
                <c:pt idx="5">
                  <c:v>0.3451178451178451</c:v>
                </c:pt>
                <c:pt idx="6">
                  <c:v>0.2946127946127946</c:v>
                </c:pt>
                <c:pt idx="7">
                  <c:v>0.29124579124579125</c:v>
                </c:pt>
                <c:pt idx="8">
                  <c:v>0.96127946127946129</c:v>
                </c:pt>
                <c:pt idx="9">
                  <c:v>0.48484848484848486</c:v>
                </c:pt>
                <c:pt idx="10">
                  <c:v>0.265993265993266</c:v>
                </c:pt>
                <c:pt idx="11">
                  <c:v>0.64646464646464652</c:v>
                </c:pt>
              </c:numCache>
            </c:numRef>
          </c:val>
          <c:extLst>
            <c:ext xmlns:c16="http://schemas.microsoft.com/office/drawing/2014/chart" uri="{C3380CC4-5D6E-409C-BE32-E72D297353CC}">
              <c16:uniqueId val="{00000000-D7B0-40D5-87B0-E0C663CACBD2}"/>
            </c:ext>
          </c:extLst>
        </c:ser>
        <c:dLbls>
          <c:showLegendKey val="0"/>
          <c:showVal val="0"/>
          <c:showCatName val="0"/>
          <c:showSerName val="0"/>
          <c:showPercent val="0"/>
          <c:showBubbleSize val="0"/>
        </c:dLbls>
        <c:gapWidth val="219"/>
        <c:overlap val="-27"/>
        <c:axId val="515716832"/>
        <c:axId val="515719184"/>
      </c:barChart>
      <c:dateAx>
        <c:axId val="5157168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9184"/>
        <c:crosses val="autoZero"/>
        <c:auto val="1"/>
        <c:lblOffset val="100"/>
        <c:baseTimeUnit val="months"/>
      </c:dateAx>
      <c:valAx>
        <c:axId val="51571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Traffic!$A$38:$A$49</c:f>
              <c:numCache>
                <c:formatCode>mmm\-yy</c:formatCode>
                <c:ptCount val="1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numCache>
            </c:numRef>
          </c:cat>
          <c:val>
            <c:numRef>
              <c:f>Traffic!$B$38:$B$49</c:f>
              <c:numCache>
                <c:formatCode>0.00%</c:formatCode>
                <c:ptCount val="12"/>
                <c:pt idx="0">
                  <c:v>0.35185185185185186</c:v>
                </c:pt>
                <c:pt idx="1">
                  <c:v>0.38383838383838381</c:v>
                </c:pt>
                <c:pt idx="2">
                  <c:v>0.37037037037037035</c:v>
                </c:pt>
                <c:pt idx="3">
                  <c:v>0.41582491582491582</c:v>
                </c:pt>
                <c:pt idx="4">
                  <c:v>0.40404040404040403</c:v>
                </c:pt>
                <c:pt idx="5">
                  <c:v>0.48821548821548821</c:v>
                </c:pt>
                <c:pt idx="6">
                  <c:v>0.55218855218855223</c:v>
                </c:pt>
                <c:pt idx="7">
                  <c:v>0.70202020202020199</c:v>
                </c:pt>
                <c:pt idx="8">
                  <c:v>0.81818181818181823</c:v>
                </c:pt>
                <c:pt idx="9">
                  <c:v>0.77272727272727271</c:v>
                </c:pt>
                <c:pt idx="10">
                  <c:v>0.79966329966329963</c:v>
                </c:pt>
                <c:pt idx="11">
                  <c:v>0.81144781144781142</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5712128"/>
        <c:axId val="515716048"/>
      </c:barChart>
      <c:dateAx>
        <c:axId val="5157121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6048"/>
        <c:crosses val="autoZero"/>
        <c:auto val="1"/>
        <c:lblOffset val="100"/>
        <c:baseTimeUnit val="months"/>
      </c:dateAx>
      <c:valAx>
        <c:axId val="515716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2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2021</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Traffic!$A$50:$A$61</c:f>
              <c:numCache>
                <c:formatCode>mmm\-yy</c:formatCode>
                <c:ptCount val="1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numCache>
            </c:numRef>
          </c:cat>
          <c:val>
            <c:numRef>
              <c:f>Traffic!$B$50:$B$61</c:f>
              <c:numCache>
                <c:formatCode>0.00%</c:formatCode>
                <c:ptCount val="12"/>
                <c:pt idx="0">
                  <c:v>0.63804713804713808</c:v>
                </c:pt>
                <c:pt idx="1">
                  <c:v>0.9747474747474747</c:v>
                </c:pt>
                <c:pt idx="2">
                  <c:v>0.57070707070707072</c:v>
                </c:pt>
                <c:pt idx="3">
                  <c:v>0.54713804713804715</c:v>
                </c:pt>
                <c:pt idx="4">
                  <c:v>0.94781144781144777</c:v>
                </c:pt>
                <c:pt idx="5">
                  <c:v>1.1043771043771045</c:v>
                </c:pt>
                <c:pt idx="6">
                  <c:v>0.44781144781144783</c:v>
                </c:pt>
                <c:pt idx="7">
                  <c:v>0.45286195286195285</c:v>
                </c:pt>
                <c:pt idx="8">
                  <c:v>1.0528052805280528</c:v>
                </c:pt>
                <c:pt idx="9">
                  <c:v>0.49504950495049505</c:v>
                </c:pt>
                <c:pt idx="10">
                  <c:v>0.26237623762376239</c:v>
                </c:pt>
                <c:pt idx="11">
                  <c:v>0.55115511551155116</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5712912"/>
        <c:axId val="515713696"/>
      </c:barChart>
      <c:dateAx>
        <c:axId val="5157129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3696"/>
        <c:crosses val="autoZero"/>
        <c:auto val="1"/>
        <c:lblOffset val="100"/>
        <c:baseTimeUnit val="months"/>
      </c:dateAx>
      <c:valAx>
        <c:axId val="515713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2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2022</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Traffic!$A$62:$A$73</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Traffic!$B$62:$B$73</c:f>
              <c:numCache>
                <c:formatCode>0.00%</c:formatCode>
                <c:ptCount val="12"/>
                <c:pt idx="0">
                  <c:v>0.70957095709570961</c:v>
                </c:pt>
                <c:pt idx="1">
                  <c:v>0.41584158415841582</c:v>
                </c:pt>
                <c:pt idx="2">
                  <c:v>0.55610561056105612</c:v>
                </c:pt>
                <c:pt idx="3">
                  <c:v>0.11056105610561057</c:v>
                </c:pt>
                <c:pt idx="4">
                  <c:v>9.5709570957095716E-2</c:v>
                </c:pt>
                <c:pt idx="5">
                  <c:v>0.32673267326732675</c:v>
                </c:pt>
                <c:pt idx="6">
                  <c:v>0.72607260726072609</c:v>
                </c:pt>
                <c:pt idx="7">
                  <c:v>0.80218068535825549</c:v>
                </c:pt>
                <c:pt idx="8">
                  <c:v>0.67601246105919</c:v>
                </c:pt>
                <c:pt idx="9">
                  <c:v>0.55607476635514019</c:v>
                </c:pt>
                <c:pt idx="10">
                  <c:v>0.69626168224299068</c:v>
                </c:pt>
                <c:pt idx="11">
                  <c:v>1.0093457943925233</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5715264"/>
        <c:axId val="515718792"/>
      </c:barChart>
      <c:dateAx>
        <c:axId val="5157152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8792"/>
        <c:crosses val="autoZero"/>
        <c:auto val="1"/>
        <c:lblOffset val="100"/>
        <c:baseTimeUnit val="months"/>
      </c:dateAx>
      <c:valAx>
        <c:axId val="515718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5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2023</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Traffic!$A$74:$A$85</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Traffic!$B$74:$B$85</c:f>
              <c:numCache>
                <c:formatCode>0.00%</c:formatCode>
                <c:ptCount val="12"/>
                <c:pt idx="0">
                  <c:v>0.59345794392523366</c:v>
                </c:pt>
                <c:pt idx="1">
                  <c:v>0.62305295950155759</c:v>
                </c:pt>
                <c:pt idx="2">
                  <c:v>0.74766355140186913</c:v>
                </c:pt>
                <c:pt idx="3">
                  <c:v>0.70249221183800625</c:v>
                </c:pt>
                <c:pt idx="4">
                  <c:v>0.6900311526479751</c:v>
                </c:pt>
                <c:pt idx="5">
                  <c:v>0.56386292834890961</c:v>
                </c:pt>
                <c:pt idx="6">
                  <c:v>0.27258566978193144</c:v>
                </c:pt>
                <c:pt idx="7">
                  <c:v>0.52959501557632394</c:v>
                </c:pt>
                <c:pt idx="8">
                  <c:v>0.24299065420560748</c:v>
                </c:pt>
                <c:pt idx="9">
                  <c:v>0.3909657320872274</c:v>
                </c:pt>
                <c:pt idx="10">
                  <c:v>0.42211838006230529</c:v>
                </c:pt>
                <c:pt idx="11">
                  <c:v>0.71495327102803741</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5716440"/>
        <c:axId val="515711736"/>
      </c:barChart>
      <c:dateAx>
        <c:axId val="5157164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1736"/>
        <c:crosses val="autoZero"/>
        <c:auto val="1"/>
        <c:lblOffset val="100"/>
        <c:baseTimeUnit val="months"/>
      </c:dateAx>
      <c:valAx>
        <c:axId val="515711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6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2024</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Traffic!$A$86:$A$97</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Traffic!$B$86:$B$97</c:f>
              <c:numCache>
                <c:formatCode>0.00%</c:formatCode>
                <c:ptCount val="12"/>
                <c:pt idx="0">
                  <c:v>0.30373831775700932</c:v>
                </c:pt>
                <c:pt idx="1">
                  <c:v>0.69626168224299068</c:v>
                </c:pt>
                <c:pt idx="2">
                  <c:v>0.52180685358255452</c:v>
                </c:pt>
                <c:pt idx="3">
                  <c:v>0.49532710280373832</c:v>
                </c:pt>
                <c:pt idx="4">
                  <c:v>0.49532710280373832</c:v>
                </c:pt>
                <c:pt idx="5">
                  <c:v>0.41121495327102803</c:v>
                </c:pt>
                <c:pt idx="6">
                  <c:v>0.37694704049844235</c:v>
                </c:pt>
                <c:pt idx="7">
                  <c:v>0.37227414330218067</c:v>
                </c:pt>
                <c:pt idx="8">
                  <c:v>0.49844236760124611</c:v>
                </c:pt>
                <c:pt idx="9">
                  <c:v>0.24610591900311526</c:v>
                </c:pt>
                <c:pt idx="10">
                  <c:v>0.38473520249221183</c:v>
                </c:pt>
                <c:pt idx="11">
                  <c:v>0.83333333333333337</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5717616"/>
        <c:axId val="515718008"/>
      </c:barChart>
      <c:dateAx>
        <c:axId val="51571761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8008"/>
        <c:crosses val="autoZero"/>
        <c:auto val="1"/>
        <c:lblOffset val="100"/>
        <c:baseTimeUnit val="months"/>
      </c:dateAx>
      <c:valAx>
        <c:axId val="515718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5717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2025</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Traffic!$A$98:$A$109</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Traffic!$B$98:$B$109</c:f>
              <c:numCache>
                <c:formatCode>0.00%</c:formatCode>
                <c:ptCount val="12"/>
                <c:pt idx="0">
                  <c:v>0.21339563862928349</c:v>
                </c:pt>
                <c:pt idx="1">
                  <c:v>0.59968847352024923</c:v>
                </c:pt>
                <c:pt idx="2">
                  <c:v>0.42056074766355139</c:v>
                </c:pt>
                <c:pt idx="3">
                  <c:v>0.35358255451713394</c:v>
                </c:pt>
                <c:pt idx="4">
                  <c:v>0.21183800623052959</c:v>
                </c:pt>
                <c:pt idx="5">
                  <c:v>0.34890965732087226</c:v>
                </c:pt>
                <c:pt idx="6">
                  <c:v>0.30529595015576322</c:v>
                </c:pt>
                <c:pt idx="7">
                  <c:v>0.5</c:v>
                </c:pt>
                <c:pt idx="8">
                  <c:v>0.41121495327102803</c:v>
                </c:pt>
                <c:pt idx="9">
                  <c:v>0.99221183800623058</c:v>
                </c:pt>
                <c:pt idx="10">
                  <c:v>0.75545171339563866</c:v>
                </c:pt>
                <c:pt idx="11">
                  <c:v>0.83177570093457942</c:v>
                </c:pt>
              </c:numCache>
            </c:numRef>
          </c:val>
          <c:extLst>
            <c:ext xmlns:c16="http://schemas.microsoft.com/office/drawing/2014/chart" uri="{C3380CC4-5D6E-409C-BE32-E72D297353CC}">
              <c16:uniqueId val="{00000000-4B17-47DC-BF80-C3C322D78C40}"/>
            </c:ext>
          </c:extLst>
        </c:ser>
        <c:dLbls>
          <c:showLegendKey val="0"/>
          <c:showVal val="0"/>
          <c:showCatName val="0"/>
          <c:showSerName val="0"/>
          <c:showPercent val="0"/>
          <c:showBubbleSize val="0"/>
        </c:dLbls>
        <c:gapWidth val="150"/>
        <c:axId val="518345384"/>
        <c:axId val="518347344"/>
      </c:barChart>
      <c:dateAx>
        <c:axId val="5183453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7344"/>
        <c:crosses val="autoZero"/>
        <c:auto val="1"/>
        <c:lblOffset val="100"/>
        <c:baseTimeUnit val="months"/>
      </c:dateAx>
      <c:valAx>
        <c:axId val="518347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über alle Jahre 2017-2022</a:t>
            </a:r>
            <a:endParaRPr lang="de-DE"/>
          </a:p>
        </c:rich>
      </c:tx>
      <c:layout>
        <c:manualLayout>
          <c:xMode val="edge"/>
          <c:yMode val="edge"/>
          <c:x val="5.4730207816872427E-2"/>
          <c:y val="1.94598515876494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Traffic!$A$2:$A$73</c:f>
              <c:numCache>
                <c:formatCode>mmm\-yy</c:formatCode>
                <c:ptCount val="7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numCache>
            </c:numRef>
          </c:cat>
          <c:val>
            <c:numRef>
              <c:f>Traffic!$B$2:$B$73</c:f>
              <c:numCache>
                <c:formatCode>0.00%</c:formatCode>
                <c:ptCount val="72"/>
                <c:pt idx="0">
                  <c:v>0.30909090909090908</c:v>
                </c:pt>
                <c:pt idx="1">
                  <c:v>0.53266331658291455</c:v>
                </c:pt>
                <c:pt idx="2">
                  <c:v>0.35714285714285715</c:v>
                </c:pt>
                <c:pt idx="3">
                  <c:v>0.30158730158730157</c:v>
                </c:pt>
                <c:pt idx="4">
                  <c:v>0.58730158730158732</c:v>
                </c:pt>
                <c:pt idx="5">
                  <c:v>0.43650793650793651</c:v>
                </c:pt>
                <c:pt idx="6">
                  <c:v>7.9365079365079361E-3</c:v>
                </c:pt>
                <c:pt idx="7">
                  <c:v>0.33333333333333331</c:v>
                </c:pt>
                <c:pt idx="8">
                  <c:v>0.47348484848484851</c:v>
                </c:pt>
                <c:pt idx="9">
                  <c:v>0.25724637681159418</c:v>
                </c:pt>
                <c:pt idx="10">
                  <c:v>0.5714285714285714</c:v>
                </c:pt>
                <c:pt idx="11">
                  <c:v>0.31904761904761902</c:v>
                </c:pt>
                <c:pt idx="12">
                  <c:v>0.87938596491228072</c:v>
                </c:pt>
                <c:pt idx="13">
                  <c:v>0.61585365853658536</c:v>
                </c:pt>
                <c:pt idx="14">
                  <c:v>0.46544715447154472</c:v>
                </c:pt>
                <c:pt idx="15">
                  <c:v>0.79878048780487809</c:v>
                </c:pt>
                <c:pt idx="16">
                  <c:v>0.69360269360269355</c:v>
                </c:pt>
                <c:pt idx="17">
                  <c:v>0.56397306397306401</c:v>
                </c:pt>
                <c:pt idx="18">
                  <c:v>0.11279461279461279</c:v>
                </c:pt>
                <c:pt idx="19">
                  <c:v>0.38047138047138046</c:v>
                </c:pt>
                <c:pt idx="20">
                  <c:v>0.41245791245791247</c:v>
                </c:pt>
                <c:pt idx="21">
                  <c:v>0.56565656565656564</c:v>
                </c:pt>
                <c:pt idx="22">
                  <c:v>0.67340067340067344</c:v>
                </c:pt>
                <c:pt idx="23">
                  <c:v>0.92929292929292928</c:v>
                </c:pt>
                <c:pt idx="24">
                  <c:v>4.8821548821548821E-2</c:v>
                </c:pt>
                <c:pt idx="25">
                  <c:v>0.16666666666666666</c:v>
                </c:pt>
                <c:pt idx="26">
                  <c:v>0.28956228956228958</c:v>
                </c:pt>
                <c:pt idx="27">
                  <c:v>0.26767676767676768</c:v>
                </c:pt>
                <c:pt idx="28">
                  <c:v>0.35185185185185186</c:v>
                </c:pt>
                <c:pt idx="29">
                  <c:v>0.3451178451178451</c:v>
                </c:pt>
                <c:pt idx="30">
                  <c:v>0.2946127946127946</c:v>
                </c:pt>
                <c:pt idx="31">
                  <c:v>0.29124579124579125</c:v>
                </c:pt>
                <c:pt idx="32">
                  <c:v>0.96127946127946129</c:v>
                </c:pt>
                <c:pt idx="33">
                  <c:v>0.48484848484848486</c:v>
                </c:pt>
                <c:pt idx="34">
                  <c:v>0.265993265993266</c:v>
                </c:pt>
                <c:pt idx="35">
                  <c:v>0.64646464646464652</c:v>
                </c:pt>
                <c:pt idx="36">
                  <c:v>0.35185185185185186</c:v>
                </c:pt>
                <c:pt idx="37">
                  <c:v>0.38383838383838381</c:v>
                </c:pt>
                <c:pt idx="38">
                  <c:v>0.37037037037037035</c:v>
                </c:pt>
                <c:pt idx="39">
                  <c:v>0.41582491582491582</c:v>
                </c:pt>
                <c:pt idx="40">
                  <c:v>0.40404040404040403</c:v>
                </c:pt>
                <c:pt idx="41">
                  <c:v>0.48821548821548821</c:v>
                </c:pt>
                <c:pt idx="42">
                  <c:v>0.55218855218855223</c:v>
                </c:pt>
                <c:pt idx="43">
                  <c:v>0.70202020202020199</c:v>
                </c:pt>
                <c:pt idx="44">
                  <c:v>0.81818181818181823</c:v>
                </c:pt>
                <c:pt idx="45">
                  <c:v>0.77272727272727271</c:v>
                </c:pt>
                <c:pt idx="46">
                  <c:v>0.79966329966329963</c:v>
                </c:pt>
                <c:pt idx="47">
                  <c:v>0.81144781144781142</c:v>
                </c:pt>
                <c:pt idx="48">
                  <c:v>0.63804713804713808</c:v>
                </c:pt>
                <c:pt idx="49">
                  <c:v>0.9747474747474747</c:v>
                </c:pt>
                <c:pt idx="50">
                  <c:v>0.57070707070707072</c:v>
                </c:pt>
                <c:pt idx="51">
                  <c:v>0.54713804713804715</c:v>
                </c:pt>
                <c:pt idx="52">
                  <c:v>0.94781144781144777</c:v>
                </c:pt>
                <c:pt idx="53">
                  <c:v>1.1043771043771045</c:v>
                </c:pt>
                <c:pt idx="54">
                  <c:v>0.44781144781144783</c:v>
                </c:pt>
                <c:pt idx="55">
                  <c:v>0.45286195286195285</c:v>
                </c:pt>
                <c:pt idx="56">
                  <c:v>1.0528052805280528</c:v>
                </c:pt>
                <c:pt idx="57">
                  <c:v>0.49504950495049505</c:v>
                </c:pt>
                <c:pt idx="58">
                  <c:v>0.26237623762376239</c:v>
                </c:pt>
                <c:pt idx="59">
                  <c:v>0.55115511551155116</c:v>
                </c:pt>
                <c:pt idx="60">
                  <c:v>0.70957095709570961</c:v>
                </c:pt>
                <c:pt idx="61">
                  <c:v>0.41584158415841582</c:v>
                </c:pt>
                <c:pt idx="62">
                  <c:v>0.55610561056105612</c:v>
                </c:pt>
                <c:pt idx="63">
                  <c:v>0.11056105610561057</c:v>
                </c:pt>
                <c:pt idx="64">
                  <c:v>9.5709570957095716E-2</c:v>
                </c:pt>
                <c:pt idx="65">
                  <c:v>0.32673267326732675</c:v>
                </c:pt>
                <c:pt idx="66">
                  <c:v>0.72607260726072609</c:v>
                </c:pt>
                <c:pt idx="67">
                  <c:v>0.80218068535825549</c:v>
                </c:pt>
                <c:pt idx="68">
                  <c:v>0.67601246105919</c:v>
                </c:pt>
                <c:pt idx="69">
                  <c:v>0.55607476635514019</c:v>
                </c:pt>
                <c:pt idx="70">
                  <c:v>0.69626168224299068</c:v>
                </c:pt>
                <c:pt idx="71">
                  <c:v>1.0093457943925233</c:v>
                </c:pt>
              </c:numCache>
            </c:numRef>
          </c:val>
          <c:extLst>
            <c:ext xmlns:c16="http://schemas.microsoft.com/office/drawing/2014/chart" uri="{C3380CC4-5D6E-409C-BE32-E72D297353CC}">
              <c16:uniqueId val="{00000000-275C-1948-B630-7C796FBA5E37}"/>
            </c:ext>
          </c:extLst>
        </c:ser>
        <c:ser>
          <c:idx val="1"/>
          <c:order val="1"/>
          <c:spPr>
            <a:solidFill>
              <a:schemeClr val="accent2"/>
            </a:solidFill>
            <a:ln>
              <a:noFill/>
            </a:ln>
            <a:effectLst/>
          </c:spPr>
          <c:invertIfNegative val="0"/>
          <c:cat>
            <c:numRef>
              <c:f>Traffic!$A$2:$A$73</c:f>
              <c:numCache>
                <c:formatCode>mmm\-yy</c:formatCode>
                <c:ptCount val="7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numCache>
            </c:numRef>
          </c:cat>
          <c:val>
            <c:numRef>
              <c:f>Traffic!$C$2:$C$73</c:f>
              <c:numCache>
                <c:formatCode>General</c:formatCode>
                <c:ptCount val="72"/>
                <c:pt idx="0">
                  <c:v>51</c:v>
                </c:pt>
                <c:pt idx="1">
                  <c:v>106</c:v>
                </c:pt>
                <c:pt idx="2">
                  <c:v>90</c:v>
                </c:pt>
                <c:pt idx="3">
                  <c:v>76</c:v>
                </c:pt>
                <c:pt idx="4">
                  <c:v>148</c:v>
                </c:pt>
                <c:pt idx="5">
                  <c:v>110</c:v>
                </c:pt>
                <c:pt idx="6">
                  <c:v>2</c:v>
                </c:pt>
                <c:pt idx="7">
                  <c:v>84</c:v>
                </c:pt>
                <c:pt idx="8">
                  <c:v>125</c:v>
                </c:pt>
                <c:pt idx="9">
                  <c:v>71</c:v>
                </c:pt>
                <c:pt idx="10">
                  <c:v>240</c:v>
                </c:pt>
                <c:pt idx="11">
                  <c:v>134</c:v>
                </c:pt>
                <c:pt idx="12">
                  <c:v>401</c:v>
                </c:pt>
                <c:pt idx="13">
                  <c:v>303</c:v>
                </c:pt>
                <c:pt idx="14">
                  <c:v>229</c:v>
                </c:pt>
                <c:pt idx="15">
                  <c:v>393</c:v>
                </c:pt>
                <c:pt idx="16">
                  <c:v>412</c:v>
                </c:pt>
                <c:pt idx="17">
                  <c:v>335</c:v>
                </c:pt>
                <c:pt idx="18">
                  <c:v>67</c:v>
                </c:pt>
                <c:pt idx="19">
                  <c:v>226</c:v>
                </c:pt>
                <c:pt idx="20">
                  <c:v>245</c:v>
                </c:pt>
                <c:pt idx="21">
                  <c:v>336</c:v>
                </c:pt>
                <c:pt idx="22">
                  <c:v>400</c:v>
                </c:pt>
                <c:pt idx="23">
                  <c:v>552</c:v>
                </c:pt>
                <c:pt idx="24">
                  <c:v>29</c:v>
                </c:pt>
                <c:pt idx="25">
                  <c:v>99</c:v>
                </c:pt>
                <c:pt idx="26">
                  <c:v>172</c:v>
                </c:pt>
                <c:pt idx="27">
                  <c:v>159</c:v>
                </c:pt>
                <c:pt idx="28">
                  <c:v>209</c:v>
                </c:pt>
                <c:pt idx="29">
                  <c:v>205</c:v>
                </c:pt>
                <c:pt idx="30">
                  <c:v>175</c:v>
                </c:pt>
                <c:pt idx="31">
                  <c:v>173</c:v>
                </c:pt>
                <c:pt idx="32">
                  <c:v>571</c:v>
                </c:pt>
                <c:pt idx="33">
                  <c:v>288</c:v>
                </c:pt>
                <c:pt idx="34">
                  <c:v>158</c:v>
                </c:pt>
                <c:pt idx="35">
                  <c:v>384</c:v>
                </c:pt>
                <c:pt idx="36">
                  <c:v>209</c:v>
                </c:pt>
                <c:pt idx="37">
                  <c:v>228</c:v>
                </c:pt>
                <c:pt idx="38">
                  <c:v>220</c:v>
                </c:pt>
                <c:pt idx="39">
                  <c:v>247</c:v>
                </c:pt>
                <c:pt idx="40">
                  <c:v>240</c:v>
                </c:pt>
                <c:pt idx="41">
                  <c:v>290</c:v>
                </c:pt>
                <c:pt idx="42">
                  <c:v>328</c:v>
                </c:pt>
                <c:pt idx="43">
                  <c:v>417</c:v>
                </c:pt>
                <c:pt idx="44">
                  <c:v>486</c:v>
                </c:pt>
                <c:pt idx="45">
                  <c:v>459</c:v>
                </c:pt>
                <c:pt idx="46">
                  <c:v>475</c:v>
                </c:pt>
                <c:pt idx="47">
                  <c:v>482</c:v>
                </c:pt>
                <c:pt idx="48">
                  <c:v>379</c:v>
                </c:pt>
                <c:pt idx="49">
                  <c:v>579</c:v>
                </c:pt>
                <c:pt idx="50">
                  <c:v>339</c:v>
                </c:pt>
                <c:pt idx="51">
                  <c:v>325</c:v>
                </c:pt>
                <c:pt idx="52">
                  <c:v>563</c:v>
                </c:pt>
                <c:pt idx="53">
                  <c:v>656</c:v>
                </c:pt>
                <c:pt idx="54">
                  <c:v>266</c:v>
                </c:pt>
                <c:pt idx="55">
                  <c:v>269</c:v>
                </c:pt>
                <c:pt idx="56">
                  <c:v>638</c:v>
                </c:pt>
                <c:pt idx="57">
                  <c:v>300</c:v>
                </c:pt>
                <c:pt idx="58">
                  <c:v>159</c:v>
                </c:pt>
                <c:pt idx="59">
                  <c:v>334</c:v>
                </c:pt>
                <c:pt idx="60">
                  <c:v>430</c:v>
                </c:pt>
                <c:pt idx="61">
                  <c:v>252</c:v>
                </c:pt>
                <c:pt idx="62">
                  <c:v>337</c:v>
                </c:pt>
                <c:pt idx="63">
                  <c:v>67</c:v>
                </c:pt>
                <c:pt idx="64">
                  <c:v>58</c:v>
                </c:pt>
                <c:pt idx="65">
                  <c:v>198</c:v>
                </c:pt>
                <c:pt idx="66">
                  <c:v>440</c:v>
                </c:pt>
                <c:pt idx="67">
                  <c:v>515</c:v>
                </c:pt>
                <c:pt idx="68">
                  <c:v>434</c:v>
                </c:pt>
                <c:pt idx="69">
                  <c:v>357</c:v>
                </c:pt>
                <c:pt idx="70">
                  <c:v>447</c:v>
                </c:pt>
                <c:pt idx="71">
                  <c:v>648</c:v>
                </c:pt>
              </c:numCache>
            </c:numRef>
          </c:val>
          <c:extLst>
            <c:ext xmlns:c16="http://schemas.microsoft.com/office/drawing/2014/chart" uri="{C3380CC4-5D6E-409C-BE32-E72D297353CC}">
              <c16:uniqueId val="{00000001-275C-1948-B630-7C796FBA5E37}"/>
            </c:ext>
          </c:extLst>
        </c:ser>
        <c:dLbls>
          <c:showLegendKey val="0"/>
          <c:showVal val="0"/>
          <c:showCatName val="0"/>
          <c:showSerName val="0"/>
          <c:showPercent val="0"/>
          <c:showBubbleSize val="0"/>
        </c:dLbls>
        <c:gapWidth val="219"/>
        <c:overlap val="-27"/>
        <c:axId val="518344992"/>
        <c:axId val="518344208"/>
      </c:barChart>
      <c:dateAx>
        <c:axId val="51834499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4208"/>
        <c:crosses val="autoZero"/>
        <c:auto val="1"/>
        <c:lblOffset val="100"/>
        <c:baseTimeUnit val="months"/>
      </c:dateAx>
      <c:valAx>
        <c:axId val="518344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4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Traffic</a:t>
            </a:r>
            <a:r>
              <a:rPr lang="de-DE" baseline="0"/>
              <a:t> über alle Jahre 2023-2028</a:t>
            </a:r>
            <a:endParaRPr lang="de-DE"/>
          </a:p>
        </c:rich>
      </c:tx>
      <c:layout>
        <c:manualLayout>
          <c:xMode val="edge"/>
          <c:yMode val="edge"/>
          <c:x val="5.4730207816872427E-2"/>
          <c:y val="1.94598515876494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numRef>
              <c:f>Traffic!$A$74:$A$109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Traffic!$B$74:$B$109</c:f>
              <c:numCache>
                <c:formatCode>0.00%</c:formatCode>
                <c:ptCount val="36"/>
                <c:pt idx="0">
                  <c:v>0.59345794392523366</c:v>
                </c:pt>
                <c:pt idx="1">
                  <c:v>0.62305295950155759</c:v>
                </c:pt>
                <c:pt idx="2">
                  <c:v>0.74766355140186913</c:v>
                </c:pt>
                <c:pt idx="3">
                  <c:v>0.70249221183800625</c:v>
                </c:pt>
                <c:pt idx="4">
                  <c:v>0.6900311526479751</c:v>
                </c:pt>
                <c:pt idx="5">
                  <c:v>0.56386292834890961</c:v>
                </c:pt>
                <c:pt idx="6">
                  <c:v>0.27258566978193144</c:v>
                </c:pt>
                <c:pt idx="7">
                  <c:v>0.52959501557632394</c:v>
                </c:pt>
                <c:pt idx="8">
                  <c:v>0.24299065420560748</c:v>
                </c:pt>
                <c:pt idx="9">
                  <c:v>0.3909657320872274</c:v>
                </c:pt>
                <c:pt idx="10">
                  <c:v>0.42211838006230529</c:v>
                </c:pt>
                <c:pt idx="11">
                  <c:v>0.71495327102803741</c:v>
                </c:pt>
                <c:pt idx="12">
                  <c:v>0.30373831775700932</c:v>
                </c:pt>
                <c:pt idx="13">
                  <c:v>0.69626168224299068</c:v>
                </c:pt>
                <c:pt idx="14">
                  <c:v>0.52180685358255452</c:v>
                </c:pt>
                <c:pt idx="15">
                  <c:v>0.49532710280373832</c:v>
                </c:pt>
                <c:pt idx="16">
                  <c:v>0.49532710280373832</c:v>
                </c:pt>
                <c:pt idx="17">
                  <c:v>0.41121495327102803</c:v>
                </c:pt>
                <c:pt idx="18">
                  <c:v>0.37694704049844235</c:v>
                </c:pt>
                <c:pt idx="19">
                  <c:v>0.37227414330218067</c:v>
                </c:pt>
                <c:pt idx="20">
                  <c:v>0.49844236760124611</c:v>
                </c:pt>
                <c:pt idx="21">
                  <c:v>0.24610591900311526</c:v>
                </c:pt>
                <c:pt idx="22">
                  <c:v>0.38473520249221183</c:v>
                </c:pt>
                <c:pt idx="23">
                  <c:v>0.83333333333333337</c:v>
                </c:pt>
                <c:pt idx="24">
                  <c:v>0.21339563862928349</c:v>
                </c:pt>
                <c:pt idx="25">
                  <c:v>0.59968847352024923</c:v>
                </c:pt>
                <c:pt idx="26">
                  <c:v>0.42056074766355139</c:v>
                </c:pt>
                <c:pt idx="27">
                  <c:v>0.35358255451713394</c:v>
                </c:pt>
                <c:pt idx="28">
                  <c:v>0.21183800623052959</c:v>
                </c:pt>
                <c:pt idx="29">
                  <c:v>0.34890965732087226</c:v>
                </c:pt>
                <c:pt idx="30">
                  <c:v>0.30529595015576322</c:v>
                </c:pt>
                <c:pt idx="31">
                  <c:v>0.5</c:v>
                </c:pt>
                <c:pt idx="32">
                  <c:v>0.41121495327102803</c:v>
                </c:pt>
                <c:pt idx="33">
                  <c:v>0.99221183800623058</c:v>
                </c:pt>
                <c:pt idx="34">
                  <c:v>0.75545171339563866</c:v>
                </c:pt>
                <c:pt idx="35">
                  <c:v>0.83177570093457942</c:v>
                </c:pt>
              </c:numCache>
            </c:numRef>
          </c:val>
          <c:extLst>
            <c:ext xmlns:c16="http://schemas.microsoft.com/office/drawing/2014/chart" uri="{C3380CC4-5D6E-409C-BE32-E72D297353CC}">
              <c16:uniqueId val="{00000000-FD6F-AD4D-B8B6-82CE8B410321}"/>
            </c:ext>
          </c:extLst>
        </c:ser>
        <c:ser>
          <c:idx val="1"/>
          <c:order val="1"/>
          <c:spPr>
            <a:solidFill>
              <a:schemeClr val="accent2"/>
            </a:solidFill>
            <a:ln>
              <a:noFill/>
            </a:ln>
            <a:effectLst/>
          </c:spPr>
          <c:invertIfNegative val="0"/>
          <c:cat>
            <c:numRef>
              <c:f>Traffic!$A$74:$A$109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Traffic!$C$74:$C$109</c:f>
              <c:numCache>
                <c:formatCode>General</c:formatCode>
                <c:ptCount val="36"/>
                <c:pt idx="0">
                  <c:v>381</c:v>
                </c:pt>
                <c:pt idx="1">
                  <c:v>400</c:v>
                </c:pt>
                <c:pt idx="2">
                  <c:v>480</c:v>
                </c:pt>
                <c:pt idx="3">
                  <c:v>451</c:v>
                </c:pt>
                <c:pt idx="4">
                  <c:v>443</c:v>
                </c:pt>
                <c:pt idx="5">
                  <c:v>362</c:v>
                </c:pt>
                <c:pt idx="6">
                  <c:v>175</c:v>
                </c:pt>
                <c:pt idx="7">
                  <c:v>340</c:v>
                </c:pt>
                <c:pt idx="8">
                  <c:v>156</c:v>
                </c:pt>
                <c:pt idx="9">
                  <c:v>251</c:v>
                </c:pt>
                <c:pt idx="10">
                  <c:v>271</c:v>
                </c:pt>
                <c:pt idx="11">
                  <c:v>459</c:v>
                </c:pt>
                <c:pt idx="12">
                  <c:v>195</c:v>
                </c:pt>
                <c:pt idx="13">
                  <c:v>447</c:v>
                </c:pt>
                <c:pt idx="14">
                  <c:v>335</c:v>
                </c:pt>
                <c:pt idx="15">
                  <c:v>318</c:v>
                </c:pt>
                <c:pt idx="16">
                  <c:v>318</c:v>
                </c:pt>
                <c:pt idx="17">
                  <c:v>264</c:v>
                </c:pt>
                <c:pt idx="18">
                  <c:v>242</c:v>
                </c:pt>
                <c:pt idx="19">
                  <c:v>239</c:v>
                </c:pt>
                <c:pt idx="20">
                  <c:v>320</c:v>
                </c:pt>
                <c:pt idx="21">
                  <c:v>158</c:v>
                </c:pt>
                <c:pt idx="22">
                  <c:v>247</c:v>
                </c:pt>
                <c:pt idx="23">
                  <c:v>535</c:v>
                </c:pt>
                <c:pt idx="24">
                  <c:v>137</c:v>
                </c:pt>
                <c:pt idx="25">
                  <c:v>385</c:v>
                </c:pt>
                <c:pt idx="26">
                  <c:v>270</c:v>
                </c:pt>
                <c:pt idx="27">
                  <c:v>227</c:v>
                </c:pt>
                <c:pt idx="28">
                  <c:v>136</c:v>
                </c:pt>
                <c:pt idx="29">
                  <c:v>224</c:v>
                </c:pt>
                <c:pt idx="30">
                  <c:v>196</c:v>
                </c:pt>
                <c:pt idx="31">
                  <c:v>321</c:v>
                </c:pt>
                <c:pt idx="32">
                  <c:v>264</c:v>
                </c:pt>
                <c:pt idx="33">
                  <c:v>637</c:v>
                </c:pt>
                <c:pt idx="34">
                  <c:v>485</c:v>
                </c:pt>
                <c:pt idx="35">
                  <c:v>534</c:v>
                </c:pt>
              </c:numCache>
            </c:numRef>
          </c:val>
          <c:extLst>
            <c:ext xmlns:c16="http://schemas.microsoft.com/office/drawing/2014/chart" uri="{C3380CC4-5D6E-409C-BE32-E72D297353CC}">
              <c16:uniqueId val="{00000001-FD6F-AD4D-B8B6-82CE8B410321}"/>
            </c:ext>
          </c:extLst>
        </c:ser>
        <c:dLbls>
          <c:showLegendKey val="0"/>
          <c:showVal val="0"/>
          <c:showCatName val="0"/>
          <c:showSerName val="0"/>
          <c:showPercent val="0"/>
          <c:showBubbleSize val="0"/>
        </c:dLbls>
        <c:gapWidth val="219"/>
        <c:overlap val="-27"/>
        <c:axId val="518342640"/>
        <c:axId val="518349696"/>
      </c:barChart>
      <c:dateAx>
        <c:axId val="518342640"/>
        <c:scaling>
          <c:orientation val="minMax"/>
          <c:max val="46753"/>
          <c:min val="44927"/>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9696"/>
        <c:crosses val="autoZero"/>
        <c:auto val="1"/>
        <c:lblOffset val="100"/>
        <c:baseTimeUnit val="months"/>
      </c:dateAx>
      <c:valAx>
        <c:axId val="518349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83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9524</xdr:colOff>
      <xdr:row>1</xdr:row>
      <xdr:rowOff>152400</xdr:rowOff>
    </xdr:from>
    <xdr:to>
      <xdr:col>15</xdr:col>
      <xdr:colOff>85725</xdr:colOff>
      <xdr:row>12</xdr:row>
      <xdr:rowOff>9525</xdr:rowOff>
    </xdr:to>
    <xdr:graphicFrame macro="">
      <xdr:nvGraphicFramePr>
        <xdr:cNvPr id="3" name="Diagramm 2">
          <a:extLst>
            <a:ext uri="{FF2B5EF4-FFF2-40B4-BE49-F238E27FC236}">
              <a16:creationId xmlns:a16="http://schemas.microsoft.com/office/drawing/2014/main" id="{00000000-0008-0000-6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9524</xdr:colOff>
      <xdr:row>14</xdr:row>
      <xdr:rowOff>76200</xdr:rowOff>
    </xdr:from>
    <xdr:to>
      <xdr:col>15</xdr:col>
      <xdr:colOff>85725</xdr:colOff>
      <xdr:row>24</xdr:row>
      <xdr:rowOff>0</xdr:rowOff>
    </xdr:to>
    <xdr:graphicFrame macro="">
      <xdr:nvGraphicFramePr>
        <xdr:cNvPr id="4" name="Diagramm 3">
          <a:extLst>
            <a:ext uri="{FF2B5EF4-FFF2-40B4-BE49-F238E27FC236}">
              <a16:creationId xmlns:a16="http://schemas.microsoft.com/office/drawing/2014/main" id="{00000000-0008-0000-6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761999</xdr:colOff>
      <xdr:row>26</xdr:row>
      <xdr:rowOff>38100</xdr:rowOff>
    </xdr:from>
    <xdr:to>
      <xdr:col>15</xdr:col>
      <xdr:colOff>76199</xdr:colOff>
      <xdr:row>36</xdr:row>
      <xdr:rowOff>0</xdr:rowOff>
    </xdr:to>
    <xdr:graphicFrame macro="">
      <xdr:nvGraphicFramePr>
        <xdr:cNvPr id="7" name="Diagramm 6">
          <a:extLst>
            <a:ext uri="{FF2B5EF4-FFF2-40B4-BE49-F238E27FC236}">
              <a16:creationId xmlns:a16="http://schemas.microsoft.com/office/drawing/2014/main" id="{00000000-0008-0000-6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38</xdr:row>
      <xdr:rowOff>4762</xdr:rowOff>
    </xdr:from>
    <xdr:to>
      <xdr:col>15</xdr:col>
      <xdr:colOff>66675</xdr:colOff>
      <xdr:row>47</xdr:row>
      <xdr:rowOff>180975</xdr:rowOff>
    </xdr:to>
    <xdr:graphicFrame macro="">
      <xdr:nvGraphicFramePr>
        <xdr:cNvPr id="11" name="Diagramm 10">
          <a:extLst>
            <a:ext uri="{FF2B5EF4-FFF2-40B4-BE49-F238E27FC236}">
              <a16:creationId xmlns:a16="http://schemas.microsoft.com/office/drawing/2014/main" id="{00000000-0008-0000-6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761999</xdr:colOff>
      <xdr:row>49</xdr:row>
      <xdr:rowOff>28575</xdr:rowOff>
    </xdr:from>
    <xdr:to>
      <xdr:col>15</xdr:col>
      <xdr:colOff>57149</xdr:colOff>
      <xdr:row>59</xdr:row>
      <xdr:rowOff>180975</xdr:rowOff>
    </xdr:to>
    <xdr:graphicFrame macro="">
      <xdr:nvGraphicFramePr>
        <xdr:cNvPr id="8" name="Diagramm 7">
          <a:extLst>
            <a:ext uri="{FF2B5EF4-FFF2-40B4-BE49-F238E27FC236}">
              <a16:creationId xmlns:a16="http://schemas.microsoft.com/office/drawing/2014/main" id="{00000000-0008-0000-6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752475</xdr:colOff>
      <xdr:row>61</xdr:row>
      <xdr:rowOff>28575</xdr:rowOff>
    </xdr:from>
    <xdr:to>
      <xdr:col>15</xdr:col>
      <xdr:colOff>47625</xdr:colOff>
      <xdr:row>71</xdr:row>
      <xdr:rowOff>180975</xdr:rowOff>
    </xdr:to>
    <xdr:graphicFrame macro="">
      <xdr:nvGraphicFramePr>
        <xdr:cNvPr id="9" name="Diagramm 8">
          <a:extLst>
            <a:ext uri="{FF2B5EF4-FFF2-40B4-BE49-F238E27FC236}">
              <a16:creationId xmlns:a16="http://schemas.microsoft.com/office/drawing/2014/main" id="{00000000-0008-0000-6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9525</xdr:colOff>
      <xdr:row>73</xdr:row>
      <xdr:rowOff>28575</xdr:rowOff>
    </xdr:from>
    <xdr:to>
      <xdr:col>15</xdr:col>
      <xdr:colOff>66675</xdr:colOff>
      <xdr:row>83</xdr:row>
      <xdr:rowOff>180975</xdr:rowOff>
    </xdr:to>
    <xdr:graphicFrame macro="">
      <xdr:nvGraphicFramePr>
        <xdr:cNvPr id="10" name="Diagramm 9">
          <a:extLst>
            <a:ext uri="{FF2B5EF4-FFF2-40B4-BE49-F238E27FC236}">
              <a16:creationId xmlns:a16="http://schemas.microsoft.com/office/drawing/2014/main" id="{00000000-0008-0000-6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9525</xdr:colOff>
      <xdr:row>85</xdr:row>
      <xdr:rowOff>38100</xdr:rowOff>
    </xdr:from>
    <xdr:to>
      <xdr:col>15</xdr:col>
      <xdr:colOff>66675</xdr:colOff>
      <xdr:row>96</xdr:row>
      <xdr:rowOff>0</xdr:rowOff>
    </xdr:to>
    <xdr:graphicFrame macro="">
      <xdr:nvGraphicFramePr>
        <xdr:cNvPr id="12" name="Diagramm 11">
          <a:extLst>
            <a:ext uri="{FF2B5EF4-FFF2-40B4-BE49-F238E27FC236}">
              <a16:creationId xmlns:a16="http://schemas.microsoft.com/office/drawing/2014/main" id="{00000000-0008-0000-6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9525</xdr:colOff>
      <xdr:row>97</xdr:row>
      <xdr:rowOff>47625</xdr:rowOff>
    </xdr:from>
    <xdr:to>
      <xdr:col>15</xdr:col>
      <xdr:colOff>66675</xdr:colOff>
      <xdr:row>108</xdr:row>
      <xdr:rowOff>9525</xdr:rowOff>
    </xdr:to>
    <xdr:graphicFrame macro="">
      <xdr:nvGraphicFramePr>
        <xdr:cNvPr id="13" name="Diagramm 12">
          <a:extLst>
            <a:ext uri="{FF2B5EF4-FFF2-40B4-BE49-F238E27FC236}">
              <a16:creationId xmlns:a16="http://schemas.microsoft.com/office/drawing/2014/main" id="{00000000-0008-0000-6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xdr:row>
      <xdr:rowOff>0</xdr:rowOff>
    </xdr:from>
    <xdr:to>
      <xdr:col>23</xdr:col>
      <xdr:colOff>333375</xdr:colOff>
      <xdr:row>30</xdr:row>
      <xdr:rowOff>9525</xdr:rowOff>
    </xdr:to>
    <xdr:graphicFrame macro="">
      <xdr:nvGraphicFramePr>
        <xdr:cNvPr id="2" name="Diagramm 1">
          <a:extLst>
            <a:ext uri="{FF2B5EF4-FFF2-40B4-BE49-F238E27FC236}">
              <a16:creationId xmlns:a16="http://schemas.microsoft.com/office/drawing/2014/main" id="{00000000-0008-0000-6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171450</xdr:rowOff>
    </xdr:from>
    <xdr:to>
      <xdr:col>23</xdr:col>
      <xdr:colOff>323850</xdr:colOff>
      <xdr:row>57</xdr:row>
      <xdr:rowOff>180975</xdr:rowOff>
    </xdr:to>
    <xdr:graphicFrame macro="">
      <xdr:nvGraphicFramePr>
        <xdr:cNvPr id="4" name="Diagramm 3">
          <a:extLst>
            <a:ext uri="{FF2B5EF4-FFF2-40B4-BE49-F238E27FC236}">
              <a16:creationId xmlns:a16="http://schemas.microsoft.com/office/drawing/2014/main" id="{00000000-0008-0000-6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50.bin"/><Relationship Id="rId1" Type="http://schemas.openxmlformats.org/officeDocument/2006/relationships/printerSettings" Target="../printerSettings/printerSettings149.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154.bin"/><Relationship Id="rId1" Type="http://schemas.openxmlformats.org/officeDocument/2006/relationships/printerSettings" Target="../printerSettings/printerSettings153.bin"/></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s>
</file>

<file path=xl/worksheets/_rels/sheet79.xml.rels><?xml version="1.0" encoding="UTF-8" standalone="yes"?>
<Relationships xmlns="http://schemas.openxmlformats.org/package/2006/relationships"><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172.bin"/><Relationship Id="rId1" Type="http://schemas.openxmlformats.org/officeDocument/2006/relationships/printerSettings" Target="../printerSettings/printerSettings171.bin"/></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174.bin"/><Relationship Id="rId1" Type="http://schemas.openxmlformats.org/officeDocument/2006/relationships/printerSettings" Target="../printerSettings/printerSettings173.bin"/></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176.bin"/><Relationship Id="rId1" Type="http://schemas.openxmlformats.org/officeDocument/2006/relationships/printerSettings" Target="../printerSettings/printerSettings175.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178.bin"/><Relationship Id="rId1" Type="http://schemas.openxmlformats.org/officeDocument/2006/relationships/printerSettings" Target="../printerSettings/printerSettings177.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180.bin"/><Relationship Id="rId1" Type="http://schemas.openxmlformats.org/officeDocument/2006/relationships/printerSettings" Target="../printerSettings/printerSettings179.bin"/></Relationships>
</file>

<file path=xl/worksheets/_rels/sheet91.xml.rels><?xml version="1.0" encoding="UTF-8" standalone="yes"?>
<Relationships xmlns="http://schemas.openxmlformats.org/package/2006/relationships"><Relationship Id="rId2" Type="http://schemas.openxmlformats.org/officeDocument/2006/relationships/printerSettings" Target="../printerSettings/printerSettings182.bin"/><Relationship Id="rId1" Type="http://schemas.openxmlformats.org/officeDocument/2006/relationships/printerSettings" Target="../printerSettings/printerSettings181.bin"/></Relationships>
</file>

<file path=xl/worksheets/_rels/sheet92.xml.rels><?xml version="1.0" encoding="UTF-8" standalone="yes"?>
<Relationships xmlns="http://schemas.openxmlformats.org/package/2006/relationships"><Relationship Id="rId2" Type="http://schemas.openxmlformats.org/officeDocument/2006/relationships/printerSettings" Target="../printerSettings/printerSettings184.bin"/><Relationship Id="rId1" Type="http://schemas.openxmlformats.org/officeDocument/2006/relationships/printerSettings" Target="../printerSettings/printerSettings183.bin"/></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6.bin"/><Relationship Id="rId1" Type="http://schemas.openxmlformats.org/officeDocument/2006/relationships/printerSettings" Target="../printerSettings/printerSettings185.bin"/></Relationships>
</file>

<file path=xl/worksheets/_rels/sheet94.xml.rels><?xml version="1.0" encoding="UTF-8" standalone="yes"?>
<Relationships xmlns="http://schemas.openxmlformats.org/package/2006/relationships"><Relationship Id="rId2" Type="http://schemas.openxmlformats.org/officeDocument/2006/relationships/printerSettings" Target="../printerSettings/printerSettings188.bin"/><Relationship Id="rId1" Type="http://schemas.openxmlformats.org/officeDocument/2006/relationships/printerSettings" Target="../printerSettings/printerSettings187.bin"/></Relationships>
</file>

<file path=xl/worksheets/_rels/sheet95.xml.rels><?xml version="1.0" encoding="UTF-8" standalone="yes"?>
<Relationships xmlns="http://schemas.openxmlformats.org/package/2006/relationships"><Relationship Id="rId2" Type="http://schemas.openxmlformats.org/officeDocument/2006/relationships/printerSettings" Target="../printerSettings/printerSettings190.bin"/><Relationship Id="rId1" Type="http://schemas.openxmlformats.org/officeDocument/2006/relationships/printerSettings" Target="../printerSettings/printerSettings189.bin"/></Relationships>
</file>

<file path=xl/worksheets/_rels/sheet96.xml.rels><?xml version="1.0" encoding="UTF-8" standalone="yes"?>
<Relationships xmlns="http://schemas.openxmlformats.org/package/2006/relationships"><Relationship Id="rId2" Type="http://schemas.openxmlformats.org/officeDocument/2006/relationships/printerSettings" Target="../printerSettings/printerSettings192.bin"/><Relationship Id="rId1" Type="http://schemas.openxmlformats.org/officeDocument/2006/relationships/printerSettings" Target="../printerSettings/printerSettings191.bin"/></Relationships>
</file>

<file path=xl/worksheets/_rels/sheet97.xml.rels><?xml version="1.0" encoding="UTF-8" standalone="yes"?>
<Relationships xmlns="http://schemas.openxmlformats.org/package/2006/relationships"><Relationship Id="rId2" Type="http://schemas.openxmlformats.org/officeDocument/2006/relationships/printerSettings" Target="../printerSettings/printerSettings194.bin"/><Relationship Id="rId1" Type="http://schemas.openxmlformats.org/officeDocument/2006/relationships/printerSettings" Target="../printerSettings/printerSettings193.bin"/></Relationships>
</file>

<file path=xl/worksheets/_rels/sheet98.xml.rels><?xml version="1.0" encoding="UTF-8" standalone="yes"?>
<Relationships xmlns="http://schemas.openxmlformats.org/package/2006/relationships"><Relationship Id="rId2" Type="http://schemas.openxmlformats.org/officeDocument/2006/relationships/printerSettings" Target="../printerSettings/printerSettings196.bin"/><Relationship Id="rId1" Type="http://schemas.openxmlformats.org/officeDocument/2006/relationships/printerSettings" Target="../printerSettings/printerSettings195.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117.xml.rels><?xml version="1.0" encoding="UTF-8" standalone="yes"?>
<Relationships xmlns="http://schemas.openxmlformats.org/package/2006/relationships"><Relationship Id="rId2" Type="http://schemas.openxmlformats.org/officeDocument/2006/relationships/printerSettings" Target="../printerSettings/printerSettings216.bin"/><Relationship Id="rId1" Type="http://schemas.openxmlformats.org/officeDocument/2006/relationships/printerSettings" Target="../printerSettings/printerSettings215.bin"/></Relationships>
</file>

<file path=xl/worksheets/_rels/sheet11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18.bin"/><Relationship Id="rId1" Type="http://schemas.openxmlformats.org/officeDocument/2006/relationships/printerSettings" Target="../printerSettings/printerSettings217.bin"/></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pageSetUpPr fitToPage="1"/>
  </sheetPr>
  <dimension ref="A1:K49"/>
  <sheetViews>
    <sheetView workbookViewId="0">
      <selection activeCell="B9" sqref="B9"/>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1" ht="26.25" x14ac:dyDescent="0.4">
      <c r="A1" s="1" t="s">
        <v>0</v>
      </c>
      <c r="B1" s="28"/>
      <c r="C1" s="28"/>
      <c r="D1" s="28"/>
      <c r="E1" s="28"/>
      <c r="F1" s="28"/>
      <c r="G1" s="28"/>
      <c r="H1" s="28"/>
      <c r="I1" s="28"/>
      <c r="J1" s="28"/>
      <c r="K1" s="28"/>
    </row>
    <row r="2" spans="1:11" x14ac:dyDescent="0.25">
      <c r="A2" s="5"/>
      <c r="B2" s="2"/>
      <c r="C2" s="2"/>
      <c r="D2" s="2"/>
      <c r="E2" s="3"/>
      <c r="F2" s="6" t="s">
        <v>1</v>
      </c>
      <c r="G2" s="2"/>
      <c r="H2" s="2"/>
      <c r="I2" s="2"/>
      <c r="J2" s="2"/>
      <c r="K2" s="4"/>
    </row>
    <row r="3" spans="1:11" ht="15.75" thickBot="1" x14ac:dyDescent="0.3">
      <c r="A3" s="5"/>
      <c r="B3" s="2"/>
      <c r="C3" s="2"/>
      <c r="D3" s="2"/>
      <c r="E3" s="3"/>
      <c r="F3" s="2">
        <v>0</v>
      </c>
      <c r="G3" s="2"/>
      <c r="H3" s="2"/>
      <c r="I3" s="2"/>
      <c r="J3" s="2"/>
      <c r="K3" s="4"/>
    </row>
    <row r="4" spans="1:11" ht="30" x14ac:dyDescent="0.25">
      <c r="A4" s="5" t="s">
        <v>2</v>
      </c>
      <c r="B4" s="7" t="s">
        <v>3</v>
      </c>
      <c r="C4" s="7" t="s">
        <v>4</v>
      </c>
      <c r="D4" s="7" t="s">
        <v>5</v>
      </c>
      <c r="E4" s="3"/>
      <c r="F4" s="8" t="s">
        <v>6</v>
      </c>
      <c r="G4" s="7" t="s">
        <v>7</v>
      </c>
      <c r="H4" s="7" t="s">
        <v>8</v>
      </c>
      <c r="I4" s="2"/>
      <c r="J4" s="9" t="s">
        <v>9</v>
      </c>
      <c r="K4" s="4" t="s">
        <v>10</v>
      </c>
    </row>
    <row r="5" spans="1:11" x14ac:dyDescent="0.25">
      <c r="A5" s="5"/>
      <c r="B5" s="2"/>
      <c r="C5" s="2"/>
      <c r="D5" s="2"/>
      <c r="E5" s="3"/>
      <c r="F5" s="10"/>
      <c r="G5" s="2"/>
      <c r="H5" s="2"/>
      <c r="I5" s="2"/>
      <c r="J5" s="11"/>
      <c r="K5" s="4"/>
    </row>
    <row r="6" spans="1:11" s="35" customFormat="1" ht="15.75" thickBot="1" x14ac:dyDescent="0.3">
      <c r="A6" s="29"/>
      <c r="B6" s="30"/>
      <c r="C6" s="30"/>
      <c r="D6" s="30"/>
      <c r="E6" s="31"/>
      <c r="F6" s="32">
        <f>SUM(D:D)+F3</f>
        <v>208</v>
      </c>
      <c r="G6" s="30">
        <f>SUM(B:B)</f>
        <v>208</v>
      </c>
      <c r="H6" s="30">
        <f>SUM(C:C)</f>
        <v>0</v>
      </c>
      <c r="I6" s="30"/>
      <c r="J6" s="33">
        <f>SUM(G6:H6)</f>
        <v>208</v>
      </c>
      <c r="K6" s="34"/>
    </row>
    <row r="7" spans="1:11" ht="67.5" customHeight="1" x14ac:dyDescent="0.25">
      <c r="A7" s="12">
        <v>42682</v>
      </c>
      <c r="B7" s="13">
        <v>40</v>
      </c>
      <c r="C7" s="13"/>
      <c r="D7" s="14">
        <f t="shared" ref="D7:D49" si="0">B7-C7</f>
        <v>40</v>
      </c>
      <c r="E7" s="15"/>
      <c r="F7" s="14"/>
      <c r="G7" s="14"/>
      <c r="H7" s="14"/>
      <c r="I7" s="14"/>
      <c r="J7" s="14"/>
      <c r="K7" s="16" t="s">
        <v>11</v>
      </c>
    </row>
    <row r="8" spans="1:11" ht="105" x14ac:dyDescent="0.25">
      <c r="A8" s="17">
        <v>42683</v>
      </c>
      <c r="B8" s="18">
        <v>58</v>
      </c>
      <c r="C8" s="18"/>
      <c r="D8" s="2">
        <f t="shared" si="0"/>
        <v>58</v>
      </c>
      <c r="E8" s="3"/>
      <c r="F8" s="2"/>
      <c r="G8" s="2"/>
      <c r="H8" s="2"/>
      <c r="I8" s="2"/>
      <c r="J8" s="2"/>
      <c r="K8" s="19" t="s">
        <v>12</v>
      </c>
    </row>
    <row r="9" spans="1:11" ht="105" x14ac:dyDescent="0.25">
      <c r="A9" s="17">
        <v>42684</v>
      </c>
      <c r="B9" s="18">
        <v>55</v>
      </c>
      <c r="C9" s="18"/>
      <c r="D9" s="2">
        <f t="shared" si="0"/>
        <v>55</v>
      </c>
      <c r="E9" s="3"/>
      <c r="F9" s="2"/>
      <c r="G9" s="2"/>
      <c r="H9" s="2"/>
      <c r="I9" s="2"/>
      <c r="J9" s="2"/>
      <c r="K9" s="19" t="s">
        <v>13</v>
      </c>
    </row>
    <row r="10" spans="1:11" ht="105" x14ac:dyDescent="0.25">
      <c r="A10" s="17">
        <v>42689</v>
      </c>
      <c r="B10" s="18">
        <v>55</v>
      </c>
      <c r="C10" s="18"/>
      <c r="D10" s="2">
        <f t="shared" si="0"/>
        <v>55</v>
      </c>
      <c r="E10" s="3"/>
      <c r="F10" s="2"/>
      <c r="G10" s="2"/>
      <c r="H10" s="2"/>
      <c r="I10" s="2"/>
      <c r="J10" s="2"/>
      <c r="K10" s="19" t="s">
        <v>14</v>
      </c>
    </row>
    <row r="11" spans="1:11" ht="45" x14ac:dyDescent="0.25">
      <c r="A11" s="17">
        <v>42689</v>
      </c>
      <c r="B11" s="18">
        <v>0</v>
      </c>
      <c r="C11" s="18">
        <v>0</v>
      </c>
      <c r="D11" s="2">
        <f t="shared" si="0"/>
        <v>0</v>
      </c>
      <c r="E11" s="3"/>
      <c r="F11" s="2"/>
      <c r="G11" s="2"/>
      <c r="H11" s="2"/>
      <c r="I11" s="2"/>
      <c r="J11" s="2"/>
      <c r="K11" s="19" t="s">
        <v>15</v>
      </c>
    </row>
    <row r="12" spans="1:11" x14ac:dyDescent="0.25">
      <c r="A12" s="17"/>
      <c r="B12" s="18"/>
      <c r="C12" s="18"/>
      <c r="D12" s="2">
        <f t="shared" si="0"/>
        <v>0</v>
      </c>
      <c r="E12" s="3"/>
      <c r="F12" s="2"/>
      <c r="G12" s="2"/>
      <c r="H12" s="2"/>
      <c r="I12" s="2"/>
      <c r="J12" s="2"/>
      <c r="K12" s="19"/>
    </row>
    <row r="13" spans="1:11" x14ac:dyDescent="0.25">
      <c r="A13" s="17"/>
      <c r="B13" s="18"/>
      <c r="C13" s="18"/>
      <c r="D13" s="2">
        <f t="shared" si="0"/>
        <v>0</v>
      </c>
      <c r="E13" s="3"/>
      <c r="F13" s="2"/>
      <c r="G13" s="2"/>
      <c r="H13" s="2"/>
      <c r="I13" s="2"/>
      <c r="J13" s="2"/>
      <c r="K13" s="20"/>
    </row>
    <row r="14" spans="1:11" x14ac:dyDescent="0.25">
      <c r="A14" s="21"/>
      <c r="B14" s="22"/>
      <c r="C14" s="22"/>
      <c r="D14" s="23">
        <f t="shared" si="0"/>
        <v>0</v>
      </c>
      <c r="E14" s="24"/>
      <c r="F14" s="23"/>
      <c r="G14" s="23"/>
      <c r="H14" s="23"/>
      <c r="I14" s="23"/>
      <c r="J14" s="23"/>
      <c r="K14" s="25"/>
    </row>
    <row r="15" spans="1:11" x14ac:dyDescent="0.25">
      <c r="A15" s="17"/>
      <c r="B15" s="18"/>
      <c r="C15" s="18"/>
      <c r="D15" s="2">
        <f t="shared" si="0"/>
        <v>0</v>
      </c>
      <c r="E15" s="3"/>
      <c r="F15" s="2"/>
      <c r="G15" s="2"/>
      <c r="H15" s="2"/>
      <c r="I15" s="2"/>
      <c r="J15" s="2"/>
      <c r="K15" s="20"/>
    </row>
    <row r="16" spans="1:11"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17"/>
      <c r="B21" s="18"/>
      <c r="C21" s="18"/>
      <c r="D21" s="2">
        <f t="shared" si="0"/>
        <v>0</v>
      </c>
      <c r="E21" s="3"/>
      <c r="F21" s="2"/>
      <c r="G21" s="2"/>
      <c r="H21" s="2"/>
      <c r="I21" s="2"/>
      <c r="J21" s="2"/>
      <c r="K21" s="19"/>
    </row>
    <row r="22" spans="1:11" x14ac:dyDescent="0.25">
      <c r="A22" s="17"/>
      <c r="B22" s="18"/>
      <c r="C22" s="18"/>
      <c r="D22" s="2">
        <f t="shared" si="0"/>
        <v>0</v>
      </c>
      <c r="E22" s="3"/>
      <c r="F22" s="2"/>
      <c r="G22" s="2"/>
      <c r="H22" s="2"/>
      <c r="I22" s="2"/>
      <c r="J22" s="2"/>
      <c r="K22" s="19"/>
    </row>
    <row r="23" spans="1:11" x14ac:dyDescent="0.25">
      <c r="A23" s="17"/>
      <c r="B23" s="18"/>
      <c r="C23" s="18"/>
      <c r="D23" s="2">
        <f t="shared" si="0"/>
        <v>0</v>
      </c>
      <c r="E23" s="3"/>
      <c r="F23" s="2"/>
      <c r="G23" s="2"/>
      <c r="H23" s="2"/>
      <c r="I23" s="2"/>
      <c r="J23" s="2"/>
      <c r="K23" s="20"/>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20"/>
    </row>
    <row r="26" spans="1:11" x14ac:dyDescent="0.25">
      <c r="A26" s="21"/>
      <c r="B26" s="22"/>
      <c r="C26" s="22"/>
      <c r="D26" s="2">
        <f t="shared" si="0"/>
        <v>0</v>
      </c>
      <c r="E26" s="24"/>
      <c r="F26" s="23"/>
      <c r="G26" s="23"/>
      <c r="H26" s="23"/>
      <c r="I26" s="23"/>
      <c r="J26" s="23"/>
      <c r="K26" s="26"/>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19"/>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20"/>
    </row>
    <row r="34" spans="1:11" x14ac:dyDescent="0.25">
      <c r="A34" s="17"/>
      <c r="B34" s="18"/>
      <c r="C34" s="18"/>
      <c r="D34" s="2">
        <f t="shared" si="0"/>
        <v>0</v>
      </c>
      <c r="E34" s="3"/>
      <c r="F34" s="2"/>
      <c r="G34" s="2"/>
      <c r="H34" s="2"/>
      <c r="I34" s="2"/>
      <c r="J34" s="2"/>
      <c r="K34" s="19"/>
    </row>
    <row r="35" spans="1:11" x14ac:dyDescent="0.25">
      <c r="A35" s="17"/>
      <c r="B35" s="18"/>
      <c r="C35" s="18"/>
      <c r="D35" s="2">
        <f t="shared" si="0"/>
        <v>0</v>
      </c>
      <c r="E35" s="3"/>
      <c r="F35" s="2"/>
      <c r="G35" s="2"/>
      <c r="H35" s="2"/>
      <c r="I35" s="2"/>
      <c r="J35" s="2"/>
      <c r="K35" s="19"/>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19"/>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20"/>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row r="45" spans="1:11" x14ac:dyDescent="0.25">
      <c r="A45" s="17"/>
      <c r="B45" s="18"/>
      <c r="C45" s="18"/>
      <c r="D45" s="2">
        <f t="shared" si="0"/>
        <v>0</v>
      </c>
      <c r="E45" s="3"/>
      <c r="F45" s="2"/>
      <c r="G45" s="2"/>
      <c r="H45" s="2"/>
      <c r="I45" s="2"/>
      <c r="J45" s="2"/>
      <c r="K45" s="19"/>
    </row>
    <row r="46" spans="1:11" x14ac:dyDescent="0.25">
      <c r="A46" s="17"/>
      <c r="B46" s="18"/>
      <c r="C46" s="18"/>
      <c r="D46" s="2">
        <f t="shared" si="0"/>
        <v>0</v>
      </c>
      <c r="E46" s="3"/>
      <c r="F46" s="2"/>
      <c r="G46" s="2"/>
      <c r="H46" s="2"/>
      <c r="I46" s="2"/>
      <c r="J46" s="2"/>
      <c r="K46" s="20"/>
    </row>
    <row r="47" spans="1:11" x14ac:dyDescent="0.25">
      <c r="A47" s="17"/>
      <c r="B47" s="18"/>
      <c r="C47" s="18"/>
      <c r="D47" s="2">
        <f t="shared" si="0"/>
        <v>0</v>
      </c>
      <c r="E47" s="3"/>
      <c r="F47" s="2"/>
      <c r="G47" s="2"/>
      <c r="H47" s="2"/>
      <c r="I47" s="2"/>
      <c r="J47" s="2"/>
      <c r="K47" s="20"/>
    </row>
    <row r="48" spans="1:11" x14ac:dyDescent="0.25">
      <c r="A48" s="17"/>
      <c r="B48" s="18"/>
      <c r="C48" s="18"/>
      <c r="D48" s="2">
        <f t="shared" si="0"/>
        <v>0</v>
      </c>
      <c r="E48" s="3"/>
      <c r="F48" s="2"/>
      <c r="G48" s="2"/>
      <c r="H48" s="2"/>
      <c r="I48" s="2"/>
      <c r="J48" s="2"/>
      <c r="K48" s="20"/>
    </row>
    <row r="49" spans="1:11" x14ac:dyDescent="0.25">
      <c r="A49" s="17"/>
      <c r="B49" s="18"/>
      <c r="C49" s="18"/>
      <c r="D49" s="2">
        <f t="shared" si="0"/>
        <v>0</v>
      </c>
      <c r="E49" s="3"/>
      <c r="F49" s="2"/>
      <c r="G49" s="2"/>
      <c r="H49" s="2"/>
      <c r="I49" s="2"/>
      <c r="J49" s="2"/>
      <c r="K49" s="20"/>
    </row>
  </sheetData>
  <sheetProtection algorithmName="SHA-512" hashValue="yDR8BxW6StPMR5agYg5NKtrD7hsvyk5VGTE64CME9nWFg5+AfD4xVKiuCFzODpt0HH/DKlFaEqELZiYrvH1ujw==" saltValue="KjDNbN2GG29YqoUvdsIJrw==" spinCount="100000" sheet="1" objects="1" scenarios="1" selectLockedCells="1" selectUnlockedCells="1"/>
  <customSheetViews>
    <customSheetView guid="{E5A7B818-645B-417C-A128-9FE559D9B124}" fitToPage="1">
      <selection activeCell="B9" sqref="B9"/>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pageSetUpPr fitToPage="1"/>
  </sheetPr>
  <dimension ref="A1:K44"/>
  <sheetViews>
    <sheetView workbookViewId="0">
      <selection activeCell="C34" sqref="C34"/>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1" ht="26.25" x14ac:dyDescent="0.4">
      <c r="A1" s="1" t="s">
        <v>0</v>
      </c>
      <c r="B1" s="28"/>
      <c r="C1" s="28"/>
      <c r="D1" s="28"/>
      <c r="E1" s="28"/>
      <c r="F1" s="28"/>
      <c r="G1" s="28"/>
      <c r="H1" s="28"/>
      <c r="I1" s="28"/>
      <c r="J1" s="28"/>
      <c r="K1" s="28"/>
    </row>
    <row r="2" spans="1:11" x14ac:dyDescent="0.25">
      <c r="A2" s="5"/>
      <c r="B2" s="2"/>
      <c r="C2" s="2"/>
      <c r="D2" s="2"/>
      <c r="E2" s="3"/>
      <c r="F2" s="6" t="s">
        <v>1</v>
      </c>
      <c r="G2" s="2"/>
      <c r="H2" s="2"/>
      <c r="I2" s="2"/>
      <c r="J2" s="2"/>
      <c r="K2" s="4"/>
    </row>
    <row r="3" spans="1:11" ht="15.75" thickBot="1" x14ac:dyDescent="0.3">
      <c r="A3" s="5"/>
      <c r="B3" s="2"/>
      <c r="C3" s="2"/>
      <c r="D3" s="2"/>
      <c r="E3" s="3"/>
      <c r="F3" s="2">
        <f>'11.16'!F6</f>
        <v>208</v>
      </c>
      <c r="G3" s="2"/>
      <c r="H3" s="2"/>
      <c r="I3" s="2"/>
      <c r="J3" s="2"/>
      <c r="K3" s="4"/>
    </row>
    <row r="4" spans="1:11" ht="30" x14ac:dyDescent="0.25">
      <c r="A4" s="5" t="s">
        <v>2</v>
      </c>
      <c r="B4" s="7" t="s">
        <v>3</v>
      </c>
      <c r="C4" s="7" t="s">
        <v>4</v>
      </c>
      <c r="D4" s="7" t="s">
        <v>5</v>
      </c>
      <c r="E4" s="3"/>
      <c r="F4" s="8" t="s">
        <v>6</v>
      </c>
      <c r="G4" s="7" t="s">
        <v>7</v>
      </c>
      <c r="H4" s="7" t="s">
        <v>8</v>
      </c>
      <c r="I4" s="2"/>
      <c r="J4" s="9" t="s">
        <v>9</v>
      </c>
      <c r="K4" s="4" t="s">
        <v>10</v>
      </c>
    </row>
    <row r="5" spans="1:11" x14ac:dyDescent="0.25">
      <c r="A5" s="5"/>
      <c r="B5" s="2"/>
      <c r="C5" s="2"/>
      <c r="D5" s="2"/>
      <c r="E5" s="3"/>
      <c r="F5" s="10"/>
      <c r="G5" s="2"/>
      <c r="H5" s="2"/>
      <c r="I5" s="2"/>
      <c r="J5" s="11"/>
      <c r="K5" s="4"/>
    </row>
    <row r="6" spans="1:11" s="35" customFormat="1" ht="15.75" thickBot="1" x14ac:dyDescent="0.3">
      <c r="A6" s="29"/>
      <c r="B6" s="30"/>
      <c r="C6" s="30"/>
      <c r="D6" s="30"/>
      <c r="E6" s="31"/>
      <c r="F6" s="32">
        <f>SUM(D:D)+F3</f>
        <v>196</v>
      </c>
      <c r="G6" s="30">
        <f>SUM(B:B)</f>
        <v>0</v>
      </c>
      <c r="H6" s="30">
        <f>SUM(C:C)</f>
        <v>12</v>
      </c>
      <c r="I6" s="30"/>
      <c r="J6" s="33">
        <f>SUM(G6:H6)</f>
        <v>12</v>
      </c>
      <c r="K6" s="34"/>
    </row>
    <row r="7" spans="1:11" x14ac:dyDescent="0.25">
      <c r="A7" s="17">
        <v>42716</v>
      </c>
      <c r="B7" s="18">
        <v>0</v>
      </c>
      <c r="C7" s="18">
        <v>5</v>
      </c>
      <c r="D7" s="2">
        <f t="shared" ref="D7:D44" si="0">B7-C7</f>
        <v>-5</v>
      </c>
      <c r="E7" s="3"/>
      <c r="F7" s="2"/>
      <c r="G7" s="2"/>
      <c r="H7" s="2"/>
      <c r="I7" s="2"/>
      <c r="J7" s="2"/>
      <c r="K7" s="19" t="s">
        <v>16</v>
      </c>
    </row>
    <row r="8" spans="1:11" x14ac:dyDescent="0.25">
      <c r="A8" s="17">
        <v>42732</v>
      </c>
      <c r="B8" s="18">
        <v>0</v>
      </c>
      <c r="C8" s="18">
        <v>7</v>
      </c>
      <c r="D8" s="2">
        <f t="shared" si="0"/>
        <v>-7</v>
      </c>
      <c r="E8" s="3"/>
      <c r="F8" s="2"/>
      <c r="G8" s="2"/>
      <c r="H8" s="2"/>
      <c r="I8" s="2"/>
      <c r="J8" s="2"/>
      <c r="K8" s="20" t="s">
        <v>17</v>
      </c>
    </row>
    <row r="9" spans="1:11" x14ac:dyDescent="0.25">
      <c r="A9" s="21"/>
      <c r="B9" s="22"/>
      <c r="C9" s="22"/>
      <c r="D9" s="23">
        <f t="shared" si="0"/>
        <v>0</v>
      </c>
      <c r="E9" s="24"/>
      <c r="F9" s="23"/>
      <c r="G9" s="23"/>
      <c r="H9" s="23"/>
      <c r="I9" s="23"/>
      <c r="J9" s="23"/>
      <c r="K9" s="25"/>
    </row>
    <row r="10" spans="1:11" x14ac:dyDescent="0.25">
      <c r="A10" s="17"/>
      <c r="B10" s="18"/>
      <c r="C10" s="18"/>
      <c r="D10" s="2">
        <f t="shared" si="0"/>
        <v>0</v>
      </c>
      <c r="E10" s="3"/>
      <c r="F10" s="2"/>
      <c r="G10" s="2"/>
      <c r="H10" s="2"/>
      <c r="I10" s="2"/>
      <c r="J10" s="2"/>
      <c r="K10" s="20"/>
    </row>
    <row r="11" spans="1:11" x14ac:dyDescent="0.25">
      <c r="A11" s="17"/>
      <c r="B11" s="18"/>
      <c r="C11" s="18"/>
      <c r="D11" s="2">
        <f t="shared" si="0"/>
        <v>0</v>
      </c>
      <c r="E11" s="3"/>
      <c r="F11" s="2"/>
      <c r="G11" s="2"/>
      <c r="H11" s="2"/>
      <c r="I11" s="2"/>
      <c r="J11" s="2"/>
      <c r="K11" s="19"/>
    </row>
    <row r="12" spans="1:11" x14ac:dyDescent="0.25">
      <c r="A12" s="17"/>
      <c r="B12" s="18"/>
      <c r="C12" s="18"/>
      <c r="D12" s="2">
        <f t="shared" si="0"/>
        <v>0</v>
      </c>
      <c r="E12" s="3"/>
      <c r="F12" s="2"/>
      <c r="G12" s="2"/>
      <c r="H12" s="2"/>
      <c r="I12" s="2"/>
      <c r="J12" s="2"/>
      <c r="K12" s="19"/>
    </row>
    <row r="13" spans="1:11" x14ac:dyDescent="0.25">
      <c r="A13" s="17"/>
      <c r="B13" s="18"/>
      <c r="C13" s="18"/>
      <c r="D13" s="2">
        <f t="shared" si="0"/>
        <v>0</v>
      </c>
      <c r="E13" s="3"/>
      <c r="F13" s="2"/>
      <c r="G13" s="2"/>
      <c r="H13" s="2"/>
      <c r="I13" s="2"/>
      <c r="J13" s="2"/>
      <c r="K13" s="20"/>
    </row>
    <row r="14" spans="1:11" x14ac:dyDescent="0.25">
      <c r="A14" s="17"/>
      <c r="B14" s="18"/>
      <c r="C14" s="18"/>
      <c r="D14" s="2">
        <f t="shared" si="0"/>
        <v>0</v>
      </c>
      <c r="E14" s="3"/>
      <c r="F14" s="2"/>
      <c r="G14" s="2"/>
      <c r="H14" s="2"/>
      <c r="I14" s="2"/>
      <c r="J14" s="2"/>
      <c r="K14" s="19"/>
    </row>
    <row r="15" spans="1:11" x14ac:dyDescent="0.25">
      <c r="A15" s="17"/>
      <c r="B15" s="18"/>
      <c r="C15" s="18"/>
      <c r="D15" s="2">
        <f t="shared" si="0"/>
        <v>0</v>
      </c>
      <c r="E15" s="3"/>
      <c r="F15" s="2"/>
      <c r="G15" s="2"/>
      <c r="H15" s="2"/>
      <c r="I15" s="2"/>
      <c r="J15" s="2"/>
      <c r="K15" s="20"/>
    </row>
    <row r="16" spans="1:11"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iTPPU0NjC7DCy9MsHcdmDDjR/BHAXHrX/9I3rAm1W5vlqrf3UhCG/h+/r7GBIwVc5iC7w4fORpFm9933EI4gMQ==" saltValue="mRkXyJfNF25RrBgckKbE+w==" spinCount="100000" sheet="1" objects="1" scenarios="1" selectLockedCells="1" selectUnlockedCells="1"/>
  <customSheetViews>
    <customSheetView guid="{E5A7B818-645B-417C-A128-9FE559D9B124}" fitToPage="1">
      <selection activeCell="C34" sqref="C34"/>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pageSetUpPr fitToPage="1"/>
  </sheetPr>
  <dimension ref="A1:L44"/>
  <sheetViews>
    <sheetView workbookViewId="0">
      <selection activeCell="B30" sqref="B30"/>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28"/>
      <c r="K1" s="28"/>
    </row>
    <row r="2" spans="1:12" x14ac:dyDescent="0.25">
      <c r="A2" s="5"/>
      <c r="B2" s="2"/>
      <c r="C2" s="2"/>
      <c r="D2" s="2"/>
      <c r="E2" s="3"/>
      <c r="F2" s="6" t="s">
        <v>1</v>
      </c>
      <c r="G2" s="2"/>
      <c r="H2" s="2"/>
      <c r="I2" s="2"/>
      <c r="J2" s="2"/>
      <c r="K2" s="4"/>
    </row>
    <row r="3" spans="1:12" ht="15.75" thickBot="1" x14ac:dyDescent="0.3">
      <c r="A3" s="5"/>
      <c r="B3" s="2"/>
      <c r="C3" s="2"/>
      <c r="D3" s="2"/>
      <c r="E3" s="3"/>
      <c r="F3" s="2">
        <f>'12.16'!F6</f>
        <v>196</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165</v>
      </c>
      <c r="G6" s="30">
        <f>SUM(B:B)</f>
        <v>10</v>
      </c>
      <c r="H6" s="30">
        <f>SUM(C:C)</f>
        <v>41</v>
      </c>
      <c r="I6" s="30"/>
      <c r="J6" s="33">
        <f>SUM(G6:H6)</f>
        <v>51</v>
      </c>
      <c r="K6" s="34"/>
      <c r="L6" s="50">
        <f>J6/F6</f>
        <v>0.30909090909090908</v>
      </c>
    </row>
    <row r="7" spans="1:12" x14ac:dyDescent="0.25">
      <c r="A7" s="17">
        <v>42739</v>
      </c>
      <c r="B7" s="18">
        <v>0</v>
      </c>
      <c r="C7" s="18">
        <v>8</v>
      </c>
      <c r="D7" s="2">
        <f t="shared" ref="D7:D44" si="0">B7-C7</f>
        <v>-8</v>
      </c>
      <c r="E7" s="3"/>
      <c r="F7" s="2"/>
      <c r="G7" s="2"/>
      <c r="H7" s="2"/>
      <c r="I7" s="2"/>
      <c r="J7" s="2"/>
      <c r="K7" s="19" t="s">
        <v>19</v>
      </c>
    </row>
    <row r="8" spans="1:12" x14ac:dyDescent="0.25">
      <c r="A8" s="17">
        <v>42740</v>
      </c>
      <c r="B8" s="18">
        <v>0</v>
      </c>
      <c r="C8" s="18">
        <v>1</v>
      </c>
      <c r="D8" s="2">
        <f t="shared" si="0"/>
        <v>-1</v>
      </c>
      <c r="E8" s="3"/>
      <c r="F8" s="2"/>
      <c r="G8" s="2"/>
      <c r="H8" s="2"/>
      <c r="I8" s="2"/>
      <c r="J8" s="2"/>
      <c r="K8" s="20">
        <v>448095</v>
      </c>
    </row>
    <row r="9" spans="1:12" x14ac:dyDescent="0.25">
      <c r="A9" s="21">
        <v>42748</v>
      </c>
      <c r="B9" s="22">
        <v>0</v>
      </c>
      <c r="C9" s="22">
        <v>3</v>
      </c>
      <c r="D9" s="23">
        <f t="shared" si="0"/>
        <v>-3</v>
      </c>
      <c r="E9" s="24"/>
      <c r="F9" s="23"/>
      <c r="G9" s="23"/>
      <c r="H9" s="23"/>
      <c r="I9" s="23"/>
      <c r="J9" s="23"/>
      <c r="K9" s="25" t="s">
        <v>20</v>
      </c>
    </row>
    <row r="10" spans="1:12" x14ac:dyDescent="0.25">
      <c r="A10" s="17">
        <v>42752</v>
      </c>
      <c r="B10" s="18">
        <v>0</v>
      </c>
      <c r="C10" s="18">
        <v>7</v>
      </c>
      <c r="D10" s="2">
        <f t="shared" si="0"/>
        <v>-7</v>
      </c>
      <c r="E10" s="3"/>
      <c r="F10" s="2"/>
      <c r="G10" s="2"/>
      <c r="H10" s="2"/>
      <c r="I10" s="2"/>
      <c r="J10" s="2"/>
      <c r="K10" s="20" t="s">
        <v>21</v>
      </c>
    </row>
    <row r="11" spans="1:12" x14ac:dyDescent="0.25">
      <c r="A11" s="17">
        <v>42761</v>
      </c>
      <c r="B11" s="18">
        <v>0</v>
      </c>
      <c r="C11" s="18">
        <v>4</v>
      </c>
      <c r="D11" s="2">
        <f t="shared" si="0"/>
        <v>-4</v>
      </c>
      <c r="E11" s="3"/>
      <c r="F11" s="2"/>
      <c r="G11" s="2"/>
      <c r="H11" s="2"/>
      <c r="I11" s="2"/>
      <c r="J11" s="2"/>
      <c r="K11" s="19" t="s">
        <v>22</v>
      </c>
    </row>
    <row r="12" spans="1:12" s="37" customFormat="1" ht="15" customHeight="1" x14ac:dyDescent="0.25">
      <c r="A12" s="12">
        <v>42762</v>
      </c>
      <c r="B12" s="13">
        <v>10</v>
      </c>
      <c r="C12" s="13">
        <v>0</v>
      </c>
      <c r="D12" s="14">
        <f t="shared" si="0"/>
        <v>10</v>
      </c>
      <c r="E12" s="15"/>
      <c r="F12" s="14"/>
      <c r="G12" s="14"/>
      <c r="H12" s="14"/>
      <c r="I12" s="14"/>
      <c r="J12" s="14"/>
      <c r="K12" s="16" t="s">
        <v>23</v>
      </c>
    </row>
    <row r="13" spans="1:12" s="37" customFormat="1" ht="45" x14ac:dyDescent="0.25">
      <c r="A13" s="12">
        <v>42766</v>
      </c>
      <c r="B13" s="13">
        <v>0</v>
      </c>
      <c r="C13" s="13">
        <v>18</v>
      </c>
      <c r="D13" s="14">
        <f t="shared" si="0"/>
        <v>-18</v>
      </c>
      <c r="E13" s="15"/>
      <c r="F13" s="14"/>
      <c r="G13" s="14"/>
      <c r="H13" s="14"/>
      <c r="I13" s="14"/>
      <c r="J13" s="14"/>
      <c r="K13" s="16" t="s">
        <v>24</v>
      </c>
    </row>
    <row r="14" spans="1:12" x14ac:dyDescent="0.25">
      <c r="A14" s="17"/>
      <c r="B14" s="18"/>
      <c r="C14" s="18"/>
      <c r="D14" s="2">
        <f t="shared" si="0"/>
        <v>0</v>
      </c>
      <c r="E14" s="3"/>
      <c r="F14" s="2"/>
      <c r="G14" s="2"/>
      <c r="H14" s="2"/>
      <c r="I14" s="2"/>
      <c r="J14" s="2"/>
      <c r="K14" s="19"/>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t93szRfqZd01RaNWFVr1Ds/l6pav58Z9ec4CNGCkUMUb63n1pmYnP08EMexhkFifHXYKQ48HgFlP6D78KhL9mg==" saltValue="/RFYSXyvPGyQ9w26zsPgQw==" spinCount="100000" sheet="1" objects="1" scenarios="1" selectLockedCells="1" selectUnlockedCells="1"/>
  <customSheetViews>
    <customSheetView guid="{E5A7B818-645B-417C-A128-9FE559D9B124}" fitToPage="1">
      <selection activeCell="B30" sqref="B30"/>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pageSetUpPr fitToPage="1"/>
  </sheetPr>
  <dimension ref="A1:L44"/>
  <sheetViews>
    <sheetView workbookViewId="0">
      <selection activeCell="C24" sqref="C24"/>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28"/>
      <c r="K1" s="28"/>
    </row>
    <row r="2" spans="1:12" x14ac:dyDescent="0.25">
      <c r="A2" s="5"/>
      <c r="B2" s="2"/>
      <c r="C2" s="2"/>
      <c r="D2" s="2"/>
      <c r="E2" s="3"/>
      <c r="F2" s="6" t="s">
        <v>1</v>
      </c>
      <c r="G2" s="2"/>
      <c r="H2" s="2"/>
      <c r="I2" s="2"/>
      <c r="J2" s="2"/>
      <c r="K2" s="4"/>
    </row>
    <row r="3" spans="1:12" ht="15.75" thickBot="1" x14ac:dyDescent="0.3">
      <c r="A3" s="5"/>
      <c r="B3" s="2"/>
      <c r="C3" s="2"/>
      <c r="D3" s="2"/>
      <c r="E3" s="3"/>
      <c r="F3" s="2">
        <f>'01.17'!F6</f>
        <v>165</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199</v>
      </c>
      <c r="G6" s="30">
        <f>SUM(B:B)</f>
        <v>70</v>
      </c>
      <c r="H6" s="30">
        <f>SUM(C:C)</f>
        <v>36</v>
      </c>
      <c r="I6" s="30"/>
      <c r="J6" s="33">
        <f>SUM(G6:H6)</f>
        <v>106</v>
      </c>
      <c r="K6" s="34"/>
      <c r="L6" s="50">
        <f>J6/F6</f>
        <v>0.53266331658291455</v>
      </c>
    </row>
    <row r="7" spans="1:12" x14ac:dyDescent="0.25">
      <c r="A7" s="17">
        <v>42767</v>
      </c>
      <c r="B7" s="18">
        <v>1</v>
      </c>
      <c r="C7" s="18">
        <v>0</v>
      </c>
      <c r="D7" s="2">
        <f t="shared" ref="D7:D44" si="0">B7-C7</f>
        <v>1</v>
      </c>
      <c r="E7" s="3"/>
      <c r="F7" s="2"/>
      <c r="G7" s="2"/>
      <c r="H7" s="2"/>
      <c r="I7" s="2"/>
      <c r="J7" s="2"/>
      <c r="K7" s="19" t="s">
        <v>25</v>
      </c>
      <c r="L7" s="27" t="s">
        <v>26</v>
      </c>
    </row>
    <row r="8" spans="1:12" ht="45" x14ac:dyDescent="0.25">
      <c r="A8" s="17">
        <v>42772</v>
      </c>
      <c r="B8" s="18">
        <v>16</v>
      </c>
      <c r="C8" s="18">
        <v>0</v>
      </c>
      <c r="D8" s="2">
        <f t="shared" si="0"/>
        <v>16</v>
      </c>
      <c r="E8" s="3"/>
      <c r="F8" s="2"/>
      <c r="G8" s="2"/>
      <c r="H8" s="2"/>
      <c r="I8" s="2"/>
      <c r="J8" s="2"/>
      <c r="K8" s="19" t="s">
        <v>27</v>
      </c>
    </row>
    <row r="9" spans="1:12" x14ac:dyDescent="0.25">
      <c r="A9" s="21">
        <v>42774</v>
      </c>
      <c r="B9" s="22">
        <v>0</v>
      </c>
      <c r="C9" s="22">
        <v>7</v>
      </c>
      <c r="D9" s="23">
        <f t="shared" si="0"/>
        <v>-7</v>
      </c>
      <c r="E9" s="24"/>
      <c r="F9" s="23"/>
      <c r="G9" s="23"/>
      <c r="H9" s="23"/>
      <c r="I9" s="23"/>
      <c r="J9" s="23"/>
      <c r="K9" s="25" t="s">
        <v>28</v>
      </c>
    </row>
    <row r="10" spans="1:12" ht="30" x14ac:dyDescent="0.25">
      <c r="A10" s="17">
        <v>42781</v>
      </c>
      <c r="B10" s="18">
        <v>1</v>
      </c>
      <c r="C10" s="18">
        <v>10</v>
      </c>
      <c r="D10" s="2">
        <f t="shared" si="0"/>
        <v>-9</v>
      </c>
      <c r="E10" s="3"/>
      <c r="F10" s="2"/>
      <c r="G10" s="2"/>
      <c r="H10" s="2"/>
      <c r="I10" s="2"/>
      <c r="J10" s="2"/>
      <c r="K10" s="19" t="s">
        <v>29</v>
      </c>
    </row>
    <row r="11" spans="1:12" x14ac:dyDescent="0.25">
      <c r="A11" s="17">
        <v>42782</v>
      </c>
      <c r="B11" s="18">
        <v>0</v>
      </c>
      <c r="C11" s="18">
        <v>9</v>
      </c>
      <c r="D11" s="2">
        <f t="shared" si="0"/>
        <v>-9</v>
      </c>
      <c r="E11" s="3"/>
      <c r="F11" s="2"/>
      <c r="G11" s="2"/>
      <c r="H11" s="2"/>
      <c r="I11" s="2"/>
      <c r="J11" s="2"/>
      <c r="K11" s="19" t="s">
        <v>30</v>
      </c>
      <c r="L11" s="27" t="s">
        <v>31</v>
      </c>
    </row>
    <row r="12" spans="1:12" ht="30" x14ac:dyDescent="0.25">
      <c r="A12" s="17">
        <v>42782</v>
      </c>
      <c r="B12" s="18">
        <v>13</v>
      </c>
      <c r="C12" s="18">
        <v>0</v>
      </c>
      <c r="D12" s="2">
        <f t="shared" si="0"/>
        <v>13</v>
      </c>
      <c r="E12" s="3"/>
      <c r="F12" s="2"/>
      <c r="G12" s="2"/>
      <c r="H12" s="2"/>
      <c r="I12" s="2"/>
      <c r="J12" s="2"/>
      <c r="K12" s="19" t="s">
        <v>32</v>
      </c>
    </row>
    <row r="13" spans="1:12" s="37" customFormat="1" ht="34.5" customHeight="1" x14ac:dyDescent="0.25">
      <c r="A13" s="12">
        <v>42788</v>
      </c>
      <c r="B13" s="13">
        <v>17</v>
      </c>
      <c r="C13" s="13">
        <v>0</v>
      </c>
      <c r="D13" s="14">
        <f t="shared" si="0"/>
        <v>17</v>
      </c>
      <c r="E13" s="15"/>
      <c r="F13" s="14"/>
      <c r="G13" s="14"/>
      <c r="H13" s="14"/>
      <c r="I13" s="14"/>
      <c r="J13" s="14"/>
      <c r="K13" s="16" t="s">
        <v>33</v>
      </c>
    </row>
    <row r="14" spans="1:12" ht="30" x14ac:dyDescent="0.25">
      <c r="A14" s="17">
        <v>42793</v>
      </c>
      <c r="B14" s="18">
        <v>0</v>
      </c>
      <c r="C14" s="18">
        <v>10</v>
      </c>
      <c r="D14" s="2">
        <f t="shared" si="0"/>
        <v>-10</v>
      </c>
      <c r="E14" s="3"/>
      <c r="F14" s="2"/>
      <c r="G14" s="2"/>
      <c r="H14" s="2"/>
      <c r="I14" s="2"/>
      <c r="J14" s="2"/>
      <c r="K14" s="19" t="s">
        <v>23</v>
      </c>
      <c r="L14" s="27" t="s">
        <v>34</v>
      </c>
    </row>
    <row r="15" spans="1:12" ht="60" x14ac:dyDescent="0.25">
      <c r="A15" s="17">
        <v>42793</v>
      </c>
      <c r="B15" s="18">
        <v>22</v>
      </c>
      <c r="C15" s="18">
        <v>0</v>
      </c>
      <c r="D15" s="2">
        <f t="shared" si="0"/>
        <v>22</v>
      </c>
      <c r="E15" s="3"/>
      <c r="F15" s="2"/>
      <c r="G15" s="2"/>
      <c r="H15" s="2"/>
      <c r="I15" s="2"/>
      <c r="J15" s="2"/>
      <c r="K15" s="19" t="s">
        <v>35</v>
      </c>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Ws/521kQFl77czfzOqmNz6hfXquKbdLAX+8hK+tNOP/MIEkb5nzAS2FBnRXTU8NHs1wbaSPoewotNIDUpNRY9g==" saltValue="A/IIa+o7GEZ0iZq0pIy18w==" spinCount="100000" sheet="1" objects="1" scenarios="1" selectLockedCells="1" selectUnlockedCells="1"/>
  <customSheetViews>
    <customSheetView guid="{E5A7B818-645B-417C-A128-9FE559D9B124}" fitToPage="1">
      <selection activeCell="C24" sqref="C24"/>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6">
    <pageSetUpPr fitToPage="1"/>
  </sheetPr>
  <dimension ref="A1:L44"/>
  <sheetViews>
    <sheetView workbookViewId="0">
      <selection activeCell="C19" sqref="C19"/>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3.140625" style="27" customWidth="1"/>
    <col min="12" max="12" width="54.5703125" style="27" customWidth="1"/>
    <col min="13" max="16384" width="11.42578125" style="27"/>
  </cols>
  <sheetData>
    <row r="1" spans="1:12" ht="26.25" x14ac:dyDescent="0.4">
      <c r="A1" s="1" t="s">
        <v>36</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27</v>
      </c>
    </row>
    <row r="3" spans="1:12" ht="15.75" thickBot="1" x14ac:dyDescent="0.3">
      <c r="A3" s="5"/>
      <c r="B3" s="2"/>
      <c r="C3" s="2"/>
      <c r="D3" s="2"/>
      <c r="E3" s="3"/>
      <c r="F3" s="2">
        <f>'02.17'!F6</f>
        <v>199</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225</v>
      </c>
      <c r="G6" s="30">
        <f>SUM(B:B)</f>
        <v>58</v>
      </c>
      <c r="H6" s="30">
        <f>SUM(C:C)</f>
        <v>32</v>
      </c>
      <c r="I6" s="30"/>
      <c r="J6" s="33">
        <f>SUM(G6:H6)</f>
        <v>90</v>
      </c>
      <c r="K6" s="34"/>
      <c r="L6" s="50">
        <f>J6/K1</f>
        <v>0.35714285714285715</v>
      </c>
    </row>
    <row r="7" spans="1:12" x14ac:dyDescent="0.25">
      <c r="A7" s="17">
        <v>42796</v>
      </c>
      <c r="B7" s="18">
        <v>0</v>
      </c>
      <c r="C7" s="18">
        <v>3</v>
      </c>
      <c r="D7" s="2">
        <f t="shared" ref="D7:D44" si="0">B7-C7</f>
        <v>-3</v>
      </c>
      <c r="E7" s="3"/>
      <c r="F7" s="2"/>
      <c r="G7" s="2"/>
      <c r="H7" s="2"/>
      <c r="I7" s="2"/>
      <c r="J7" s="2"/>
      <c r="K7" s="19" t="s">
        <v>39</v>
      </c>
    </row>
    <row r="8" spans="1:12" ht="105.75" x14ac:dyDescent="0.3">
      <c r="A8" s="17">
        <v>42802</v>
      </c>
      <c r="B8" s="18">
        <v>27</v>
      </c>
      <c r="C8" s="18">
        <v>0</v>
      </c>
      <c r="D8" s="2">
        <f t="shared" si="0"/>
        <v>27</v>
      </c>
      <c r="E8" s="3"/>
      <c r="F8" s="2"/>
      <c r="G8" s="2"/>
      <c r="H8" s="2"/>
      <c r="I8" s="2"/>
      <c r="J8" s="2"/>
      <c r="K8" s="19" t="s">
        <v>40</v>
      </c>
      <c r="L8" s="38" t="s">
        <v>41</v>
      </c>
    </row>
    <row r="9" spans="1:12" ht="90" x14ac:dyDescent="0.25">
      <c r="A9" s="21">
        <v>42811</v>
      </c>
      <c r="B9" s="22">
        <v>0</v>
      </c>
      <c r="C9" s="22">
        <v>24</v>
      </c>
      <c r="D9" s="23">
        <f t="shared" si="0"/>
        <v>-24</v>
      </c>
      <c r="E9" s="24"/>
      <c r="F9" s="23"/>
      <c r="G9" s="23"/>
      <c r="H9" s="23"/>
      <c r="I9" s="23"/>
      <c r="J9" s="23"/>
      <c r="K9" s="25" t="s">
        <v>42</v>
      </c>
    </row>
    <row r="10" spans="1:12" x14ac:dyDescent="0.25">
      <c r="A10" s="17">
        <v>42811</v>
      </c>
      <c r="B10" s="18">
        <v>1</v>
      </c>
      <c r="C10" s="18">
        <v>0</v>
      </c>
      <c r="D10" s="2">
        <f t="shared" si="0"/>
        <v>1</v>
      </c>
      <c r="E10" s="3"/>
      <c r="F10" s="2"/>
      <c r="G10" s="2"/>
      <c r="H10" s="2"/>
      <c r="I10" s="2"/>
      <c r="J10" s="2"/>
      <c r="K10" s="20" t="s">
        <v>43</v>
      </c>
    </row>
    <row r="11" spans="1:12" x14ac:dyDescent="0.25">
      <c r="A11" s="17">
        <v>42811</v>
      </c>
      <c r="B11" s="18">
        <v>0</v>
      </c>
      <c r="C11" s="18">
        <v>1</v>
      </c>
      <c r="D11" s="2">
        <f t="shared" si="0"/>
        <v>-1</v>
      </c>
      <c r="E11" s="3"/>
      <c r="F11" s="2"/>
      <c r="G11" s="2"/>
      <c r="H11" s="2"/>
      <c r="I11" s="2"/>
      <c r="J11" s="2"/>
      <c r="K11" s="19">
        <v>463707</v>
      </c>
    </row>
    <row r="12" spans="1:12" x14ac:dyDescent="0.25">
      <c r="A12" s="17">
        <v>42811</v>
      </c>
      <c r="B12" s="18">
        <v>0</v>
      </c>
      <c r="C12" s="18">
        <v>1</v>
      </c>
      <c r="D12" s="2">
        <f t="shared" si="0"/>
        <v>-1</v>
      </c>
      <c r="E12" s="3"/>
      <c r="F12" s="2"/>
      <c r="G12" s="2"/>
      <c r="H12" s="2"/>
      <c r="I12" s="2"/>
      <c r="J12" s="2"/>
      <c r="K12" s="19">
        <v>458556</v>
      </c>
    </row>
    <row r="13" spans="1:12" ht="45" x14ac:dyDescent="0.25">
      <c r="A13" s="17">
        <v>42811</v>
      </c>
      <c r="B13" s="18">
        <v>30</v>
      </c>
      <c r="C13" s="18">
        <v>0</v>
      </c>
      <c r="D13" s="2">
        <f t="shared" si="0"/>
        <v>30</v>
      </c>
      <c r="E13" s="3"/>
      <c r="F13" s="2"/>
      <c r="G13" s="2"/>
      <c r="H13" s="2"/>
      <c r="I13" s="2"/>
      <c r="J13" s="2"/>
      <c r="K13" s="19" t="s">
        <v>44</v>
      </c>
    </row>
    <row r="14" spans="1:12" x14ac:dyDescent="0.25">
      <c r="A14" s="17">
        <v>42822</v>
      </c>
      <c r="B14" s="18">
        <v>0</v>
      </c>
      <c r="C14" s="18">
        <v>3</v>
      </c>
      <c r="D14" s="2">
        <f t="shared" si="0"/>
        <v>-3</v>
      </c>
      <c r="E14" s="3"/>
      <c r="F14" s="2"/>
      <c r="G14" s="2"/>
      <c r="H14" s="2"/>
      <c r="I14" s="2"/>
      <c r="J14" s="2"/>
      <c r="K14" s="19" t="s">
        <v>45</v>
      </c>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FWBBeUKxkpVIl+CMTPtaJDfE9LSNWq9gIbHWxtfS1poSRYO3Q1KU8DMsb+0VhwZ5mE2siuXXNXwgAD/wjYpNw==" saltValue="FqhG2Um1yRMT5hPvEunVTA==" spinCount="100000" sheet="1" objects="1" scenarios="1" selectLockedCells="1" selectUnlockedCells="1"/>
  <customSheetViews>
    <customSheetView guid="{E5A7B818-645B-417C-A128-9FE559D9B124}" fitToPage="1">
      <selection activeCell="C19" sqref="C19"/>
      <pageMargins left="0.70866141732283472" right="0.70866141732283472" top="0.78740157480314965" bottom="0.78740157480314965" header="0.31496062992125984" footer="0.31496062992125984"/>
      <printOptions horizontalCentered="1"/>
      <pageSetup paperSize="9" scale="67" fitToHeight="0" orientation="landscape" r:id="rId1"/>
      <headerFooter>
        <oddFooter>&amp;C&amp;D / &amp;T&amp;RSeite &amp;P von &amp;N</oddFooter>
      </headerFooter>
    </customSheetView>
  </customSheetViews>
  <conditionalFormatting sqref="K2">
    <cfRule type="cellIs" dxfId="227" priority="1" operator="lessThan">
      <formula>0</formula>
    </cfRule>
    <cfRule type="cellIs" dxfId="226" priority="2" operator="greaterThan">
      <formula>0</formula>
    </cfRule>
  </conditionalFormatting>
  <printOptions horizontalCentered="1"/>
  <pageMargins left="0.70866141732283472" right="0.70866141732283472" top="0.78740157480314965" bottom="0.78740157480314965" header="0.31496062992125984" footer="0.31496062992125984"/>
  <pageSetup paperSize="9" scale="67" fitToHeight="0" orientation="landscape" r:id="rId2"/>
  <headerFooter>
    <oddFooter>&amp;C&amp;D / &amp;T&amp;RSeite &amp;P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pageSetUpPr fitToPage="1"/>
  </sheetPr>
  <dimension ref="A1:L44"/>
  <sheetViews>
    <sheetView workbookViewId="0">
      <selection activeCell="D28" sqref="D28"/>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19</v>
      </c>
    </row>
    <row r="3" spans="1:12" ht="15.75" thickBot="1" x14ac:dyDescent="0.3">
      <c r="A3" s="5"/>
      <c r="B3" s="2"/>
      <c r="C3" s="2"/>
      <c r="D3" s="2"/>
      <c r="E3" s="3"/>
      <c r="F3" s="2">
        <f>'03.17'!F6</f>
        <v>225</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233</v>
      </c>
      <c r="G6" s="30">
        <f>SUM(B:B)</f>
        <v>42</v>
      </c>
      <c r="H6" s="30">
        <f>SUM(C:C)</f>
        <v>34</v>
      </c>
      <c r="I6" s="30"/>
      <c r="J6" s="33">
        <f>SUM(G6:H6)</f>
        <v>76</v>
      </c>
      <c r="K6" s="34"/>
      <c r="L6" s="50">
        <f>J6/K1</f>
        <v>0.30158730158730157</v>
      </c>
    </row>
    <row r="7" spans="1:12" x14ac:dyDescent="0.25">
      <c r="A7" s="17">
        <v>42828</v>
      </c>
      <c r="B7" s="18">
        <v>4</v>
      </c>
      <c r="C7" s="18">
        <v>0</v>
      </c>
      <c r="D7" s="2">
        <f t="shared" ref="D7:D44" si="0">B7-C7</f>
        <v>4</v>
      </c>
      <c r="E7" s="3"/>
      <c r="F7" s="2"/>
      <c r="G7" s="2"/>
      <c r="H7" s="2"/>
      <c r="I7" s="2"/>
      <c r="J7" s="2"/>
      <c r="K7" s="19" t="s">
        <v>46</v>
      </c>
    </row>
    <row r="8" spans="1:12" ht="45" x14ac:dyDescent="0.25">
      <c r="A8" s="17">
        <v>42835</v>
      </c>
      <c r="B8" s="18">
        <v>0</v>
      </c>
      <c r="C8" s="18">
        <v>11</v>
      </c>
      <c r="D8" s="2">
        <f t="shared" si="0"/>
        <v>-11</v>
      </c>
      <c r="E8" s="3"/>
      <c r="F8" s="2"/>
      <c r="G8" s="2"/>
      <c r="H8" s="2"/>
      <c r="I8" s="2"/>
      <c r="J8" s="2"/>
      <c r="K8" s="19" t="s">
        <v>47</v>
      </c>
    </row>
    <row r="9" spans="1:12" ht="60" x14ac:dyDescent="0.25">
      <c r="A9" s="21">
        <v>42835</v>
      </c>
      <c r="B9" s="22">
        <v>28</v>
      </c>
      <c r="C9" s="22">
        <v>0</v>
      </c>
      <c r="D9" s="23">
        <f t="shared" si="0"/>
        <v>28</v>
      </c>
      <c r="E9" s="24"/>
      <c r="F9" s="23"/>
      <c r="G9" s="23"/>
      <c r="H9" s="23"/>
      <c r="I9" s="23"/>
      <c r="J9" s="23"/>
      <c r="K9" s="25" t="s">
        <v>48</v>
      </c>
      <c r="L9" s="27" t="s">
        <v>49</v>
      </c>
    </row>
    <row r="10" spans="1:12" x14ac:dyDescent="0.25">
      <c r="A10" s="17">
        <v>42846</v>
      </c>
      <c r="B10" s="18">
        <v>0</v>
      </c>
      <c r="C10" s="18">
        <v>10</v>
      </c>
      <c r="D10" s="2">
        <f t="shared" si="0"/>
        <v>-10</v>
      </c>
      <c r="E10" s="3"/>
      <c r="F10" s="2"/>
      <c r="G10" s="2"/>
      <c r="H10" s="2"/>
      <c r="I10" s="2"/>
      <c r="J10" s="2"/>
      <c r="K10" s="20" t="s">
        <v>50</v>
      </c>
    </row>
    <row r="11" spans="1:12" x14ac:dyDescent="0.25">
      <c r="A11" s="17">
        <v>42846</v>
      </c>
      <c r="B11" s="18">
        <v>0</v>
      </c>
      <c r="C11" s="18">
        <v>1</v>
      </c>
      <c r="D11" s="2">
        <f t="shared" si="0"/>
        <v>-1</v>
      </c>
      <c r="E11" s="3"/>
      <c r="F11" s="2"/>
      <c r="G11" s="2"/>
      <c r="H11" s="2"/>
      <c r="I11" s="2"/>
      <c r="J11" s="2"/>
      <c r="K11" s="19">
        <v>411219</v>
      </c>
    </row>
    <row r="12" spans="1:12" ht="30" x14ac:dyDescent="0.25">
      <c r="A12" s="17">
        <v>42851</v>
      </c>
      <c r="B12" s="18">
        <v>0</v>
      </c>
      <c r="C12" s="18">
        <v>12</v>
      </c>
      <c r="D12" s="2">
        <f t="shared" si="0"/>
        <v>-12</v>
      </c>
      <c r="E12" s="3"/>
      <c r="F12" s="2"/>
      <c r="G12" s="2"/>
      <c r="H12" s="2"/>
      <c r="I12" s="2"/>
      <c r="J12" s="2"/>
      <c r="K12" s="19" t="s">
        <v>51</v>
      </c>
    </row>
    <row r="13" spans="1:12" x14ac:dyDescent="0.25">
      <c r="A13" s="17">
        <v>42851</v>
      </c>
      <c r="B13" s="18">
        <v>10</v>
      </c>
      <c r="C13" s="18">
        <v>0</v>
      </c>
      <c r="D13" s="2">
        <f t="shared" si="0"/>
        <v>10</v>
      </c>
      <c r="E13" s="3"/>
      <c r="F13" s="2"/>
      <c r="G13" s="2"/>
      <c r="H13" s="2"/>
      <c r="I13" s="2"/>
      <c r="J13" s="2"/>
      <c r="K13" s="20" t="s">
        <v>52</v>
      </c>
    </row>
    <row r="14" spans="1:12" x14ac:dyDescent="0.25">
      <c r="A14" s="17"/>
      <c r="B14" s="18"/>
      <c r="C14" s="18"/>
      <c r="D14" s="2">
        <f t="shared" si="0"/>
        <v>0</v>
      </c>
      <c r="E14" s="3"/>
      <c r="F14" s="2"/>
      <c r="G14" s="2"/>
      <c r="H14" s="2"/>
      <c r="I14" s="2"/>
      <c r="J14" s="2"/>
      <c r="K14" s="19"/>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Uso3opHuFdm/EXFSb0KfhFL3z6JHSNiT1vNS2PGzbGOrmtB+2t3bZTH4eLKYVtTrXR64LzbA+brL3mlMNyjfFg==" saltValue="Wk0Vm2D3t6N/hCj42H1XXQ==" spinCount="100000" sheet="1" objects="1" scenarios="1" selectLockedCells="1" selectUnlockedCells="1"/>
  <customSheetViews>
    <customSheetView guid="{E5A7B818-645B-417C-A128-9FE559D9B124}" fitToPage="1">
      <selection activeCell="D28" sqref="D28"/>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conditionalFormatting sqref="K2">
    <cfRule type="cellIs" dxfId="225" priority="1" operator="lessThan">
      <formula>0</formula>
    </cfRule>
    <cfRule type="cellIs" dxfId="224" priority="2" operator="greaterThan">
      <formula>0</formula>
    </cfRule>
  </conditionalFormatting>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8">
    <pageSetUpPr fitToPage="1"/>
  </sheetPr>
  <dimension ref="A1:L44"/>
  <sheetViews>
    <sheetView workbookViewId="0">
      <selection activeCell="D18" sqref="D18"/>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71</v>
      </c>
    </row>
    <row r="3" spans="1:12" ht="15.75" thickBot="1" x14ac:dyDescent="0.3">
      <c r="A3" s="5"/>
      <c r="B3" s="2"/>
      <c r="C3" s="2"/>
      <c r="D3" s="2"/>
      <c r="E3" s="3"/>
      <c r="F3" s="2">
        <f>'04.17'!F6</f>
        <v>233</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181</v>
      </c>
      <c r="G6" s="30">
        <f>SUM(B:B)</f>
        <v>48</v>
      </c>
      <c r="H6" s="30">
        <f>SUM(C:C)</f>
        <v>100</v>
      </c>
      <c r="I6" s="30"/>
      <c r="J6" s="33">
        <f>SUM(G6:H6)</f>
        <v>148</v>
      </c>
      <c r="K6" s="34"/>
      <c r="L6" s="50">
        <f>J6/K1</f>
        <v>0.58730158730158732</v>
      </c>
    </row>
    <row r="7" spans="1:12" x14ac:dyDescent="0.25">
      <c r="A7" s="17">
        <v>42857</v>
      </c>
      <c r="B7" s="18">
        <v>0</v>
      </c>
      <c r="C7" s="18">
        <v>6</v>
      </c>
      <c r="D7" s="2">
        <f t="shared" ref="D7:D44" si="0">B7-C7</f>
        <v>-6</v>
      </c>
      <c r="E7" s="3"/>
      <c r="F7" s="2"/>
      <c r="G7" s="2"/>
      <c r="H7" s="2"/>
      <c r="I7" s="2"/>
      <c r="J7" s="2"/>
      <c r="K7" s="19" t="s">
        <v>53</v>
      </c>
    </row>
    <row r="8" spans="1:12" x14ac:dyDescent="0.25">
      <c r="A8" s="17">
        <v>42857</v>
      </c>
      <c r="B8" s="18">
        <v>8</v>
      </c>
      <c r="C8" s="18">
        <v>0</v>
      </c>
      <c r="D8" s="2">
        <f t="shared" si="0"/>
        <v>8</v>
      </c>
      <c r="E8" s="3"/>
      <c r="F8" s="2"/>
      <c r="G8" s="2"/>
      <c r="H8" s="2"/>
      <c r="I8" s="2"/>
      <c r="J8" s="2"/>
      <c r="K8" s="20" t="s">
        <v>54</v>
      </c>
    </row>
    <row r="9" spans="1:12" ht="48" customHeight="1" x14ac:dyDescent="0.25">
      <c r="A9" s="21">
        <v>42858</v>
      </c>
      <c r="B9" s="22">
        <v>0</v>
      </c>
      <c r="C9" s="22">
        <v>13</v>
      </c>
      <c r="D9" s="23">
        <f t="shared" si="0"/>
        <v>-13</v>
      </c>
      <c r="E9" s="24"/>
      <c r="F9" s="23"/>
      <c r="G9" s="23"/>
      <c r="H9" s="23"/>
      <c r="I9" s="23"/>
      <c r="J9" s="23"/>
      <c r="K9" s="25" t="s">
        <v>55</v>
      </c>
      <c r="L9" s="27" t="s">
        <v>56</v>
      </c>
    </row>
    <row r="10" spans="1:12" ht="59.25" customHeight="1" x14ac:dyDescent="0.25">
      <c r="A10" s="17">
        <v>42858</v>
      </c>
      <c r="B10" s="18">
        <v>0</v>
      </c>
      <c r="C10" s="18">
        <v>26</v>
      </c>
      <c r="D10" s="2">
        <f t="shared" si="0"/>
        <v>-26</v>
      </c>
      <c r="E10" s="3"/>
      <c r="F10" s="2"/>
      <c r="G10" s="2"/>
      <c r="H10" s="2"/>
      <c r="I10" s="2"/>
      <c r="J10" s="2"/>
      <c r="K10" s="19" t="s">
        <v>57</v>
      </c>
    </row>
    <row r="11" spans="1:12" ht="60" x14ac:dyDescent="0.25">
      <c r="A11" s="17">
        <v>42863</v>
      </c>
      <c r="B11" s="18">
        <v>24</v>
      </c>
      <c r="C11" s="18">
        <v>0</v>
      </c>
      <c r="D11" s="2">
        <f t="shared" si="0"/>
        <v>24</v>
      </c>
      <c r="E11" s="3"/>
      <c r="F11" s="2"/>
      <c r="G11" s="2"/>
      <c r="H11" s="2"/>
      <c r="I11" s="2"/>
      <c r="J11" s="2"/>
      <c r="K11" s="19" t="s">
        <v>58</v>
      </c>
    </row>
    <row r="12" spans="1:12" ht="41.25" customHeight="1" x14ac:dyDescent="0.25">
      <c r="A12" s="17">
        <v>42864</v>
      </c>
      <c r="B12" s="18">
        <v>0</v>
      </c>
      <c r="C12" s="18">
        <v>14</v>
      </c>
      <c r="D12" s="2">
        <f t="shared" si="0"/>
        <v>-14</v>
      </c>
      <c r="E12" s="3"/>
      <c r="F12" s="2"/>
      <c r="G12" s="2"/>
      <c r="H12" s="2"/>
      <c r="I12" s="2"/>
      <c r="J12" s="2"/>
      <c r="K12" s="19" t="s">
        <v>59</v>
      </c>
    </row>
    <row r="13" spans="1:12" ht="45" x14ac:dyDescent="0.25">
      <c r="A13" s="17">
        <v>42864</v>
      </c>
      <c r="B13" s="18">
        <v>16</v>
      </c>
      <c r="C13" s="18">
        <v>0</v>
      </c>
      <c r="D13" s="2">
        <f t="shared" si="0"/>
        <v>16</v>
      </c>
      <c r="E13" s="3"/>
      <c r="F13" s="2"/>
      <c r="G13" s="2"/>
      <c r="H13" s="2"/>
      <c r="I13" s="2"/>
      <c r="J13" s="2"/>
      <c r="K13" s="19" t="s">
        <v>60</v>
      </c>
    </row>
    <row r="14" spans="1:12" ht="45" x14ac:dyDescent="0.25">
      <c r="A14" s="17">
        <v>42872</v>
      </c>
      <c r="B14" s="18">
        <v>0</v>
      </c>
      <c r="C14" s="18">
        <v>19</v>
      </c>
      <c r="D14" s="2">
        <f t="shared" si="0"/>
        <v>-19</v>
      </c>
      <c r="E14" s="3"/>
      <c r="F14" s="2"/>
      <c r="G14" s="2"/>
      <c r="H14" s="2"/>
      <c r="I14" s="2"/>
      <c r="J14" s="2"/>
      <c r="K14" s="19" t="s">
        <v>61</v>
      </c>
    </row>
    <row r="15" spans="1:12" x14ac:dyDescent="0.25">
      <c r="A15" s="17">
        <v>42884</v>
      </c>
      <c r="B15" s="18">
        <v>0</v>
      </c>
      <c r="C15" s="18">
        <v>4</v>
      </c>
      <c r="D15" s="2">
        <f t="shared" si="0"/>
        <v>-4</v>
      </c>
      <c r="E15" s="3"/>
      <c r="F15" s="2"/>
      <c r="G15" s="2"/>
      <c r="H15" s="2"/>
      <c r="I15" s="2"/>
      <c r="J15" s="2"/>
      <c r="K15" s="20" t="s">
        <v>62</v>
      </c>
    </row>
    <row r="16" spans="1:12" ht="30" x14ac:dyDescent="0.25">
      <c r="A16" s="17">
        <v>42885</v>
      </c>
      <c r="B16" s="18">
        <v>0</v>
      </c>
      <c r="C16" s="18">
        <v>18</v>
      </c>
      <c r="D16" s="2">
        <f t="shared" si="0"/>
        <v>-18</v>
      </c>
      <c r="E16" s="3"/>
      <c r="F16" s="2"/>
      <c r="G16" s="2"/>
      <c r="H16" s="2"/>
      <c r="I16" s="2"/>
      <c r="J16" s="2"/>
      <c r="K16" s="19" t="s">
        <v>63</v>
      </c>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razFo74cfgnq7ixYupJTIsyUnp3SrV9iAUWspfz8NXjOuwVX+0ORBmpUa2vZi+PqYm7p/0GsA9FdwwtzkX2wWg==" saltValue="b93PwPaH/zcLdmVloLrpJg==" spinCount="100000" sheet="1" objects="1" scenarios="1" selectLockedCells="1" selectUnlockedCells="1"/>
  <customSheetViews>
    <customSheetView guid="{E5A7B818-645B-417C-A128-9FE559D9B124}" fitToPage="1">
      <selection activeCell="D18" sqref="D18"/>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conditionalFormatting sqref="K2">
    <cfRule type="cellIs" dxfId="223" priority="1" operator="lessThan">
      <formula>0</formula>
    </cfRule>
    <cfRule type="cellIs" dxfId="222" priority="2" operator="greaterThan">
      <formula>0</formula>
    </cfRule>
  </conditionalFormatting>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9">
    <pageSetUpPr fitToPage="1"/>
  </sheetPr>
  <dimension ref="A1:L44"/>
  <sheetViews>
    <sheetView workbookViewId="0">
      <selection activeCell="D16" sqref="D16"/>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9</v>
      </c>
    </row>
    <row r="3" spans="1:12" ht="15.75" thickBot="1" x14ac:dyDescent="0.3">
      <c r="A3" s="5"/>
      <c r="B3" s="2"/>
      <c r="C3" s="2"/>
      <c r="D3" s="2"/>
      <c r="E3" s="3"/>
      <c r="F3" s="2">
        <f>'05.17'!F6</f>
        <v>181</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243</v>
      </c>
      <c r="G6" s="30">
        <f>SUM(B:B)</f>
        <v>86</v>
      </c>
      <c r="H6" s="30">
        <f>SUM(C:C)</f>
        <v>24</v>
      </c>
      <c r="I6" s="30"/>
      <c r="J6" s="33">
        <f>SUM(G6:H6)</f>
        <v>110</v>
      </c>
      <c r="K6" s="34"/>
      <c r="L6" s="50">
        <f>J6/K1</f>
        <v>0.43650793650793651</v>
      </c>
    </row>
    <row r="7" spans="1:12" x14ac:dyDescent="0.25">
      <c r="A7" s="17">
        <v>42887</v>
      </c>
      <c r="B7" s="18">
        <v>0</v>
      </c>
      <c r="C7" s="18">
        <v>1</v>
      </c>
      <c r="D7" s="2">
        <f t="shared" ref="D7:D44" si="0">B7-C7</f>
        <v>-1</v>
      </c>
      <c r="E7" s="3"/>
      <c r="F7" s="2"/>
      <c r="G7" s="2"/>
      <c r="H7" s="2"/>
      <c r="I7" s="2"/>
      <c r="J7" s="2"/>
      <c r="K7" s="19" t="s">
        <v>64</v>
      </c>
    </row>
    <row r="8" spans="1:12" x14ac:dyDescent="0.25">
      <c r="A8" s="17">
        <v>42894</v>
      </c>
      <c r="B8" s="18">
        <v>1</v>
      </c>
      <c r="C8" s="18">
        <v>1</v>
      </c>
      <c r="D8" s="2">
        <f t="shared" si="0"/>
        <v>0</v>
      </c>
      <c r="E8" s="3"/>
      <c r="F8" s="2"/>
      <c r="G8" s="2"/>
      <c r="H8" s="2"/>
      <c r="I8" s="2"/>
      <c r="J8" s="2"/>
      <c r="K8" s="20" t="s">
        <v>65</v>
      </c>
    </row>
    <row r="9" spans="1:12" ht="48" customHeight="1" x14ac:dyDescent="0.25">
      <c r="A9" s="21">
        <v>42907</v>
      </c>
      <c r="B9" s="22">
        <v>0</v>
      </c>
      <c r="C9" s="22">
        <v>17</v>
      </c>
      <c r="D9" s="23">
        <f t="shared" si="0"/>
        <v>-17</v>
      </c>
      <c r="E9" s="24"/>
      <c r="F9" s="23"/>
      <c r="G9" s="23"/>
      <c r="H9" s="23"/>
      <c r="I9" s="23"/>
      <c r="J9" s="23"/>
      <c r="K9" s="25" t="s">
        <v>66</v>
      </c>
    </row>
    <row r="10" spans="1:12" ht="75.75" customHeight="1" x14ac:dyDescent="0.25">
      <c r="A10" s="17">
        <v>42907</v>
      </c>
      <c r="B10" s="18">
        <v>35</v>
      </c>
      <c r="C10" s="18">
        <v>0</v>
      </c>
      <c r="D10" s="2">
        <f t="shared" si="0"/>
        <v>35</v>
      </c>
      <c r="E10" s="3"/>
      <c r="F10" s="2"/>
      <c r="G10" s="2"/>
      <c r="H10" s="2"/>
      <c r="I10" s="2"/>
      <c r="J10" s="2"/>
      <c r="K10" s="19" t="s">
        <v>67</v>
      </c>
    </row>
    <row r="11" spans="1:12" ht="35.25" customHeight="1" x14ac:dyDescent="0.25">
      <c r="A11" s="17">
        <v>42913</v>
      </c>
      <c r="B11" s="18">
        <v>0</v>
      </c>
      <c r="C11" s="18">
        <v>4</v>
      </c>
      <c r="D11" s="2">
        <f t="shared" si="0"/>
        <v>-4</v>
      </c>
      <c r="E11" s="3"/>
      <c r="F11" s="2"/>
      <c r="G11" s="2"/>
      <c r="H11" s="2"/>
      <c r="I11" s="2"/>
      <c r="J11" s="2"/>
      <c r="K11" s="19" t="s">
        <v>68</v>
      </c>
    </row>
    <row r="12" spans="1:12" ht="41.25" customHeight="1" x14ac:dyDescent="0.25">
      <c r="A12" s="17">
        <v>42914</v>
      </c>
      <c r="B12" s="18">
        <v>0</v>
      </c>
      <c r="C12" s="18">
        <v>1</v>
      </c>
      <c r="D12" s="2">
        <f t="shared" si="0"/>
        <v>-1</v>
      </c>
      <c r="E12" s="3"/>
      <c r="F12" s="2"/>
      <c r="G12" s="2"/>
      <c r="H12" s="2"/>
      <c r="I12" s="2"/>
      <c r="J12" s="2"/>
      <c r="K12" s="19">
        <v>470113</v>
      </c>
    </row>
    <row r="13" spans="1:12" ht="60" x14ac:dyDescent="0.25">
      <c r="A13" s="17">
        <v>42914</v>
      </c>
      <c r="B13" s="18">
        <v>28</v>
      </c>
      <c r="C13" s="18">
        <v>0</v>
      </c>
      <c r="D13" s="2">
        <f t="shared" si="0"/>
        <v>28</v>
      </c>
      <c r="E13" s="3"/>
      <c r="F13" s="2"/>
      <c r="G13" s="2"/>
      <c r="H13" s="2"/>
      <c r="I13" s="2"/>
      <c r="J13" s="2"/>
      <c r="K13" s="19" t="s">
        <v>69</v>
      </c>
    </row>
    <row r="14" spans="1:12" ht="63.75" customHeight="1" x14ac:dyDescent="0.25">
      <c r="A14" s="17">
        <v>42914</v>
      </c>
      <c r="B14" s="18">
        <v>22</v>
      </c>
      <c r="C14" s="18">
        <v>0</v>
      </c>
      <c r="D14" s="2">
        <f t="shared" si="0"/>
        <v>22</v>
      </c>
      <c r="E14" s="3"/>
      <c r="F14" s="2"/>
      <c r="G14" s="2"/>
      <c r="H14" s="2"/>
      <c r="I14" s="2"/>
      <c r="J14" s="2"/>
      <c r="K14" s="19" t="s">
        <v>70</v>
      </c>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XDcXrF60gzfkPeJtejQgsweyxhOsGxn428v1GPDH7tSfwmkVdPvVL5LPl49X05WJNW/rnZMcvS/JDdjfdmxNPA==" saltValue="C+HwKcuCHvTdm+rZo2C+gQ==" spinCount="100000" sheet="1" objects="1" scenarios="1"/>
  <customSheetViews>
    <customSheetView guid="{E5A7B818-645B-417C-A128-9FE559D9B124}" fitToPage="1">
      <selection activeCell="D16" sqref="D16"/>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conditionalFormatting sqref="K2">
    <cfRule type="cellIs" dxfId="221" priority="1" operator="lessThan">
      <formula>0</formula>
    </cfRule>
    <cfRule type="cellIs" dxfId="220" priority="2" operator="greaterThan">
      <formula>0</formula>
    </cfRule>
  </conditionalFormatting>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0">
    <pageSetUpPr fitToPage="1"/>
  </sheetPr>
  <dimension ref="A1:L44"/>
  <sheetViews>
    <sheetView workbookViewId="0">
      <selection activeCell="E20" sqref="E20"/>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9</v>
      </c>
    </row>
    <row r="3" spans="1:12" ht="15.75" thickBot="1" x14ac:dyDescent="0.3">
      <c r="A3" s="5"/>
      <c r="B3" s="2"/>
      <c r="C3" s="2"/>
      <c r="D3" s="2"/>
      <c r="E3" s="3"/>
      <c r="F3" s="2">
        <f>'06.17'!F6</f>
        <v>243</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243</v>
      </c>
      <c r="G6" s="30">
        <f>SUM(B:B)</f>
        <v>1</v>
      </c>
      <c r="H6" s="30">
        <f>SUM(C:C)</f>
        <v>1</v>
      </c>
      <c r="I6" s="30"/>
      <c r="J6" s="33">
        <f>SUM(G6:H6)</f>
        <v>2</v>
      </c>
      <c r="K6" s="34"/>
      <c r="L6" s="50">
        <f>J6/K1</f>
        <v>7.9365079365079361E-3</v>
      </c>
    </row>
    <row r="7" spans="1:12" x14ac:dyDescent="0.25">
      <c r="A7" s="17">
        <v>42919</v>
      </c>
      <c r="B7" s="18">
        <v>1</v>
      </c>
      <c r="C7" s="18">
        <v>1</v>
      </c>
      <c r="D7" s="2">
        <f t="shared" ref="D7:D44" si="0">B7-C7</f>
        <v>0</v>
      </c>
      <c r="E7" s="3"/>
      <c r="F7" s="2"/>
      <c r="G7" s="2"/>
      <c r="H7" s="2"/>
      <c r="I7" s="2"/>
      <c r="J7" s="2"/>
      <c r="K7" s="19" t="s">
        <v>71</v>
      </c>
    </row>
    <row r="8" spans="1:12" x14ac:dyDescent="0.25">
      <c r="A8" s="17"/>
      <c r="B8" s="18"/>
      <c r="C8" s="18"/>
      <c r="D8" s="2">
        <f t="shared" si="0"/>
        <v>0</v>
      </c>
      <c r="E8" s="3"/>
      <c r="F8" s="2"/>
      <c r="G8" s="2"/>
      <c r="H8" s="2"/>
      <c r="I8" s="2"/>
      <c r="J8" s="2"/>
      <c r="K8" s="20"/>
    </row>
    <row r="9" spans="1:12" ht="48" customHeight="1" x14ac:dyDescent="0.25">
      <c r="A9" s="21"/>
      <c r="B9" s="22"/>
      <c r="C9" s="22"/>
      <c r="D9" s="23">
        <f t="shared" si="0"/>
        <v>0</v>
      </c>
      <c r="E9" s="24"/>
      <c r="F9" s="23"/>
      <c r="G9" s="23"/>
      <c r="H9" s="23"/>
      <c r="I9" s="23"/>
      <c r="J9" s="23"/>
      <c r="K9" s="25"/>
    </row>
    <row r="10" spans="1:12" ht="75.75" customHeight="1" x14ac:dyDescent="0.25">
      <c r="A10" s="17"/>
      <c r="B10" s="18"/>
      <c r="C10" s="18"/>
      <c r="D10" s="2">
        <f t="shared" si="0"/>
        <v>0</v>
      </c>
      <c r="E10" s="3"/>
      <c r="F10" s="2"/>
      <c r="G10" s="2"/>
      <c r="H10" s="2"/>
      <c r="I10" s="2"/>
      <c r="J10" s="2"/>
      <c r="K10" s="19"/>
    </row>
    <row r="11" spans="1:12" ht="35.25" customHeight="1" x14ac:dyDescent="0.25">
      <c r="A11" s="17"/>
      <c r="B11" s="18"/>
      <c r="C11" s="18"/>
      <c r="D11" s="2">
        <f t="shared" si="0"/>
        <v>0</v>
      </c>
      <c r="E11" s="3"/>
      <c r="F11" s="2"/>
      <c r="G11" s="2"/>
      <c r="H11" s="2"/>
      <c r="I11" s="2"/>
      <c r="J11" s="2"/>
      <c r="K11" s="19"/>
    </row>
    <row r="12" spans="1:12" ht="41.25" customHeight="1" x14ac:dyDescent="0.25">
      <c r="A12" s="17"/>
      <c r="B12" s="18"/>
      <c r="C12" s="18"/>
      <c r="D12" s="2">
        <f t="shared" si="0"/>
        <v>0</v>
      </c>
      <c r="E12" s="3"/>
      <c r="F12" s="2"/>
      <c r="G12" s="2"/>
      <c r="H12" s="2"/>
      <c r="I12" s="2"/>
      <c r="J12" s="2"/>
      <c r="K12" s="19"/>
    </row>
    <row r="13" spans="1:12" x14ac:dyDescent="0.25">
      <c r="A13" s="17"/>
      <c r="B13" s="18"/>
      <c r="C13" s="18"/>
      <c r="D13" s="2">
        <f t="shared" si="0"/>
        <v>0</v>
      </c>
      <c r="E13" s="3"/>
      <c r="F13" s="2"/>
      <c r="G13" s="2"/>
      <c r="H13" s="2"/>
      <c r="I13" s="2"/>
      <c r="J13" s="2"/>
      <c r="K13" s="19"/>
    </row>
    <row r="14" spans="1:12" ht="63.75" customHeight="1" x14ac:dyDescent="0.25">
      <c r="A14" s="17"/>
      <c r="B14" s="18"/>
      <c r="C14" s="18"/>
      <c r="D14" s="2">
        <f t="shared" si="0"/>
        <v>0</v>
      </c>
      <c r="E14" s="3"/>
      <c r="F14" s="2"/>
      <c r="G14" s="2"/>
      <c r="H14" s="2"/>
      <c r="I14" s="2"/>
      <c r="J14" s="2"/>
      <c r="K14" s="19"/>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h5JlOuJEk4T4RDnDwXO37qm6+keB7x+fbnTXmelNUGAaNS7pMJb8Pxo2r4IXby2RW3rXYwFe6jsjmWJq4+FbBA==" saltValue="HyX15abZ/oycmuSOhs+JIw==" spinCount="100000" sheet="1" objects="1" scenarios="1"/>
  <customSheetViews>
    <customSheetView guid="{E5A7B818-645B-417C-A128-9FE559D9B124}" fitToPage="1">
      <selection activeCell="E20" sqref="E20"/>
      <pageMargins left="0.70866141732283472" right="0.70866141732283472" top="0.78740157480314965" bottom="0.78740157480314965" header="0.31496062992125984" footer="0.31496062992125984"/>
      <printOptions horizontalCentered="1"/>
      <pageSetup paperSize="9" scale="68" fitToHeight="0" orientation="landscape" r:id="rId1"/>
      <headerFooter>
        <oddFooter>&amp;C&amp;D / &amp;T&amp;RSeite &amp;P von &amp;N</oddFooter>
      </headerFooter>
    </customSheetView>
  </customSheetViews>
  <conditionalFormatting sqref="K2">
    <cfRule type="cellIs" dxfId="219" priority="1" operator="lessThan">
      <formula>0</formula>
    </cfRule>
    <cfRule type="cellIs" dxfId="218" priority="2" operator="greaterThan">
      <formula>0</formula>
    </cfRule>
  </conditionalFormatting>
  <printOptions horizont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1">
    <pageSetUpPr fitToPage="1"/>
  </sheetPr>
  <dimension ref="A1:L44"/>
  <sheetViews>
    <sheetView workbookViewId="0">
      <selection activeCell="E17" sqref="E17"/>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v>252</v>
      </c>
    </row>
    <row r="2" spans="1:12" ht="19.5" thickBot="1" x14ac:dyDescent="0.35">
      <c r="A2" s="5"/>
      <c r="B2" s="2"/>
      <c r="C2" s="2"/>
      <c r="D2" s="2"/>
      <c r="E2" s="3"/>
      <c r="F2" s="6" t="s">
        <v>1</v>
      </c>
      <c r="G2" s="2"/>
      <c r="H2" s="2"/>
      <c r="I2" s="2"/>
      <c r="J2" s="41" t="s">
        <v>38</v>
      </c>
      <c r="K2" s="42">
        <f>K1-F6</f>
        <v>11</v>
      </c>
    </row>
    <row r="3" spans="1:12" ht="15.75" thickBot="1" x14ac:dyDescent="0.3">
      <c r="A3" s="5"/>
      <c r="B3" s="2"/>
      <c r="C3" s="2"/>
      <c r="D3" s="2"/>
      <c r="E3" s="3"/>
      <c r="F3" s="2">
        <f>'07.17'!F3</f>
        <v>243</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241</v>
      </c>
      <c r="G6" s="30">
        <f>SUM(B:B)</f>
        <v>41</v>
      </c>
      <c r="H6" s="30">
        <f>SUM(C:C)</f>
        <v>43</v>
      </c>
      <c r="I6" s="30"/>
      <c r="J6" s="33">
        <f>SUM(G6:H6)</f>
        <v>84</v>
      </c>
      <c r="K6" s="34"/>
      <c r="L6" s="50">
        <f>J6/K1</f>
        <v>0.33333333333333331</v>
      </c>
    </row>
    <row r="7" spans="1:12" x14ac:dyDescent="0.25">
      <c r="A7" s="17">
        <v>42956</v>
      </c>
      <c r="B7" s="18">
        <v>1</v>
      </c>
      <c r="C7" s="18">
        <v>1</v>
      </c>
      <c r="D7" s="2">
        <f t="shared" ref="D7:D44" si="0">B7-C7</f>
        <v>0</v>
      </c>
      <c r="E7" s="3"/>
      <c r="F7" s="2"/>
      <c r="G7" s="2"/>
      <c r="H7" s="2"/>
      <c r="I7" s="2"/>
      <c r="J7" s="2"/>
      <c r="K7" s="19" t="s">
        <v>72</v>
      </c>
    </row>
    <row r="8" spans="1:12" x14ac:dyDescent="0.25">
      <c r="A8" s="17">
        <v>42956</v>
      </c>
      <c r="B8" s="18">
        <v>0</v>
      </c>
      <c r="C8" s="18">
        <v>1</v>
      </c>
      <c r="D8" s="2">
        <f t="shared" si="0"/>
        <v>-1</v>
      </c>
      <c r="E8" s="3"/>
      <c r="F8" s="2"/>
      <c r="G8" s="2"/>
      <c r="H8" s="2"/>
      <c r="I8" s="2"/>
      <c r="J8" s="2"/>
      <c r="K8" s="20">
        <v>439228</v>
      </c>
    </row>
    <row r="9" spans="1:12" ht="13.5" customHeight="1" x14ac:dyDescent="0.25">
      <c r="A9" s="21">
        <v>42962</v>
      </c>
      <c r="B9" s="22">
        <v>0</v>
      </c>
      <c r="C9" s="22">
        <v>2</v>
      </c>
      <c r="D9" s="23">
        <f t="shared" si="0"/>
        <v>-2</v>
      </c>
      <c r="E9" s="24"/>
      <c r="F9" s="23"/>
      <c r="G9" s="23"/>
      <c r="H9" s="23"/>
      <c r="I9" s="23"/>
      <c r="J9" s="23"/>
      <c r="K9" s="25" t="s">
        <v>73</v>
      </c>
    </row>
    <row r="10" spans="1:12" ht="102" customHeight="1" x14ac:dyDescent="0.25">
      <c r="A10" s="17">
        <v>42965</v>
      </c>
      <c r="B10" s="18">
        <v>0</v>
      </c>
      <c r="C10" s="18">
        <v>32</v>
      </c>
      <c r="D10" s="2">
        <f t="shared" si="0"/>
        <v>-32</v>
      </c>
      <c r="E10" s="3"/>
      <c r="F10" s="2"/>
      <c r="G10" s="2"/>
      <c r="H10" s="2"/>
      <c r="I10" s="2"/>
      <c r="J10" s="2"/>
      <c r="K10" s="19" t="s">
        <v>74</v>
      </c>
    </row>
    <row r="11" spans="1:12" ht="73.5" customHeight="1" x14ac:dyDescent="0.25">
      <c r="A11" s="17">
        <v>42965</v>
      </c>
      <c r="B11" s="18">
        <v>40</v>
      </c>
      <c r="C11" s="18">
        <v>0</v>
      </c>
      <c r="D11" s="2">
        <f t="shared" si="0"/>
        <v>40</v>
      </c>
      <c r="E11" s="3"/>
      <c r="F11" s="2"/>
      <c r="G11" s="2"/>
      <c r="H11" s="2"/>
      <c r="I11" s="2"/>
      <c r="J11" s="2"/>
      <c r="K11" s="19" t="s">
        <v>75</v>
      </c>
    </row>
    <row r="12" spans="1:12" ht="41.25" customHeight="1" x14ac:dyDescent="0.25">
      <c r="A12" s="17">
        <v>42971</v>
      </c>
      <c r="B12" s="18">
        <v>0</v>
      </c>
      <c r="C12" s="18">
        <v>1</v>
      </c>
      <c r="D12" s="2">
        <f t="shared" si="0"/>
        <v>-1</v>
      </c>
      <c r="E12" s="3"/>
      <c r="F12" s="2"/>
      <c r="G12" s="2"/>
      <c r="H12" s="2"/>
      <c r="I12" s="2"/>
      <c r="J12" s="2"/>
      <c r="K12" s="19">
        <v>475878</v>
      </c>
    </row>
    <row r="13" spans="1:12" x14ac:dyDescent="0.25">
      <c r="A13" s="17">
        <v>42976</v>
      </c>
      <c r="B13" s="18">
        <v>0</v>
      </c>
      <c r="C13" s="18">
        <v>6</v>
      </c>
      <c r="D13" s="2">
        <f t="shared" si="0"/>
        <v>-6</v>
      </c>
      <c r="E13" s="3"/>
      <c r="F13" s="2"/>
      <c r="G13" s="2"/>
      <c r="H13" s="2"/>
      <c r="I13" s="2"/>
      <c r="J13" s="2"/>
      <c r="K13" s="19" t="s">
        <v>76</v>
      </c>
    </row>
    <row r="14" spans="1:12" ht="63.75" customHeight="1" x14ac:dyDescent="0.25">
      <c r="A14" s="17"/>
      <c r="B14" s="18"/>
      <c r="C14" s="18"/>
      <c r="D14" s="2">
        <f t="shared" si="0"/>
        <v>0</v>
      </c>
      <c r="E14" s="3"/>
      <c r="F14" s="2"/>
      <c r="G14" s="2"/>
      <c r="H14" s="2"/>
      <c r="I14" s="2"/>
      <c r="J14" s="2"/>
      <c r="K14" s="19"/>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WlSg84e91j/B5yumTAQdD7Z53DdN1MyMsG/6qyEKw6Zl8U1A3wc9bl+BTLQ8HJe2sTOVPHgSGEJUT5p90hUlUg==" saltValue="fEOmJn3HnaMM/sf4+BbIJQ==" spinCount="100000" sheet="1" objects="1" scenarios="1"/>
  <customSheetViews>
    <customSheetView guid="{E5A7B818-645B-417C-A128-9FE559D9B124}" fitToPage="1">
      <selection activeCell="E17" sqref="E17"/>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17" priority="1" operator="lessThan">
      <formula>0</formula>
    </cfRule>
    <cfRule type="cellIs" dxfId="21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2">
    <pageSetUpPr fitToPage="1"/>
  </sheetPr>
  <dimension ref="A1:L44"/>
  <sheetViews>
    <sheetView workbookViewId="0">
      <selection activeCell="L5" sqref="L5:L6"/>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f>252+12</f>
        <v>264</v>
      </c>
    </row>
    <row r="2" spans="1:12" ht="19.5" thickBot="1" x14ac:dyDescent="0.35">
      <c r="A2" s="5"/>
      <c r="B2" s="2"/>
      <c r="C2" s="2"/>
      <c r="D2" s="2"/>
      <c r="E2" s="3"/>
      <c r="F2" s="6" t="s">
        <v>1</v>
      </c>
      <c r="G2" s="2"/>
      <c r="H2" s="2"/>
      <c r="I2" s="2"/>
      <c r="J2" s="41" t="s">
        <v>38</v>
      </c>
      <c r="K2" s="42">
        <f>K1-F6</f>
        <v>16</v>
      </c>
    </row>
    <row r="3" spans="1:12" ht="15.75" thickBot="1" x14ac:dyDescent="0.3">
      <c r="A3" s="5"/>
      <c r="B3" s="2"/>
      <c r="C3" s="2"/>
      <c r="D3" s="2"/>
      <c r="E3" s="3"/>
      <c r="F3" s="2">
        <f>'08.17'!F6</f>
        <v>241</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248</v>
      </c>
      <c r="G6" s="30">
        <f>SUM(B:B)</f>
        <v>66</v>
      </c>
      <c r="H6" s="30">
        <f>SUM(C:C)</f>
        <v>59</v>
      </c>
      <c r="I6" s="30"/>
      <c r="J6" s="33">
        <f>SUM(G6:H6)</f>
        <v>125</v>
      </c>
      <c r="K6" s="34"/>
      <c r="L6" s="50">
        <f>J6/K1</f>
        <v>0.47348484848484851</v>
      </c>
    </row>
    <row r="7" spans="1:12" ht="15" customHeight="1" x14ac:dyDescent="0.25">
      <c r="A7" s="17">
        <v>42982</v>
      </c>
      <c r="B7" s="18">
        <v>0</v>
      </c>
      <c r="C7" s="18">
        <v>1</v>
      </c>
      <c r="D7" s="2">
        <f t="shared" ref="D7:D44" si="0">B7-C7</f>
        <v>-1</v>
      </c>
      <c r="E7" s="3"/>
      <c r="F7" s="2"/>
      <c r="G7" s="2"/>
      <c r="H7" s="2"/>
      <c r="I7" s="2"/>
      <c r="J7" s="2"/>
      <c r="K7" s="19">
        <v>428130</v>
      </c>
    </row>
    <row r="8" spans="1:12" ht="15" customHeight="1" x14ac:dyDescent="0.25">
      <c r="A8" s="17">
        <v>42990</v>
      </c>
      <c r="B8" s="18">
        <v>0</v>
      </c>
      <c r="C8" s="18">
        <v>3</v>
      </c>
      <c r="D8" s="2">
        <f t="shared" si="0"/>
        <v>-3</v>
      </c>
      <c r="E8" s="3"/>
      <c r="F8" s="2"/>
      <c r="G8" s="2"/>
      <c r="H8" s="2"/>
      <c r="I8" s="2"/>
      <c r="J8" s="2"/>
      <c r="K8" s="20" t="s">
        <v>77</v>
      </c>
    </row>
    <row r="9" spans="1:12" ht="48" customHeight="1" x14ac:dyDescent="0.25">
      <c r="A9" s="21">
        <v>42996</v>
      </c>
      <c r="B9" s="22">
        <v>0</v>
      </c>
      <c r="C9" s="22">
        <v>11</v>
      </c>
      <c r="D9" s="2">
        <f t="shared" si="0"/>
        <v>-11</v>
      </c>
      <c r="E9" s="24"/>
      <c r="F9" s="23"/>
      <c r="G9" s="23"/>
      <c r="H9" s="23"/>
      <c r="I9" s="23"/>
      <c r="J9" s="23"/>
      <c r="K9" s="25" t="s">
        <v>78</v>
      </c>
    </row>
    <row r="10" spans="1:12" ht="48" customHeight="1" x14ac:dyDescent="0.25">
      <c r="A10" s="17">
        <v>42996</v>
      </c>
      <c r="B10" s="18">
        <v>18</v>
      </c>
      <c r="C10" s="18">
        <v>0</v>
      </c>
      <c r="D10" s="2">
        <f t="shared" si="0"/>
        <v>18</v>
      </c>
      <c r="E10" s="3"/>
      <c r="F10" s="2"/>
      <c r="G10" s="2"/>
      <c r="H10" s="2"/>
      <c r="I10" s="2"/>
      <c r="J10" s="2"/>
      <c r="K10" s="19" t="s">
        <v>79</v>
      </c>
    </row>
    <row r="11" spans="1:12" ht="48" customHeight="1" x14ac:dyDescent="0.3">
      <c r="A11" s="17">
        <v>42997</v>
      </c>
      <c r="B11" s="18">
        <v>13</v>
      </c>
      <c r="C11" s="18">
        <v>0</v>
      </c>
      <c r="D11" s="2">
        <f t="shared" si="0"/>
        <v>13</v>
      </c>
      <c r="E11" s="3"/>
      <c r="F11" s="2"/>
      <c r="G11" s="2"/>
      <c r="H11" s="2"/>
      <c r="I11" s="2"/>
      <c r="J11" s="2"/>
      <c r="K11" s="19" t="s">
        <v>80</v>
      </c>
      <c r="L11" s="38" t="s">
        <v>81</v>
      </c>
    </row>
    <row r="12" spans="1:12" ht="111" customHeight="1" x14ac:dyDescent="0.25">
      <c r="A12" s="17">
        <v>43005</v>
      </c>
      <c r="B12" s="18">
        <v>0</v>
      </c>
      <c r="C12" s="18">
        <v>43</v>
      </c>
      <c r="D12" s="2">
        <f t="shared" si="0"/>
        <v>-43</v>
      </c>
      <c r="E12" s="3"/>
      <c r="F12" s="2"/>
      <c r="G12" s="2"/>
      <c r="H12" s="2"/>
      <c r="I12" s="2"/>
      <c r="J12" s="2"/>
      <c r="K12" s="19" t="s">
        <v>82</v>
      </c>
    </row>
    <row r="13" spans="1:12" ht="61.5" customHeight="1" x14ac:dyDescent="0.25">
      <c r="A13" s="17">
        <v>43006</v>
      </c>
      <c r="B13" s="18">
        <v>35</v>
      </c>
      <c r="C13" s="18">
        <v>0</v>
      </c>
      <c r="D13" s="2">
        <f t="shared" si="0"/>
        <v>35</v>
      </c>
      <c r="E13" s="3"/>
      <c r="F13" s="2"/>
      <c r="G13" s="2"/>
      <c r="H13" s="2"/>
      <c r="I13" s="2"/>
      <c r="J13" s="2"/>
      <c r="K13" s="19" t="s">
        <v>83</v>
      </c>
    </row>
    <row r="14" spans="1:12" ht="15" customHeight="1" x14ac:dyDescent="0.25">
      <c r="A14" s="17">
        <v>43006</v>
      </c>
      <c r="B14" s="18">
        <v>0</v>
      </c>
      <c r="C14" s="18">
        <v>1</v>
      </c>
      <c r="D14" s="2">
        <f t="shared" si="0"/>
        <v>-1</v>
      </c>
      <c r="E14" s="3"/>
      <c r="F14" s="2"/>
      <c r="G14" s="2"/>
      <c r="H14" s="2"/>
      <c r="I14" s="2"/>
      <c r="J14" s="2"/>
      <c r="K14" s="19" t="s">
        <v>84</v>
      </c>
    </row>
    <row r="15" spans="1:12" x14ac:dyDescent="0.25">
      <c r="A15" s="17"/>
      <c r="B15" s="18"/>
      <c r="C15" s="18"/>
      <c r="D15" s="2">
        <f t="shared" si="0"/>
        <v>0</v>
      </c>
      <c r="E15" s="3"/>
      <c r="F15" s="2"/>
      <c r="G15" s="2"/>
      <c r="H15" s="2"/>
      <c r="I15" s="2"/>
      <c r="J15" s="2"/>
      <c r="K15" s="20"/>
    </row>
    <row r="16" spans="1:12" x14ac:dyDescent="0.25">
      <c r="A16" s="17"/>
      <c r="B16" s="18"/>
      <c r="C16" s="18"/>
      <c r="D16" s="2">
        <f t="shared" si="0"/>
        <v>0</v>
      </c>
      <c r="E16" s="3"/>
      <c r="F16" s="2"/>
      <c r="G16" s="2"/>
      <c r="H16" s="2"/>
      <c r="I16" s="2"/>
      <c r="J16" s="2"/>
      <c r="K16" s="19"/>
    </row>
    <row r="17" spans="1:11" x14ac:dyDescent="0.25">
      <c r="A17" s="17"/>
      <c r="B17" s="18"/>
      <c r="C17" s="18"/>
      <c r="D17" s="2">
        <f t="shared" si="0"/>
        <v>0</v>
      </c>
      <c r="E17" s="3"/>
      <c r="F17" s="2"/>
      <c r="G17" s="2"/>
      <c r="H17" s="2"/>
      <c r="I17" s="2"/>
      <c r="J17" s="2"/>
      <c r="K17" s="19"/>
    </row>
    <row r="18" spans="1:11" x14ac:dyDescent="0.25">
      <c r="A18" s="17"/>
      <c r="B18" s="18"/>
      <c r="C18" s="18"/>
      <c r="D18" s="2">
        <f t="shared" si="0"/>
        <v>0</v>
      </c>
      <c r="E18" s="3"/>
      <c r="F18" s="2"/>
      <c r="G18" s="2"/>
      <c r="H18" s="2"/>
      <c r="I18" s="2"/>
      <c r="J18" s="2"/>
      <c r="K18" s="20"/>
    </row>
    <row r="19" spans="1:11" x14ac:dyDescent="0.25">
      <c r="A19" s="17"/>
      <c r="B19" s="18"/>
      <c r="C19" s="18"/>
      <c r="D19" s="2">
        <f t="shared" si="0"/>
        <v>0</v>
      </c>
      <c r="E19" s="3"/>
      <c r="F19" s="2"/>
      <c r="G19" s="2"/>
      <c r="H19" s="2"/>
      <c r="I19" s="2"/>
      <c r="J19" s="2"/>
      <c r="K19" s="19"/>
    </row>
    <row r="20" spans="1:11" x14ac:dyDescent="0.25">
      <c r="A20" s="17"/>
      <c r="B20" s="18"/>
      <c r="C20" s="18"/>
      <c r="D20" s="2">
        <f t="shared" si="0"/>
        <v>0</v>
      </c>
      <c r="E20" s="3"/>
      <c r="F20" s="2"/>
      <c r="G20" s="2"/>
      <c r="H20" s="2"/>
      <c r="I20" s="2"/>
      <c r="J20" s="2"/>
      <c r="K20" s="20"/>
    </row>
    <row r="21" spans="1:11" x14ac:dyDescent="0.25">
      <c r="A21" s="21"/>
      <c r="B21" s="22"/>
      <c r="C21" s="22"/>
      <c r="D21" s="2">
        <f t="shared" si="0"/>
        <v>0</v>
      </c>
      <c r="E21" s="24"/>
      <c r="F21" s="23"/>
      <c r="G21" s="23"/>
      <c r="H21" s="23"/>
      <c r="I21" s="23"/>
      <c r="J21" s="23"/>
      <c r="K21" s="26"/>
    </row>
    <row r="22" spans="1:11" x14ac:dyDescent="0.25">
      <c r="A22" s="17"/>
      <c r="B22" s="18"/>
      <c r="C22" s="18"/>
      <c r="D22" s="2">
        <f t="shared" si="0"/>
        <v>0</v>
      </c>
      <c r="E22" s="3"/>
      <c r="F22" s="2"/>
      <c r="G22" s="2"/>
      <c r="H22" s="2"/>
      <c r="I22" s="2"/>
      <c r="J22" s="2"/>
      <c r="K22" s="20"/>
    </row>
    <row r="23" spans="1:11" x14ac:dyDescent="0.25">
      <c r="A23" s="17"/>
      <c r="B23" s="18"/>
      <c r="C23" s="18"/>
      <c r="D23" s="2">
        <f t="shared" si="0"/>
        <v>0</v>
      </c>
      <c r="E23" s="3"/>
      <c r="F23" s="2"/>
      <c r="G23" s="2"/>
      <c r="H23" s="2"/>
      <c r="I23" s="2"/>
      <c r="J23" s="2"/>
      <c r="K23" s="19"/>
    </row>
    <row r="24" spans="1:11" x14ac:dyDescent="0.25">
      <c r="A24" s="17"/>
      <c r="B24" s="18"/>
      <c r="C24" s="18"/>
      <c r="D24" s="2">
        <f t="shared" si="0"/>
        <v>0</v>
      </c>
      <c r="E24" s="3"/>
      <c r="F24" s="2"/>
      <c r="G24" s="2"/>
      <c r="H24" s="2"/>
      <c r="I24" s="2"/>
      <c r="J24" s="2"/>
      <c r="K24" s="19"/>
    </row>
    <row r="25" spans="1:11" x14ac:dyDescent="0.25">
      <c r="A25" s="17"/>
      <c r="B25" s="18"/>
      <c r="C25" s="18"/>
      <c r="D25" s="2">
        <f t="shared" si="0"/>
        <v>0</v>
      </c>
      <c r="E25" s="3"/>
      <c r="F25" s="2"/>
      <c r="G25" s="2"/>
      <c r="H25" s="2"/>
      <c r="I25" s="2"/>
      <c r="J25" s="2"/>
      <c r="K25" s="19"/>
    </row>
    <row r="26" spans="1:11" x14ac:dyDescent="0.25">
      <c r="A26" s="17"/>
      <c r="B26" s="18"/>
      <c r="C26" s="18"/>
      <c r="D26" s="2">
        <f t="shared" si="0"/>
        <v>0</v>
      </c>
      <c r="E26" s="3"/>
      <c r="F26" s="2"/>
      <c r="G26" s="2"/>
      <c r="H26" s="2"/>
      <c r="I26" s="2"/>
      <c r="J26" s="2"/>
      <c r="K26" s="20"/>
    </row>
    <row r="27" spans="1:11" x14ac:dyDescent="0.25">
      <c r="A27" s="17"/>
      <c r="B27" s="18"/>
      <c r="C27" s="18"/>
      <c r="D27" s="2">
        <f t="shared" si="0"/>
        <v>0</v>
      </c>
      <c r="E27" s="3"/>
      <c r="F27" s="2"/>
      <c r="G27" s="2"/>
      <c r="H27" s="2"/>
      <c r="I27" s="2"/>
      <c r="J27" s="2"/>
      <c r="K27" s="20"/>
    </row>
    <row r="28" spans="1:11" x14ac:dyDescent="0.25">
      <c r="A28" s="17"/>
      <c r="B28" s="18"/>
      <c r="C28" s="18"/>
      <c r="D28" s="2">
        <f t="shared" si="0"/>
        <v>0</v>
      </c>
      <c r="E28" s="3"/>
      <c r="F28" s="2"/>
      <c r="G28" s="2"/>
      <c r="H28" s="2"/>
      <c r="I28" s="2"/>
      <c r="J28" s="2"/>
      <c r="K28" s="20"/>
    </row>
    <row r="29" spans="1:11" x14ac:dyDescent="0.25">
      <c r="A29" s="17"/>
      <c r="B29" s="18"/>
      <c r="C29" s="18"/>
      <c r="D29" s="2">
        <f t="shared" si="0"/>
        <v>0</v>
      </c>
      <c r="E29" s="3"/>
      <c r="F29" s="2"/>
      <c r="G29" s="2"/>
      <c r="H29" s="2"/>
      <c r="I29" s="2"/>
      <c r="J29" s="2"/>
      <c r="K29" s="19"/>
    </row>
    <row r="30" spans="1:11" x14ac:dyDescent="0.25">
      <c r="A30" s="17"/>
      <c r="B30" s="18"/>
      <c r="C30" s="18"/>
      <c r="D30" s="2">
        <f t="shared" si="0"/>
        <v>0</v>
      </c>
      <c r="E30" s="3"/>
      <c r="F30" s="2"/>
      <c r="G30" s="2"/>
      <c r="H30" s="2"/>
      <c r="I30" s="2"/>
      <c r="J30" s="2"/>
      <c r="K30" s="19"/>
    </row>
    <row r="31" spans="1:11" x14ac:dyDescent="0.25">
      <c r="A31" s="17"/>
      <c r="B31" s="18"/>
      <c r="C31" s="18"/>
      <c r="D31" s="2">
        <f t="shared" si="0"/>
        <v>0</v>
      </c>
      <c r="E31" s="3"/>
      <c r="F31" s="2"/>
      <c r="G31" s="2"/>
      <c r="H31" s="2"/>
      <c r="I31" s="2"/>
      <c r="J31" s="2"/>
      <c r="K31" s="20"/>
    </row>
    <row r="32" spans="1:11" x14ac:dyDescent="0.25">
      <c r="A32" s="17"/>
      <c r="B32" s="18"/>
      <c r="C32" s="18"/>
      <c r="D32" s="2">
        <f t="shared" si="0"/>
        <v>0</v>
      </c>
      <c r="E32" s="3"/>
      <c r="F32" s="2"/>
      <c r="G32" s="2"/>
      <c r="H32" s="2"/>
      <c r="I32" s="2"/>
      <c r="J32" s="2"/>
      <c r="K32" s="20"/>
    </row>
    <row r="33" spans="1:11" x14ac:dyDescent="0.25">
      <c r="A33" s="17"/>
      <c r="B33" s="18"/>
      <c r="C33" s="18"/>
      <c r="D33" s="2">
        <f t="shared" si="0"/>
        <v>0</v>
      </c>
      <c r="E33" s="3"/>
      <c r="F33" s="2"/>
      <c r="G33" s="2"/>
      <c r="H33" s="2"/>
      <c r="I33" s="2"/>
      <c r="J33" s="2"/>
      <c r="K33" s="19"/>
    </row>
    <row r="34" spans="1:11" x14ac:dyDescent="0.25">
      <c r="A34" s="17"/>
      <c r="B34" s="18"/>
      <c r="C34" s="18"/>
      <c r="D34" s="2">
        <f t="shared" si="0"/>
        <v>0</v>
      </c>
      <c r="E34" s="3"/>
      <c r="F34" s="2"/>
      <c r="G34" s="2"/>
      <c r="H34" s="2"/>
      <c r="I34" s="2"/>
      <c r="J34" s="2"/>
      <c r="K34" s="20"/>
    </row>
    <row r="35" spans="1:11" x14ac:dyDescent="0.25">
      <c r="A35" s="17"/>
      <c r="B35" s="18"/>
      <c r="C35" s="18"/>
      <c r="D35" s="2">
        <f t="shared" si="0"/>
        <v>0</v>
      </c>
      <c r="E35" s="3"/>
      <c r="F35" s="2"/>
      <c r="G35" s="2"/>
      <c r="H35" s="2"/>
      <c r="I35" s="2"/>
      <c r="J35" s="2"/>
      <c r="K35" s="20"/>
    </row>
    <row r="36" spans="1:11" x14ac:dyDescent="0.25">
      <c r="A36" s="17"/>
      <c r="B36" s="18"/>
      <c r="C36" s="18"/>
      <c r="D36" s="2">
        <f t="shared" si="0"/>
        <v>0</v>
      </c>
      <c r="E36" s="3"/>
      <c r="F36" s="2"/>
      <c r="G36" s="2"/>
      <c r="H36" s="2"/>
      <c r="I36" s="2"/>
      <c r="J36" s="2"/>
      <c r="K36" s="20"/>
    </row>
    <row r="37" spans="1:11" x14ac:dyDescent="0.25">
      <c r="A37" s="17"/>
      <c r="B37" s="18"/>
      <c r="C37" s="18"/>
      <c r="D37" s="2">
        <f t="shared" si="0"/>
        <v>0</v>
      </c>
      <c r="E37" s="3"/>
      <c r="F37" s="2"/>
      <c r="G37" s="2"/>
      <c r="H37" s="2"/>
      <c r="I37" s="2"/>
      <c r="J37" s="2"/>
      <c r="K37" s="20"/>
    </row>
    <row r="38" spans="1:11" x14ac:dyDescent="0.25">
      <c r="A38" s="17"/>
      <c r="B38" s="18"/>
      <c r="C38" s="18"/>
      <c r="D38" s="2">
        <f t="shared" si="0"/>
        <v>0</v>
      </c>
      <c r="E38" s="3"/>
      <c r="F38" s="2"/>
      <c r="G38" s="2"/>
      <c r="H38" s="2"/>
      <c r="I38" s="2"/>
      <c r="J38" s="2"/>
      <c r="K38" s="20"/>
    </row>
    <row r="39" spans="1:11" x14ac:dyDescent="0.25">
      <c r="A39" s="17"/>
      <c r="B39" s="18"/>
      <c r="C39" s="18"/>
      <c r="D39" s="2">
        <f t="shared" si="0"/>
        <v>0</v>
      </c>
      <c r="E39" s="3"/>
      <c r="F39" s="2"/>
      <c r="G39" s="2"/>
      <c r="H39" s="2"/>
      <c r="I39" s="2"/>
      <c r="J39" s="2"/>
      <c r="K39" s="20"/>
    </row>
    <row r="40" spans="1:11" x14ac:dyDescent="0.25">
      <c r="A40" s="17"/>
      <c r="B40" s="18"/>
      <c r="C40" s="18"/>
      <c r="D40" s="2">
        <f t="shared" si="0"/>
        <v>0</v>
      </c>
      <c r="E40" s="3"/>
      <c r="F40" s="2"/>
      <c r="G40" s="2"/>
      <c r="H40" s="2"/>
      <c r="I40" s="2"/>
      <c r="J40" s="2"/>
      <c r="K40" s="19"/>
    </row>
    <row r="41" spans="1:11" x14ac:dyDescent="0.25">
      <c r="A41" s="17"/>
      <c r="B41" s="18"/>
      <c r="C41" s="18"/>
      <c r="D41" s="2">
        <f t="shared" si="0"/>
        <v>0</v>
      </c>
      <c r="E41" s="3"/>
      <c r="F41" s="2"/>
      <c r="G41" s="2"/>
      <c r="H41" s="2"/>
      <c r="I41" s="2"/>
      <c r="J41" s="2"/>
      <c r="K41" s="20"/>
    </row>
    <row r="42" spans="1:11" x14ac:dyDescent="0.25">
      <c r="A42" s="17"/>
      <c r="B42" s="18"/>
      <c r="C42" s="18"/>
      <c r="D42" s="2">
        <f t="shared" si="0"/>
        <v>0</v>
      </c>
      <c r="E42" s="3"/>
      <c r="F42" s="2"/>
      <c r="G42" s="2"/>
      <c r="H42" s="2"/>
      <c r="I42" s="2"/>
      <c r="J42" s="2"/>
      <c r="K42" s="20"/>
    </row>
    <row r="43" spans="1:11" x14ac:dyDescent="0.25">
      <c r="A43" s="17"/>
      <c r="B43" s="18"/>
      <c r="C43" s="18"/>
      <c r="D43" s="2">
        <f t="shared" si="0"/>
        <v>0</v>
      </c>
      <c r="E43" s="3"/>
      <c r="F43" s="2"/>
      <c r="G43" s="2"/>
      <c r="H43" s="2"/>
      <c r="I43" s="2"/>
      <c r="J43" s="2"/>
      <c r="K43" s="20"/>
    </row>
    <row r="44" spans="1:11" x14ac:dyDescent="0.25">
      <c r="A44" s="17"/>
      <c r="B44" s="18"/>
      <c r="C44" s="18"/>
      <c r="D44" s="2">
        <f t="shared" si="0"/>
        <v>0</v>
      </c>
      <c r="E44" s="3"/>
      <c r="F44" s="2"/>
      <c r="G44" s="2"/>
      <c r="H44" s="2"/>
      <c r="I44" s="2"/>
      <c r="J44" s="2"/>
      <c r="K44" s="20"/>
    </row>
  </sheetData>
  <sheetProtection algorithmName="SHA-512" hashValue="yZ2F0wVOsgoOtdu+o96/qQQ9DtlPZR0bt1XbyPtEORFVUQ2GuUBFboCTRxLfdNqOKiMdSAJ1XJEhb7DtZGiKQw==" saltValue="bj/lk6nmkemJrZm7ccO/NA==" spinCount="100000" sheet="1" objects="1" scenarios="1"/>
  <customSheetViews>
    <customSheetView guid="{E5A7B818-645B-417C-A128-9FE559D9B124}" fitToPage="1">
      <selection activeCell="L5" sqref="L5:L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15" priority="1" operator="lessThan">
      <formula>0</formula>
    </cfRule>
    <cfRule type="cellIs" dxfId="21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3">
    <pageSetUpPr fitToPage="1"/>
  </sheetPr>
  <dimension ref="A1:L44"/>
  <sheetViews>
    <sheetView workbookViewId="0">
      <selection activeCell="G24" sqref="G24"/>
    </sheetView>
  </sheetViews>
  <sheetFormatPr baseColWidth="10" defaultColWidth="11.42578125" defaultRowHeight="15" x14ac:dyDescent="0.25"/>
  <cols>
    <col min="1" max="5" width="11.42578125" style="2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6384" width="11.42578125" style="27"/>
  </cols>
  <sheetData>
    <row r="1" spans="1:12" ht="26.25" x14ac:dyDescent="0.4">
      <c r="A1" s="1" t="s">
        <v>0</v>
      </c>
      <c r="B1" s="28"/>
      <c r="C1" s="28"/>
      <c r="D1" s="28"/>
      <c r="E1" s="28"/>
      <c r="F1" s="28"/>
      <c r="G1" s="28"/>
      <c r="H1" s="28"/>
      <c r="I1" s="28"/>
      <c r="J1" s="39" t="s">
        <v>37</v>
      </c>
      <c r="K1" s="40">
        <f>264+12</f>
        <v>276</v>
      </c>
    </row>
    <row r="2" spans="1:12" ht="19.5" thickBot="1" x14ac:dyDescent="0.35">
      <c r="A2" s="5"/>
      <c r="B2" s="2"/>
      <c r="C2" s="2"/>
      <c r="D2" s="2"/>
      <c r="E2" s="3"/>
      <c r="F2" s="6" t="s">
        <v>1</v>
      </c>
      <c r="G2" s="2"/>
      <c r="H2" s="2"/>
      <c r="I2" s="2"/>
      <c r="J2" s="41" t="s">
        <v>38</v>
      </c>
      <c r="K2" s="42">
        <f>K1-F6</f>
        <v>23</v>
      </c>
    </row>
    <row r="3" spans="1:12" ht="15.75" thickBot="1" x14ac:dyDescent="0.3">
      <c r="A3" s="5"/>
      <c r="B3" s="2"/>
      <c r="C3" s="2"/>
      <c r="D3" s="2"/>
      <c r="E3" s="3"/>
      <c r="F3" s="2">
        <f>'09.17'!F6</f>
        <v>248</v>
      </c>
      <c r="G3" s="2"/>
      <c r="H3" s="2"/>
      <c r="I3" s="2"/>
      <c r="J3" s="2"/>
      <c r="K3" s="4"/>
    </row>
    <row r="4" spans="1:12" ht="30" x14ac:dyDescent="0.25">
      <c r="A4" s="5" t="s">
        <v>2</v>
      </c>
      <c r="B4" s="7" t="s">
        <v>3</v>
      </c>
      <c r="C4" s="7" t="s">
        <v>4</v>
      </c>
      <c r="D4" s="7" t="s">
        <v>5</v>
      </c>
      <c r="E4" s="3"/>
      <c r="F4" s="8" t="s">
        <v>6</v>
      </c>
      <c r="G4" s="7" t="s">
        <v>7</v>
      </c>
      <c r="H4" s="7" t="s">
        <v>8</v>
      </c>
      <c r="I4" s="2"/>
      <c r="J4" s="9" t="s">
        <v>9</v>
      </c>
      <c r="K4" s="4" t="s">
        <v>10</v>
      </c>
    </row>
    <row r="5" spans="1:12" x14ac:dyDescent="0.25">
      <c r="A5" s="5"/>
      <c r="B5" s="2"/>
      <c r="C5" s="2"/>
      <c r="D5" s="2"/>
      <c r="E5" s="3"/>
      <c r="F5" s="10"/>
      <c r="G5" s="2"/>
      <c r="H5" s="2"/>
      <c r="I5" s="2"/>
      <c r="J5" s="11"/>
      <c r="K5" s="4"/>
      <c r="L5" s="36" t="s">
        <v>18</v>
      </c>
    </row>
    <row r="6" spans="1:12" s="35" customFormat="1" ht="15.75" thickBot="1" x14ac:dyDescent="0.3">
      <c r="A6" s="29"/>
      <c r="B6" s="30"/>
      <c r="C6" s="30"/>
      <c r="D6" s="30"/>
      <c r="E6" s="31"/>
      <c r="F6" s="32">
        <f>SUM(D:D)+F3</f>
        <v>253</v>
      </c>
      <c r="G6" s="30">
        <f>SUM(B:B)</f>
        <v>38</v>
      </c>
      <c r="H6" s="30">
        <f>SUM(C:C)</f>
        <v>33</v>
      </c>
      <c r="I6" s="30"/>
      <c r="J6" s="33">
        <f>SUM(G6:H6)</f>
        <v>71</v>
      </c>
      <c r="K6" s="34"/>
      <c r="L6" s="50">
        <f>J6/K1</f>
        <v>0.25724637681159418</v>
      </c>
    </row>
    <row r="7" spans="1:12" ht="15" customHeight="1" x14ac:dyDescent="0.25">
      <c r="A7" s="17">
        <v>43012</v>
      </c>
      <c r="B7" s="18">
        <v>1</v>
      </c>
      <c r="C7" s="18">
        <v>0</v>
      </c>
      <c r="D7" s="2">
        <f t="shared" ref="D7:D13" si="0">B7-C7</f>
        <v>1</v>
      </c>
      <c r="E7" s="3"/>
      <c r="F7" s="2"/>
      <c r="G7" s="2"/>
      <c r="H7" s="2"/>
      <c r="I7" s="2"/>
      <c r="J7" s="2"/>
      <c r="K7" s="19" t="s">
        <v>84</v>
      </c>
    </row>
    <row r="8" spans="1:12" ht="15" customHeight="1" x14ac:dyDescent="0.3">
      <c r="A8" s="17">
        <v>43018</v>
      </c>
      <c r="B8" s="18">
        <v>0</v>
      </c>
      <c r="C8" s="18">
        <v>1</v>
      </c>
      <c r="D8" s="2">
        <f t="shared" si="0"/>
        <v>-1</v>
      </c>
      <c r="E8" s="3"/>
      <c r="F8" s="2"/>
      <c r="G8" s="2"/>
      <c r="H8" s="2"/>
      <c r="I8" s="2"/>
      <c r="J8" s="2"/>
      <c r="K8" s="20">
        <v>490336</v>
      </c>
      <c r="L8" s="38" t="s">
        <v>85</v>
      </c>
    </row>
    <row r="9" spans="1:12" ht="54.75" customHeight="1" x14ac:dyDescent="0.25">
      <c r="A9" s="21">
        <v>43018</v>
      </c>
      <c r="B9" s="22">
        <v>22</v>
      </c>
      <c r="C9" s="22">
        <v>0</v>
      </c>
      <c r="D9" s="2">
        <f t="shared" si="0"/>
        <v>22</v>
      </c>
      <c r="E9" s="24"/>
      <c r="F9" s="23"/>
      <c r="G9" s="23"/>
      <c r="H9" s="23"/>
      <c r="I9" s="23"/>
      <c r="J9" s="23"/>
      <c r="K9" s="25" t="s">
        <v>86</v>
      </c>
    </row>
    <row r="10" spans="1:12" ht="24" customHeight="1" x14ac:dyDescent="0.25">
      <c r="A10" s="17">
        <v>43024</v>
      </c>
      <c r="B10" s="18">
        <v>0</v>
      </c>
      <c r="C10" s="18">
        <v>5</v>
      </c>
      <c r="D10" s="2">
        <f t="shared" si="0"/>
        <v>-5</v>
      </c>
      <c r="E10" s="3"/>
      <c r="F10" s="2"/>
      <c r="G10" s="2"/>
      <c r="H10" s="2"/>
      <c r="I10" s="2"/>
      <c r="J10" s="2"/>
      <c r="K10" s="19" t="s">
        <v>87</v>
      </c>
    </row>
    <row r="11" spans="1:12" ht="31.5" customHeight="1" x14ac:dyDescent="0.25">
      <c r="A11" s="17">
        <v>43024</v>
      </c>
      <c r="B11" s="18">
        <v>7</v>
      </c>
      <c r="C11" s="18">
        <v>0</v>
      </c>
      <c r="D11" s="2">
        <f t="shared" si="0"/>
        <v>7</v>
      </c>
      <c r="E11" s="3"/>
      <c r="F11" s="2"/>
      <c r="G11" s="2"/>
      <c r="H11" s="2"/>
      <c r="I11" s="2"/>
      <c r="J11" s="2"/>
      <c r="K11" s="19" t="s">
        <v>88</v>
      </c>
    </row>
    <row r="12" spans="1:12" ht="59.25" customHeight="1" x14ac:dyDescent="0.25">
      <c r="A12" s="17">
        <v>43032</v>
      </c>
      <c r="B12" s="18">
        <v>0</v>
      </c>
      <c r="C12" s="18">
        <v>27</v>
      </c>
      <c r="D12" s="2">
        <f t="shared" si="0"/>
        <v>-27</v>
      </c>
      <c r="E12" s="3"/>
      <c r="F12" s="2"/>
      <c r="G12" s="2"/>
      <c r="H12" s="2"/>
      <c r="I12" s="2"/>
      <c r="J12" s="2"/>
      <c r="K12" s="19" t="s">
        <v>89</v>
      </c>
    </row>
    <row r="13" spans="1:12" ht="35.25" customHeight="1" x14ac:dyDescent="0.25">
      <c r="A13" s="17">
        <v>43032</v>
      </c>
      <c r="B13" s="18">
        <v>8</v>
      </c>
      <c r="C13" s="18">
        <v>0</v>
      </c>
      <c r="D13" s="2">
        <f t="shared" si="0"/>
        <v>8</v>
      </c>
      <c r="E13" s="3"/>
      <c r="F13" s="2"/>
      <c r="G13" s="2"/>
      <c r="H13" s="2"/>
      <c r="I13" s="2"/>
      <c r="J13" s="2"/>
      <c r="K13" s="19" t="s">
        <v>90</v>
      </c>
    </row>
    <row r="14" spans="1:12" ht="15" customHeight="1" x14ac:dyDescent="0.25">
      <c r="A14" s="17"/>
      <c r="B14" s="18"/>
      <c r="C14" s="18"/>
      <c r="D14" s="2">
        <f t="shared" ref="D14:D44" si="1">B14-C14</f>
        <v>0</v>
      </c>
      <c r="E14" s="3"/>
      <c r="F14" s="2"/>
      <c r="G14" s="2"/>
      <c r="H14" s="2"/>
      <c r="I14" s="2"/>
      <c r="J14" s="2"/>
      <c r="K14" s="19"/>
    </row>
    <row r="15" spans="1:12" x14ac:dyDescent="0.25">
      <c r="A15" s="17"/>
      <c r="B15" s="18"/>
      <c r="C15" s="18"/>
      <c r="D15" s="2">
        <f t="shared" si="1"/>
        <v>0</v>
      </c>
      <c r="E15" s="3"/>
      <c r="F15" s="2"/>
      <c r="G15" s="2"/>
      <c r="H15" s="2"/>
      <c r="I15" s="2"/>
      <c r="J15" s="2"/>
      <c r="K15" s="20"/>
    </row>
    <row r="16" spans="1:12" x14ac:dyDescent="0.25">
      <c r="A16" s="17"/>
      <c r="B16" s="18"/>
      <c r="C16" s="18"/>
      <c r="D16" s="2">
        <f t="shared" si="1"/>
        <v>0</v>
      </c>
      <c r="E16" s="3"/>
      <c r="F16" s="2"/>
      <c r="G16" s="2"/>
      <c r="H16" s="2"/>
      <c r="I16" s="2"/>
      <c r="J16" s="2"/>
      <c r="K16" s="19"/>
    </row>
    <row r="17" spans="1:11" x14ac:dyDescent="0.25">
      <c r="A17" s="17"/>
      <c r="B17" s="18"/>
      <c r="C17" s="18"/>
      <c r="D17" s="2">
        <f t="shared" si="1"/>
        <v>0</v>
      </c>
      <c r="E17" s="3"/>
      <c r="F17" s="2"/>
      <c r="G17" s="2"/>
      <c r="H17" s="2"/>
      <c r="I17" s="2"/>
      <c r="J17" s="2"/>
      <c r="K17" s="19"/>
    </row>
    <row r="18" spans="1:11" x14ac:dyDescent="0.25">
      <c r="A18" s="17"/>
      <c r="B18" s="18"/>
      <c r="C18" s="18"/>
      <c r="D18" s="2">
        <f t="shared" si="1"/>
        <v>0</v>
      </c>
      <c r="E18" s="3"/>
      <c r="F18" s="2"/>
      <c r="G18" s="2"/>
      <c r="H18" s="2"/>
      <c r="I18" s="2"/>
      <c r="J18" s="2"/>
      <c r="K18" s="20"/>
    </row>
    <row r="19" spans="1:11" x14ac:dyDescent="0.25">
      <c r="A19" s="17"/>
      <c r="B19" s="18"/>
      <c r="C19" s="18"/>
      <c r="D19" s="2">
        <f t="shared" si="1"/>
        <v>0</v>
      </c>
      <c r="E19" s="3"/>
      <c r="F19" s="2"/>
      <c r="G19" s="2"/>
      <c r="H19" s="2"/>
      <c r="I19" s="2"/>
      <c r="J19" s="2"/>
      <c r="K19" s="19"/>
    </row>
    <row r="20" spans="1:11" x14ac:dyDescent="0.25">
      <c r="A20" s="17"/>
      <c r="B20" s="18"/>
      <c r="C20" s="18"/>
      <c r="D20" s="2">
        <f t="shared" si="1"/>
        <v>0</v>
      </c>
      <c r="E20" s="3"/>
      <c r="F20" s="2"/>
      <c r="G20" s="2"/>
      <c r="H20" s="2"/>
      <c r="I20" s="2"/>
      <c r="J20" s="2"/>
      <c r="K20" s="20"/>
    </row>
    <row r="21" spans="1:11" x14ac:dyDescent="0.25">
      <c r="A21" s="21"/>
      <c r="B21" s="22"/>
      <c r="C21" s="22"/>
      <c r="D21" s="2">
        <f t="shared" si="1"/>
        <v>0</v>
      </c>
      <c r="E21" s="24"/>
      <c r="F21" s="23"/>
      <c r="G21" s="23"/>
      <c r="H21" s="23"/>
      <c r="I21" s="23"/>
      <c r="J21" s="23"/>
      <c r="K21" s="26"/>
    </row>
    <row r="22" spans="1:11" x14ac:dyDescent="0.25">
      <c r="A22" s="17"/>
      <c r="B22" s="18"/>
      <c r="C22" s="18"/>
      <c r="D22" s="2">
        <f t="shared" si="1"/>
        <v>0</v>
      </c>
      <c r="E22" s="3"/>
      <c r="F22" s="2"/>
      <c r="G22" s="2"/>
      <c r="H22" s="2"/>
      <c r="I22" s="2"/>
      <c r="J22" s="2"/>
      <c r="K22" s="20"/>
    </row>
    <row r="23" spans="1:11" x14ac:dyDescent="0.25">
      <c r="A23" s="17"/>
      <c r="B23" s="18"/>
      <c r="C23" s="18"/>
      <c r="D23" s="2">
        <f t="shared" si="1"/>
        <v>0</v>
      </c>
      <c r="E23" s="3"/>
      <c r="F23" s="2"/>
      <c r="G23" s="2"/>
      <c r="H23" s="2"/>
      <c r="I23" s="2"/>
      <c r="J23" s="2"/>
      <c r="K23" s="19"/>
    </row>
    <row r="24" spans="1:11" x14ac:dyDescent="0.25">
      <c r="A24" s="17"/>
      <c r="B24" s="18"/>
      <c r="C24" s="18"/>
      <c r="D24" s="2">
        <f t="shared" si="1"/>
        <v>0</v>
      </c>
      <c r="E24" s="3"/>
      <c r="F24" s="2"/>
      <c r="G24" s="2"/>
      <c r="H24" s="2"/>
      <c r="I24" s="2"/>
      <c r="J24" s="2"/>
      <c r="K24" s="19"/>
    </row>
    <row r="25" spans="1:11" x14ac:dyDescent="0.25">
      <c r="A25" s="17"/>
      <c r="B25" s="18"/>
      <c r="C25" s="18"/>
      <c r="D25" s="2">
        <f t="shared" si="1"/>
        <v>0</v>
      </c>
      <c r="E25" s="3"/>
      <c r="F25" s="2"/>
      <c r="G25" s="2"/>
      <c r="H25" s="2"/>
      <c r="I25" s="2"/>
      <c r="J25" s="2"/>
      <c r="K25" s="19"/>
    </row>
    <row r="26" spans="1:11" x14ac:dyDescent="0.25">
      <c r="A26" s="17"/>
      <c r="B26" s="18"/>
      <c r="C26" s="18"/>
      <c r="D26" s="2">
        <f t="shared" si="1"/>
        <v>0</v>
      </c>
      <c r="E26" s="3"/>
      <c r="F26" s="2"/>
      <c r="G26" s="2"/>
      <c r="H26" s="2"/>
      <c r="I26" s="2"/>
      <c r="J26" s="2"/>
      <c r="K26" s="20"/>
    </row>
    <row r="27" spans="1:11" x14ac:dyDescent="0.25">
      <c r="A27" s="17"/>
      <c r="B27" s="18"/>
      <c r="C27" s="18"/>
      <c r="D27" s="2">
        <f t="shared" si="1"/>
        <v>0</v>
      </c>
      <c r="E27" s="3"/>
      <c r="F27" s="2"/>
      <c r="G27" s="2"/>
      <c r="H27" s="2"/>
      <c r="I27" s="2"/>
      <c r="J27" s="2"/>
      <c r="K27" s="20"/>
    </row>
    <row r="28" spans="1:11" x14ac:dyDescent="0.25">
      <c r="A28" s="17"/>
      <c r="B28" s="18"/>
      <c r="C28" s="18"/>
      <c r="D28" s="2">
        <f t="shared" si="1"/>
        <v>0</v>
      </c>
      <c r="E28" s="3"/>
      <c r="F28" s="2"/>
      <c r="G28" s="2"/>
      <c r="H28" s="2"/>
      <c r="I28" s="2"/>
      <c r="J28" s="2"/>
      <c r="K28" s="20"/>
    </row>
    <row r="29" spans="1:11" x14ac:dyDescent="0.25">
      <c r="A29" s="17"/>
      <c r="B29" s="18"/>
      <c r="C29" s="18"/>
      <c r="D29" s="2">
        <f t="shared" si="1"/>
        <v>0</v>
      </c>
      <c r="E29" s="3"/>
      <c r="F29" s="2"/>
      <c r="G29" s="2"/>
      <c r="H29" s="2"/>
      <c r="I29" s="2"/>
      <c r="J29" s="2"/>
      <c r="K29" s="19"/>
    </row>
    <row r="30" spans="1:11" x14ac:dyDescent="0.25">
      <c r="A30" s="17"/>
      <c r="B30" s="18"/>
      <c r="C30" s="18"/>
      <c r="D30" s="2">
        <f t="shared" si="1"/>
        <v>0</v>
      </c>
      <c r="E30" s="3"/>
      <c r="F30" s="2"/>
      <c r="G30" s="2"/>
      <c r="H30" s="2"/>
      <c r="I30" s="2"/>
      <c r="J30" s="2"/>
      <c r="K30" s="19"/>
    </row>
    <row r="31" spans="1:11" x14ac:dyDescent="0.25">
      <c r="A31" s="17"/>
      <c r="B31" s="18"/>
      <c r="C31" s="18"/>
      <c r="D31" s="2">
        <f t="shared" si="1"/>
        <v>0</v>
      </c>
      <c r="E31" s="3"/>
      <c r="F31" s="2"/>
      <c r="G31" s="2"/>
      <c r="H31" s="2"/>
      <c r="I31" s="2"/>
      <c r="J31" s="2"/>
      <c r="K31" s="20"/>
    </row>
    <row r="32" spans="1:11" x14ac:dyDescent="0.25">
      <c r="A32" s="17"/>
      <c r="B32" s="18"/>
      <c r="C32" s="18"/>
      <c r="D32" s="2">
        <f t="shared" si="1"/>
        <v>0</v>
      </c>
      <c r="E32" s="3"/>
      <c r="F32" s="2"/>
      <c r="G32" s="2"/>
      <c r="H32" s="2"/>
      <c r="I32" s="2"/>
      <c r="J32" s="2"/>
      <c r="K32" s="20"/>
    </row>
    <row r="33" spans="1:11" x14ac:dyDescent="0.25">
      <c r="A33" s="17"/>
      <c r="B33" s="18"/>
      <c r="C33" s="18"/>
      <c r="D33" s="2">
        <f t="shared" si="1"/>
        <v>0</v>
      </c>
      <c r="E33" s="3"/>
      <c r="F33" s="2"/>
      <c r="G33" s="2"/>
      <c r="H33" s="2"/>
      <c r="I33" s="2"/>
      <c r="J33" s="2"/>
      <c r="K33" s="19"/>
    </row>
    <row r="34" spans="1:11" x14ac:dyDescent="0.25">
      <c r="A34" s="17"/>
      <c r="B34" s="18"/>
      <c r="C34" s="18"/>
      <c r="D34" s="2">
        <f t="shared" si="1"/>
        <v>0</v>
      </c>
      <c r="E34" s="3"/>
      <c r="F34" s="2"/>
      <c r="G34" s="2"/>
      <c r="H34" s="2"/>
      <c r="I34" s="2"/>
      <c r="J34" s="2"/>
      <c r="K34" s="20"/>
    </row>
    <row r="35" spans="1:11" x14ac:dyDescent="0.25">
      <c r="A35" s="17"/>
      <c r="B35" s="18"/>
      <c r="C35" s="18"/>
      <c r="D35" s="2">
        <f t="shared" si="1"/>
        <v>0</v>
      </c>
      <c r="E35" s="3"/>
      <c r="F35" s="2"/>
      <c r="G35" s="2"/>
      <c r="H35" s="2"/>
      <c r="I35" s="2"/>
      <c r="J35" s="2"/>
      <c r="K35" s="20"/>
    </row>
    <row r="36" spans="1:11" x14ac:dyDescent="0.25">
      <c r="A36" s="17"/>
      <c r="B36" s="18"/>
      <c r="C36" s="18"/>
      <c r="D36" s="2">
        <f t="shared" si="1"/>
        <v>0</v>
      </c>
      <c r="E36" s="3"/>
      <c r="F36" s="2"/>
      <c r="G36" s="2"/>
      <c r="H36" s="2"/>
      <c r="I36" s="2"/>
      <c r="J36" s="2"/>
      <c r="K36" s="20"/>
    </row>
    <row r="37" spans="1:11" x14ac:dyDescent="0.25">
      <c r="A37" s="17"/>
      <c r="B37" s="18"/>
      <c r="C37" s="18"/>
      <c r="D37" s="2">
        <f t="shared" si="1"/>
        <v>0</v>
      </c>
      <c r="E37" s="3"/>
      <c r="F37" s="2"/>
      <c r="G37" s="2"/>
      <c r="H37" s="2"/>
      <c r="I37" s="2"/>
      <c r="J37" s="2"/>
      <c r="K37" s="20"/>
    </row>
    <row r="38" spans="1:11" x14ac:dyDescent="0.25">
      <c r="A38" s="17"/>
      <c r="B38" s="18"/>
      <c r="C38" s="18"/>
      <c r="D38" s="2">
        <f t="shared" si="1"/>
        <v>0</v>
      </c>
      <c r="E38" s="3"/>
      <c r="F38" s="2"/>
      <c r="G38" s="2"/>
      <c r="H38" s="2"/>
      <c r="I38" s="2"/>
      <c r="J38" s="2"/>
      <c r="K38" s="20"/>
    </row>
    <row r="39" spans="1:11" x14ac:dyDescent="0.25">
      <c r="A39" s="17"/>
      <c r="B39" s="18"/>
      <c r="C39" s="18"/>
      <c r="D39" s="2">
        <f t="shared" si="1"/>
        <v>0</v>
      </c>
      <c r="E39" s="3"/>
      <c r="F39" s="2"/>
      <c r="G39" s="2"/>
      <c r="H39" s="2"/>
      <c r="I39" s="2"/>
      <c r="J39" s="2"/>
      <c r="K39" s="20"/>
    </row>
    <row r="40" spans="1:11" x14ac:dyDescent="0.25">
      <c r="A40" s="17"/>
      <c r="B40" s="18"/>
      <c r="C40" s="18"/>
      <c r="D40" s="2">
        <f t="shared" si="1"/>
        <v>0</v>
      </c>
      <c r="E40" s="3"/>
      <c r="F40" s="2"/>
      <c r="G40" s="2"/>
      <c r="H40" s="2"/>
      <c r="I40" s="2"/>
      <c r="J40" s="2"/>
      <c r="K40" s="19"/>
    </row>
    <row r="41" spans="1:11" x14ac:dyDescent="0.25">
      <c r="A41" s="17"/>
      <c r="B41" s="18"/>
      <c r="C41" s="18"/>
      <c r="D41" s="2">
        <f t="shared" si="1"/>
        <v>0</v>
      </c>
      <c r="E41" s="3"/>
      <c r="F41" s="2"/>
      <c r="G41" s="2"/>
      <c r="H41" s="2"/>
      <c r="I41" s="2"/>
      <c r="J41" s="2"/>
      <c r="K41" s="20"/>
    </row>
    <row r="42" spans="1:11" x14ac:dyDescent="0.25">
      <c r="A42" s="17"/>
      <c r="B42" s="18"/>
      <c r="C42" s="18"/>
      <c r="D42" s="2">
        <f t="shared" si="1"/>
        <v>0</v>
      </c>
      <c r="E42" s="3"/>
      <c r="F42" s="2"/>
      <c r="G42" s="2"/>
      <c r="H42" s="2"/>
      <c r="I42" s="2"/>
      <c r="J42" s="2"/>
      <c r="K42" s="20"/>
    </row>
    <row r="43" spans="1:11" x14ac:dyDescent="0.25">
      <c r="A43" s="17"/>
      <c r="B43" s="18"/>
      <c r="C43" s="18"/>
      <c r="D43" s="2">
        <f t="shared" si="1"/>
        <v>0</v>
      </c>
      <c r="E43" s="3"/>
      <c r="F43" s="2"/>
      <c r="G43" s="2"/>
      <c r="H43" s="2"/>
      <c r="I43" s="2"/>
      <c r="J43" s="2"/>
      <c r="K43" s="20"/>
    </row>
    <row r="44" spans="1:11" x14ac:dyDescent="0.25">
      <c r="A44" s="17"/>
      <c r="B44" s="18"/>
      <c r="C44" s="18"/>
      <c r="D44" s="2">
        <f t="shared" si="1"/>
        <v>0</v>
      </c>
      <c r="E44" s="3"/>
      <c r="F44" s="2"/>
      <c r="G44" s="2"/>
      <c r="H44" s="2"/>
      <c r="I44" s="2"/>
      <c r="J44" s="2"/>
      <c r="K44" s="20"/>
    </row>
  </sheetData>
  <sheetProtection algorithmName="SHA-512" hashValue="yPI1kiosaZzWIFxhjOqUtDlLSxxStJMtTdNXlJgeJVGki2pb9wAYT5J2+0FPt5FEt8j3W5G6y3XpBXvA+RM9BA==" saltValue="zbA3b5Ga8tmntQQ1JxKvzg==" spinCount="100000" sheet="1" objects="1" scenarios="1"/>
  <customSheetViews>
    <customSheetView guid="{E5A7B818-645B-417C-A128-9FE559D9B124}" fitToPage="1">
      <selection activeCell="G24" sqref="G24"/>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13" priority="1" operator="lessThan">
      <formula>0</formula>
    </cfRule>
    <cfRule type="cellIs" dxfId="21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4">
    <pageSetUpPr fitToPage="1"/>
  </sheetPr>
  <dimension ref="A1:L44"/>
  <sheetViews>
    <sheetView workbookViewId="0">
      <pane ySplit="6" topLeftCell="A13" activePane="bottomLeft" state="frozen"/>
      <selection pane="bottomLeft" activeCell="G33" sqref="G33"/>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f>
        <v>420</v>
      </c>
    </row>
    <row r="2" spans="1:12" ht="19.5" thickBot="1" x14ac:dyDescent="0.35">
      <c r="A2" s="5"/>
      <c r="B2" s="2"/>
      <c r="C2" s="2"/>
      <c r="D2" s="2"/>
      <c r="E2" s="2"/>
      <c r="F2" s="6" t="s">
        <v>1</v>
      </c>
      <c r="G2" s="2"/>
      <c r="H2" s="2"/>
      <c r="I2" s="2"/>
      <c r="J2" s="41" t="s">
        <v>38</v>
      </c>
      <c r="K2" s="42">
        <f>K1-F6</f>
        <v>63</v>
      </c>
    </row>
    <row r="3" spans="1:12" ht="15.75" thickBot="1" x14ac:dyDescent="0.3">
      <c r="A3" s="5"/>
      <c r="B3" s="2"/>
      <c r="C3" s="2"/>
      <c r="D3" s="2"/>
      <c r="E3" s="2"/>
      <c r="F3" s="2">
        <f>'10.17'!F6</f>
        <v>253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357</v>
      </c>
      <c r="G6" s="30">
        <f>SUM(B:B)</f>
        <v>163</v>
      </c>
      <c r="H6" s="30">
        <f>SUM(C:C)</f>
        <v>59</v>
      </c>
      <c r="I6" s="30"/>
      <c r="J6" s="33">
        <f>SUM(G6:H6)+SUM(E:E)</f>
        <v>240</v>
      </c>
      <c r="K6" s="34"/>
      <c r="L6" s="50">
        <f>J6/K1</f>
        <v>0.5714285714285714</v>
      </c>
    </row>
    <row r="7" spans="1:12" ht="30.75" customHeight="1" x14ac:dyDescent="0.25">
      <c r="A7" s="17">
        <v>43046</v>
      </c>
      <c r="B7" s="18">
        <v>0</v>
      </c>
      <c r="C7" s="18">
        <v>12</v>
      </c>
      <c r="D7" s="2">
        <f t="shared" ref="D7:D44" si="0">B7-C7</f>
        <v>-12</v>
      </c>
      <c r="E7" s="2"/>
      <c r="F7" s="2"/>
      <c r="G7" s="2"/>
      <c r="H7" s="2"/>
      <c r="I7" s="2"/>
      <c r="J7" s="2"/>
      <c r="K7" s="19" t="s">
        <v>92</v>
      </c>
    </row>
    <row r="8" spans="1:12" ht="26.25" customHeight="1" x14ac:dyDescent="0.25">
      <c r="A8" s="17">
        <v>43047</v>
      </c>
      <c r="B8" s="18">
        <v>12</v>
      </c>
      <c r="C8" s="18">
        <v>0</v>
      </c>
      <c r="D8" s="2">
        <f t="shared" si="0"/>
        <v>12</v>
      </c>
      <c r="E8" s="2"/>
      <c r="F8" s="2"/>
      <c r="G8" s="2"/>
      <c r="H8" s="2"/>
      <c r="I8" s="2"/>
      <c r="J8" s="2"/>
      <c r="K8" s="20" t="s">
        <v>93</v>
      </c>
    </row>
    <row r="9" spans="1:12" ht="15" customHeight="1" x14ac:dyDescent="0.25">
      <c r="A9" s="21">
        <v>43047</v>
      </c>
      <c r="B9" s="22">
        <v>0</v>
      </c>
      <c r="C9" s="22">
        <v>1</v>
      </c>
      <c r="D9" s="2">
        <f t="shared" si="0"/>
        <v>-1</v>
      </c>
      <c r="E9" s="23"/>
      <c r="F9" s="23"/>
      <c r="G9" s="23"/>
      <c r="H9" s="23"/>
      <c r="I9" s="23"/>
      <c r="J9" s="23"/>
      <c r="K9" s="43" t="s">
        <v>84</v>
      </c>
    </row>
    <row r="10" spans="1:12" ht="63.75" customHeight="1" x14ac:dyDescent="0.25">
      <c r="A10" s="17">
        <v>43048</v>
      </c>
      <c r="B10" s="18">
        <v>26</v>
      </c>
      <c r="C10" s="18">
        <v>0</v>
      </c>
      <c r="D10" s="2">
        <f t="shared" si="0"/>
        <v>26</v>
      </c>
      <c r="E10" s="2"/>
      <c r="F10" s="2"/>
      <c r="G10" s="2"/>
      <c r="H10" s="2"/>
      <c r="I10" s="2"/>
      <c r="J10" s="2"/>
      <c r="K10" s="19" t="s">
        <v>94</v>
      </c>
      <c r="L10" s="47" t="s">
        <v>95</v>
      </c>
    </row>
    <row r="11" spans="1:12" ht="63" customHeight="1" x14ac:dyDescent="0.25">
      <c r="A11" s="17">
        <v>43052</v>
      </c>
      <c r="B11" s="18">
        <v>27</v>
      </c>
      <c r="C11" s="18">
        <v>0</v>
      </c>
      <c r="D11" s="2">
        <f t="shared" si="0"/>
        <v>27</v>
      </c>
      <c r="E11" s="2"/>
      <c r="F11" s="2"/>
      <c r="G11" s="2"/>
      <c r="H11" s="2"/>
      <c r="I11" s="2"/>
      <c r="J11" s="2"/>
      <c r="K11" s="19" t="s">
        <v>96</v>
      </c>
      <c r="L11" s="44" t="s">
        <v>97</v>
      </c>
    </row>
    <row r="12" spans="1:12" ht="28.5" customHeight="1" x14ac:dyDescent="0.25">
      <c r="A12" s="17">
        <v>43053</v>
      </c>
      <c r="B12" s="18">
        <v>9</v>
      </c>
      <c r="C12" s="18">
        <v>0</v>
      </c>
      <c r="D12" s="2">
        <f t="shared" si="0"/>
        <v>9</v>
      </c>
      <c r="E12" s="2"/>
      <c r="F12" s="2"/>
      <c r="G12" s="2"/>
      <c r="H12" s="2"/>
      <c r="I12" s="2"/>
      <c r="J12" s="2"/>
      <c r="K12" s="19" t="s">
        <v>98</v>
      </c>
    </row>
    <row r="13" spans="1:12" ht="46.5" customHeight="1" x14ac:dyDescent="0.25">
      <c r="A13" s="17">
        <v>43054</v>
      </c>
      <c r="B13" s="18">
        <v>16</v>
      </c>
      <c r="C13" s="18">
        <v>0</v>
      </c>
      <c r="D13" s="2">
        <f t="shared" si="0"/>
        <v>16</v>
      </c>
      <c r="E13" s="2"/>
      <c r="F13" s="2"/>
      <c r="G13" s="2"/>
      <c r="H13" s="2"/>
      <c r="I13" s="2"/>
      <c r="J13" s="2"/>
      <c r="K13" s="19" t="s">
        <v>99</v>
      </c>
    </row>
    <row r="14" spans="1:12" ht="15" customHeight="1" x14ac:dyDescent="0.25">
      <c r="A14" s="17">
        <v>43055</v>
      </c>
      <c r="B14" s="18">
        <v>0</v>
      </c>
      <c r="C14" s="18">
        <v>4</v>
      </c>
      <c r="D14" s="2">
        <f t="shared" si="0"/>
        <v>-4</v>
      </c>
      <c r="E14" s="2"/>
      <c r="F14" s="2"/>
      <c r="G14" s="2"/>
      <c r="H14" s="2"/>
      <c r="I14" s="2"/>
      <c r="J14" s="2"/>
      <c r="K14" s="19" t="s">
        <v>100</v>
      </c>
    </row>
    <row r="15" spans="1:12" x14ac:dyDescent="0.25">
      <c r="A15" s="17">
        <v>43056</v>
      </c>
      <c r="B15" s="18">
        <v>10</v>
      </c>
      <c r="C15" s="18">
        <v>0</v>
      </c>
      <c r="D15" s="2">
        <f t="shared" si="0"/>
        <v>10</v>
      </c>
      <c r="E15" s="2"/>
      <c r="F15" s="2"/>
      <c r="G15" s="2"/>
      <c r="H15" s="2"/>
      <c r="I15" s="2"/>
      <c r="J15" s="2"/>
      <c r="K15" s="20" t="s">
        <v>101</v>
      </c>
    </row>
    <row r="16" spans="1:12" x14ac:dyDescent="0.25">
      <c r="A16" s="17">
        <v>43059</v>
      </c>
      <c r="B16" s="18">
        <v>0</v>
      </c>
      <c r="C16" s="18">
        <v>4</v>
      </c>
      <c r="D16" s="2">
        <f t="shared" si="0"/>
        <v>-4</v>
      </c>
      <c r="E16" s="2"/>
      <c r="F16" s="2"/>
      <c r="G16" s="2"/>
      <c r="H16" s="2"/>
      <c r="I16" s="2"/>
      <c r="J16" s="2"/>
      <c r="K16" s="19" t="s">
        <v>102</v>
      </c>
    </row>
    <row r="17" spans="1:12" x14ac:dyDescent="0.25">
      <c r="A17" s="17">
        <v>43061</v>
      </c>
      <c r="B17" s="18">
        <v>0</v>
      </c>
      <c r="C17" s="18">
        <v>3</v>
      </c>
      <c r="D17" s="2">
        <f t="shared" si="0"/>
        <v>-3</v>
      </c>
      <c r="E17" s="2"/>
      <c r="F17" s="2"/>
      <c r="G17" s="2"/>
      <c r="H17" s="2"/>
      <c r="I17" s="2"/>
      <c r="J17" s="2"/>
      <c r="K17" s="19" t="s">
        <v>103</v>
      </c>
    </row>
    <row r="18" spans="1:12" ht="45" x14ac:dyDescent="0.25">
      <c r="A18" s="17">
        <v>43061</v>
      </c>
      <c r="B18" s="18">
        <v>19</v>
      </c>
      <c r="C18" s="18">
        <v>0</v>
      </c>
      <c r="D18" s="2">
        <f t="shared" si="0"/>
        <v>19</v>
      </c>
      <c r="E18" s="2"/>
      <c r="F18" s="2"/>
      <c r="G18" s="2"/>
      <c r="H18" s="2"/>
      <c r="I18" s="2"/>
      <c r="J18" s="2"/>
      <c r="K18" s="19" t="s">
        <v>104</v>
      </c>
    </row>
    <row r="19" spans="1:12" ht="44.25" customHeight="1" x14ac:dyDescent="0.25">
      <c r="A19" s="17">
        <v>43061</v>
      </c>
      <c r="B19" s="18">
        <v>14</v>
      </c>
      <c r="C19" s="18">
        <v>0</v>
      </c>
      <c r="D19" s="2">
        <f t="shared" si="0"/>
        <v>14</v>
      </c>
      <c r="E19" s="2"/>
      <c r="F19" s="2"/>
      <c r="G19" s="2"/>
      <c r="H19" s="2"/>
      <c r="I19" s="2"/>
      <c r="J19" s="2"/>
      <c r="K19" s="19" t="s">
        <v>105</v>
      </c>
    </row>
    <row r="20" spans="1:12" ht="45" x14ac:dyDescent="0.25">
      <c r="A20" s="17">
        <v>43063</v>
      </c>
      <c r="B20" s="18">
        <v>0</v>
      </c>
      <c r="C20" s="18">
        <v>13</v>
      </c>
      <c r="D20" s="2">
        <f t="shared" si="0"/>
        <v>-13</v>
      </c>
      <c r="E20" s="2"/>
      <c r="F20" s="2"/>
      <c r="G20" s="2"/>
      <c r="H20" s="2"/>
      <c r="I20" s="2"/>
      <c r="J20" s="2"/>
      <c r="K20" s="19" t="s">
        <v>106</v>
      </c>
    </row>
    <row r="21" spans="1:12" ht="30.75" customHeight="1" x14ac:dyDescent="0.25">
      <c r="A21" s="21">
        <v>43066</v>
      </c>
      <c r="B21" s="22">
        <v>0</v>
      </c>
      <c r="C21" s="22">
        <v>0</v>
      </c>
      <c r="D21" s="2">
        <f t="shared" si="0"/>
        <v>0</v>
      </c>
      <c r="E21" s="23">
        <v>18</v>
      </c>
      <c r="F21" s="23"/>
      <c r="G21" s="23"/>
      <c r="H21" s="23"/>
      <c r="I21" s="23"/>
      <c r="J21" s="23"/>
      <c r="K21" s="26" t="s">
        <v>107</v>
      </c>
      <c r="L21" s="27" t="s">
        <v>108</v>
      </c>
    </row>
    <row r="22" spans="1:12" ht="60.75" customHeight="1" x14ac:dyDescent="0.25">
      <c r="A22" s="17">
        <v>43066</v>
      </c>
      <c r="B22" s="18">
        <v>0</v>
      </c>
      <c r="C22" s="18">
        <v>21</v>
      </c>
      <c r="D22" s="2">
        <f t="shared" si="0"/>
        <v>-21</v>
      </c>
      <c r="E22" s="2"/>
      <c r="F22" s="2"/>
      <c r="G22" s="2"/>
      <c r="H22" s="2"/>
      <c r="I22" s="2"/>
      <c r="J22" s="2"/>
      <c r="K22" s="19" t="s">
        <v>109</v>
      </c>
    </row>
    <row r="23" spans="1:12" ht="29.25" customHeight="1" x14ac:dyDescent="0.25">
      <c r="A23" s="17">
        <v>43067</v>
      </c>
      <c r="B23" s="18">
        <v>0</v>
      </c>
      <c r="C23" s="18">
        <v>1</v>
      </c>
      <c r="D23" s="2">
        <f t="shared" si="0"/>
        <v>-1</v>
      </c>
      <c r="E23" s="2"/>
      <c r="F23" s="2"/>
      <c r="G23" s="2"/>
      <c r="H23" s="2"/>
      <c r="I23" s="2"/>
      <c r="J23" s="2"/>
      <c r="K23" s="45">
        <v>479307</v>
      </c>
    </row>
    <row r="24" spans="1:12" ht="45.75" customHeight="1" x14ac:dyDescent="0.25">
      <c r="A24" s="17">
        <v>43068</v>
      </c>
      <c r="B24" s="18">
        <v>12</v>
      </c>
      <c r="C24" s="18">
        <v>0</v>
      </c>
      <c r="D24" s="2">
        <f t="shared" si="0"/>
        <v>12</v>
      </c>
      <c r="E24" s="2"/>
      <c r="F24" s="2"/>
      <c r="G24" s="2"/>
      <c r="H24" s="2"/>
      <c r="I24" s="2"/>
      <c r="J24" s="2"/>
      <c r="K24" s="19" t="s">
        <v>110</v>
      </c>
    </row>
    <row r="25" spans="1:12" ht="39" customHeight="1" x14ac:dyDescent="0.25">
      <c r="A25" s="17">
        <v>43068</v>
      </c>
      <c r="B25" s="18">
        <v>18</v>
      </c>
      <c r="C25" s="18">
        <v>0</v>
      </c>
      <c r="D25" s="2">
        <f t="shared" si="0"/>
        <v>18</v>
      </c>
      <c r="E25" s="2"/>
      <c r="F25" s="2"/>
      <c r="G25" s="2"/>
      <c r="H25" s="2"/>
      <c r="I25" s="2"/>
      <c r="J25" s="2"/>
      <c r="K25" s="19" t="s">
        <v>111</v>
      </c>
    </row>
    <row r="26" spans="1:12"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ios80Uev4XmTctGxHlDNWEdbl+uGp0bsNfSs7ZJTBv5/1enqcyLrNSnyjxoCo9LGlJuG0NWRZTbqITQ4uZ64Ag==" saltValue="Tq7cA6mOGZB6+2okCgbl/w==" spinCount="100000" sheet="1" objects="1" scenarios="1" selectLockedCells="1" selectUnlockedCells="1"/>
  <customSheetViews>
    <customSheetView guid="{E5A7B818-645B-417C-A128-9FE559D9B124}" fitToPage="1">
      <pane ySplit="6" topLeftCell="A7" activePane="bottomLeft" state="frozen"/>
      <selection pane="bottomLeft" activeCell="G33" sqref="G33"/>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11" priority="1" operator="lessThan">
      <formula>0</formula>
    </cfRule>
    <cfRule type="cellIs" dxfId="21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5">
    <pageSetUpPr fitToPage="1"/>
  </sheetPr>
  <dimension ref="A1:L44"/>
  <sheetViews>
    <sheetView workbookViewId="0">
      <pane ySplit="6" topLeftCell="A7" activePane="bottomLeft" state="frozen"/>
      <selection pane="bottomLeft" activeCell="H15" sqref="H1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f>
        <v>420</v>
      </c>
    </row>
    <row r="2" spans="1:12" ht="19.5" thickBot="1" x14ac:dyDescent="0.35">
      <c r="A2" s="5"/>
      <c r="B2" s="2"/>
      <c r="C2" s="2"/>
      <c r="D2" s="2"/>
      <c r="E2" s="2"/>
      <c r="F2" s="6" t="s">
        <v>1</v>
      </c>
      <c r="G2" s="2"/>
      <c r="H2" s="2"/>
      <c r="I2" s="2"/>
      <c r="J2" s="41" t="s">
        <v>38</v>
      </c>
      <c r="K2" s="42">
        <f>K1-F6</f>
        <v>143</v>
      </c>
    </row>
    <row r="3" spans="1:12" ht="15.75" thickBot="1" x14ac:dyDescent="0.3">
      <c r="A3" s="5"/>
      <c r="B3" s="2"/>
      <c r="C3" s="2"/>
      <c r="D3" s="2"/>
      <c r="E3" s="2"/>
      <c r="F3" s="2">
        <f>'11.17'!F6</f>
        <v>357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277</v>
      </c>
      <c r="G6" s="30">
        <f>SUM(B:B)</f>
        <v>27</v>
      </c>
      <c r="H6" s="30">
        <f>SUM(C:C)</f>
        <v>107</v>
      </c>
      <c r="I6" s="30"/>
      <c r="J6" s="33">
        <f>SUM(G6:H6)+SUM(E:E)</f>
        <v>134</v>
      </c>
      <c r="K6" s="34"/>
      <c r="L6" s="50">
        <f>J6/K1</f>
        <v>0.31904761904761902</v>
      </c>
    </row>
    <row r="7" spans="1:12" ht="15" customHeight="1" x14ac:dyDescent="0.25">
      <c r="A7" s="17">
        <v>43070</v>
      </c>
      <c r="B7" s="18">
        <v>0</v>
      </c>
      <c r="C7" s="18">
        <v>9</v>
      </c>
      <c r="D7" s="2">
        <f t="shared" ref="D7:D44" si="0">B7-C7</f>
        <v>-9</v>
      </c>
      <c r="E7" s="2"/>
      <c r="F7" s="2"/>
      <c r="G7" s="2"/>
      <c r="H7" s="2"/>
      <c r="I7" s="2"/>
      <c r="J7" s="2"/>
      <c r="K7" s="19" t="s">
        <v>112</v>
      </c>
    </row>
    <row r="8" spans="1:12" ht="58.5" customHeight="1" x14ac:dyDescent="0.25">
      <c r="A8" s="17">
        <v>43076</v>
      </c>
      <c r="B8" s="18">
        <v>0</v>
      </c>
      <c r="C8" s="18">
        <v>21</v>
      </c>
      <c r="D8" s="2">
        <f t="shared" si="0"/>
        <v>-21</v>
      </c>
      <c r="E8" s="2"/>
      <c r="F8" s="2"/>
      <c r="G8" s="2"/>
      <c r="H8" s="2"/>
      <c r="I8" s="2"/>
      <c r="J8" s="2"/>
      <c r="K8" s="19" t="s">
        <v>113</v>
      </c>
    </row>
    <row r="9" spans="1:12" ht="69" customHeight="1" x14ac:dyDescent="0.25">
      <c r="A9" s="21">
        <v>43081</v>
      </c>
      <c r="B9" s="22">
        <v>0</v>
      </c>
      <c r="C9" s="22">
        <v>23</v>
      </c>
      <c r="D9" s="2">
        <f t="shared" si="0"/>
        <v>-23</v>
      </c>
      <c r="E9" s="23"/>
      <c r="F9" s="23"/>
      <c r="G9" s="23"/>
      <c r="H9" s="23"/>
      <c r="I9" s="23"/>
      <c r="J9" s="23"/>
      <c r="K9" s="48" t="s">
        <v>114</v>
      </c>
    </row>
    <row r="10" spans="1:12" ht="15" customHeight="1" x14ac:dyDescent="0.3">
      <c r="A10" s="17">
        <v>43081</v>
      </c>
      <c r="B10" s="18">
        <v>6</v>
      </c>
      <c r="C10" s="18">
        <v>0</v>
      </c>
      <c r="D10" s="2">
        <f t="shared" si="0"/>
        <v>6</v>
      </c>
      <c r="E10" s="2"/>
      <c r="F10" s="2"/>
      <c r="G10" s="2"/>
      <c r="H10" s="2"/>
      <c r="I10" s="2"/>
      <c r="J10" s="2"/>
      <c r="K10" s="19" t="s">
        <v>115</v>
      </c>
      <c r="L10" s="38"/>
    </row>
    <row r="11" spans="1:12" ht="15" customHeight="1" x14ac:dyDescent="0.3">
      <c r="A11" s="17">
        <v>43083</v>
      </c>
      <c r="B11" s="18">
        <v>0</v>
      </c>
      <c r="C11" s="18">
        <v>5</v>
      </c>
      <c r="D11" s="2">
        <f t="shared" si="0"/>
        <v>-5</v>
      </c>
      <c r="E11" s="2"/>
      <c r="F11" s="2"/>
      <c r="G11" s="2"/>
      <c r="H11" s="2"/>
      <c r="I11" s="2"/>
      <c r="J11" s="2"/>
      <c r="K11" s="19" t="s">
        <v>116</v>
      </c>
      <c r="L11" s="44"/>
    </row>
    <row r="12" spans="1:12" ht="54" customHeight="1" x14ac:dyDescent="0.25">
      <c r="A12" s="17">
        <v>43084</v>
      </c>
      <c r="B12" s="18">
        <v>21</v>
      </c>
      <c r="C12" s="18">
        <v>0</v>
      </c>
      <c r="D12" s="2">
        <f t="shared" si="0"/>
        <v>21</v>
      </c>
      <c r="E12" s="2"/>
      <c r="F12" s="2"/>
      <c r="G12" s="2"/>
      <c r="H12" s="2"/>
      <c r="I12" s="2"/>
      <c r="J12" s="2"/>
      <c r="K12" s="19" t="s">
        <v>117</v>
      </c>
    </row>
    <row r="13" spans="1:12" ht="98.25" customHeight="1" x14ac:dyDescent="0.25">
      <c r="A13" s="17">
        <v>43087</v>
      </c>
      <c r="B13" s="18">
        <v>0</v>
      </c>
      <c r="C13" s="18">
        <v>41</v>
      </c>
      <c r="D13" s="2">
        <f t="shared" si="0"/>
        <v>-41</v>
      </c>
      <c r="E13" s="2"/>
      <c r="F13" s="2"/>
      <c r="G13" s="2"/>
      <c r="H13" s="2"/>
      <c r="I13" s="2"/>
      <c r="J13" s="2"/>
      <c r="K13" s="19" t="s">
        <v>118</v>
      </c>
    </row>
    <row r="14" spans="1:12" ht="15" customHeight="1" x14ac:dyDescent="0.25">
      <c r="A14" s="17">
        <v>43090</v>
      </c>
      <c r="B14" s="18">
        <v>0</v>
      </c>
      <c r="C14" s="18">
        <v>7</v>
      </c>
      <c r="D14" s="2">
        <f t="shared" si="0"/>
        <v>-7</v>
      </c>
      <c r="E14" s="2"/>
      <c r="F14" s="2"/>
      <c r="G14" s="2"/>
      <c r="H14" s="2"/>
      <c r="I14" s="2"/>
      <c r="J14" s="2"/>
      <c r="K14" s="19" t="s">
        <v>119</v>
      </c>
    </row>
    <row r="15" spans="1:12" ht="15" customHeight="1" x14ac:dyDescent="0.25">
      <c r="A15" s="17">
        <v>43098</v>
      </c>
      <c r="B15" s="18">
        <v>0</v>
      </c>
      <c r="C15" s="18">
        <v>1</v>
      </c>
      <c r="D15" s="2">
        <f t="shared" si="0"/>
        <v>-1</v>
      </c>
      <c r="E15" s="2"/>
      <c r="F15" s="2"/>
      <c r="G15" s="2"/>
      <c r="H15" s="2"/>
      <c r="I15" s="2"/>
      <c r="J15" s="2"/>
      <c r="K15" s="20">
        <v>457463</v>
      </c>
    </row>
    <row r="16" spans="1:12" ht="15" customHeight="1" x14ac:dyDescent="0.25">
      <c r="A16" s="17"/>
      <c r="B16" s="18"/>
      <c r="C16" s="18"/>
      <c r="D16" s="2">
        <f t="shared" si="0"/>
        <v>0</v>
      </c>
      <c r="E16" s="2"/>
      <c r="F16" s="2"/>
      <c r="G16" s="2"/>
      <c r="H16" s="2"/>
      <c r="I16" s="2"/>
      <c r="J16" s="2"/>
      <c r="K16" s="19"/>
    </row>
    <row r="17" spans="1:11" ht="15" customHeight="1" x14ac:dyDescent="0.25">
      <c r="A17" s="17"/>
      <c r="B17" s="18"/>
      <c r="C17" s="18"/>
      <c r="D17" s="2">
        <f t="shared" si="0"/>
        <v>0</v>
      </c>
      <c r="E17" s="2"/>
      <c r="F17" s="2"/>
      <c r="G17" s="2"/>
      <c r="H17" s="2"/>
      <c r="I17" s="2"/>
      <c r="J17" s="2"/>
      <c r="K17" s="19"/>
    </row>
    <row r="18" spans="1:11" ht="15" customHeight="1" x14ac:dyDescent="0.25">
      <c r="A18" s="17"/>
      <c r="B18" s="18"/>
      <c r="C18" s="18"/>
      <c r="D18" s="2">
        <f t="shared" si="0"/>
        <v>0</v>
      </c>
      <c r="E18" s="2"/>
      <c r="F18" s="2"/>
      <c r="G18" s="2"/>
      <c r="H18" s="2"/>
      <c r="I18" s="2"/>
      <c r="J18" s="2"/>
      <c r="K18" s="19"/>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6"/>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eD+U6g1UifXCepxXydPNwlb/09c6YqEO6o5YNazfagKaK5qM5P13hZUz4Wj9kSjb13zaUYpxxt+t0Z+OQh+IAA==" saltValue="N1BaRPO18QC6GNnON0L39g==" spinCount="100000" sheet="1" objects="1" scenarios="1" selectLockedCells="1" selectUnlockedCells="1"/>
  <customSheetViews>
    <customSheetView guid="{E5A7B818-645B-417C-A128-9FE559D9B124}" fitToPage="1">
      <pane ySplit="6" topLeftCell="A7" activePane="bottomLeft" state="frozen"/>
      <selection pane="bottomLeft" activeCell="H15" sqref="H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09" priority="1" operator="lessThan">
      <formula>0</formula>
    </cfRule>
    <cfRule type="cellIs" dxfId="20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6">
    <pageSetUpPr fitToPage="1"/>
  </sheetPr>
  <dimension ref="A1:L44"/>
  <sheetViews>
    <sheetView workbookViewId="0">
      <pane ySplit="6" topLeftCell="A19" activePane="bottomLeft" state="frozen"/>
      <selection pane="bottomLeft" activeCell="F16" sqref="F1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f>
        <v>456</v>
      </c>
    </row>
    <row r="2" spans="1:12" ht="19.5" thickBot="1" x14ac:dyDescent="0.35">
      <c r="A2" s="5"/>
      <c r="B2" s="2"/>
      <c r="C2" s="2"/>
      <c r="D2" s="2"/>
      <c r="E2" s="2"/>
      <c r="F2" s="6" t="s">
        <v>1</v>
      </c>
      <c r="G2" s="2"/>
      <c r="H2" s="2"/>
      <c r="I2" s="2"/>
      <c r="J2" s="41" t="s">
        <v>38</v>
      </c>
      <c r="K2" s="42">
        <f>K1-F6</f>
        <v>33</v>
      </c>
    </row>
    <row r="3" spans="1:12" ht="15.75" thickBot="1" x14ac:dyDescent="0.3">
      <c r="A3" s="5"/>
      <c r="B3" s="2"/>
      <c r="C3" s="2"/>
      <c r="D3" s="2"/>
      <c r="E3" s="2"/>
      <c r="F3" s="2">
        <f>'12.17'!F6</f>
        <v>277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423</v>
      </c>
      <c r="G6" s="30">
        <f>SUM(B:B)</f>
        <v>252</v>
      </c>
      <c r="H6" s="30">
        <f>SUM(C:C)</f>
        <v>106</v>
      </c>
      <c r="I6" s="30"/>
      <c r="J6" s="33">
        <f>SUM(G6:H6)+SUM(E:E)</f>
        <v>401</v>
      </c>
      <c r="K6" s="34"/>
      <c r="L6" s="50">
        <f>J6/K1</f>
        <v>0.87938596491228072</v>
      </c>
    </row>
    <row r="7" spans="1:12" ht="36.75" customHeight="1" x14ac:dyDescent="0.25">
      <c r="A7" s="17">
        <v>43103</v>
      </c>
      <c r="B7" s="18">
        <v>1</v>
      </c>
      <c r="C7" s="18">
        <v>17</v>
      </c>
      <c r="D7" s="2">
        <f t="shared" ref="D7:D44" si="0">B7-C7</f>
        <v>-16</v>
      </c>
      <c r="E7" s="2"/>
      <c r="F7" s="2"/>
      <c r="G7" s="2"/>
      <c r="H7" s="2"/>
      <c r="I7" s="2"/>
      <c r="J7" s="2"/>
      <c r="K7" s="19" t="s">
        <v>120</v>
      </c>
    </row>
    <row r="8" spans="1:12" ht="74.25" customHeight="1" x14ac:dyDescent="0.25">
      <c r="A8" s="17">
        <v>43103</v>
      </c>
      <c r="B8" s="18">
        <v>40</v>
      </c>
      <c r="C8" s="18">
        <v>0</v>
      </c>
      <c r="D8" s="2">
        <f t="shared" si="0"/>
        <v>40</v>
      </c>
      <c r="E8" s="2"/>
      <c r="F8" s="2"/>
      <c r="G8" s="2"/>
      <c r="H8" s="2"/>
      <c r="I8" s="2"/>
      <c r="J8" s="2"/>
      <c r="K8" s="19" t="s">
        <v>121</v>
      </c>
    </row>
    <row r="9" spans="1:12" ht="51" customHeight="1" x14ac:dyDescent="0.25">
      <c r="A9" s="21">
        <v>43109</v>
      </c>
      <c r="B9" s="22">
        <v>0</v>
      </c>
      <c r="C9" s="22">
        <v>15</v>
      </c>
      <c r="D9" s="2">
        <f t="shared" si="0"/>
        <v>-15</v>
      </c>
      <c r="E9" s="23"/>
      <c r="F9" s="23"/>
      <c r="G9" s="23"/>
      <c r="H9" s="23"/>
      <c r="I9" s="23"/>
      <c r="J9" s="23"/>
      <c r="K9" s="48" t="s">
        <v>122</v>
      </c>
    </row>
    <row r="10" spans="1:12" ht="15" customHeight="1" x14ac:dyDescent="0.3">
      <c r="A10" s="17">
        <v>43109</v>
      </c>
      <c r="B10" s="18">
        <v>5</v>
      </c>
      <c r="C10" s="18">
        <v>0</v>
      </c>
      <c r="D10" s="2">
        <f t="shared" si="0"/>
        <v>5</v>
      </c>
      <c r="E10" s="2"/>
      <c r="F10" s="2"/>
      <c r="G10" s="2"/>
      <c r="H10" s="2"/>
      <c r="I10" s="2"/>
      <c r="J10" s="2"/>
      <c r="K10" s="19" t="s">
        <v>123</v>
      </c>
      <c r="L10" s="38"/>
    </row>
    <row r="11" spans="1:12" ht="37.5" customHeight="1" x14ac:dyDescent="0.3">
      <c r="A11" s="17">
        <v>43110</v>
      </c>
      <c r="B11" s="18">
        <v>15</v>
      </c>
      <c r="C11" s="18">
        <v>0</v>
      </c>
      <c r="D11" s="2">
        <f t="shared" si="0"/>
        <v>15</v>
      </c>
      <c r="E11" s="2"/>
      <c r="F11" s="2"/>
      <c r="G11" s="2"/>
      <c r="H11" s="2"/>
      <c r="I11" s="2"/>
      <c r="J11" s="2"/>
      <c r="K11" s="19" t="s">
        <v>124</v>
      </c>
      <c r="L11" s="44"/>
    </row>
    <row r="12" spans="1:12" ht="15" customHeight="1" x14ac:dyDescent="0.25">
      <c r="A12" s="17">
        <v>43112</v>
      </c>
      <c r="B12" s="18">
        <v>0</v>
      </c>
      <c r="C12" s="18">
        <v>7</v>
      </c>
      <c r="D12" s="2">
        <f t="shared" si="0"/>
        <v>-7</v>
      </c>
      <c r="E12" s="2"/>
      <c r="F12" s="2"/>
      <c r="G12" s="2"/>
      <c r="H12" s="2"/>
      <c r="I12" s="2"/>
      <c r="J12" s="2"/>
      <c r="K12" s="19" t="s">
        <v>125</v>
      </c>
    </row>
    <row r="13" spans="1:12" ht="15" customHeight="1" x14ac:dyDescent="0.25">
      <c r="A13" s="17">
        <v>43112</v>
      </c>
      <c r="B13" s="18">
        <v>0</v>
      </c>
      <c r="C13" s="18">
        <v>1</v>
      </c>
      <c r="D13" s="2">
        <f t="shared" si="0"/>
        <v>-1</v>
      </c>
      <c r="E13" s="2"/>
      <c r="F13" s="2"/>
      <c r="G13" s="2"/>
      <c r="H13" s="2"/>
      <c r="I13" s="2"/>
      <c r="J13" s="2"/>
      <c r="K13" s="19">
        <v>20</v>
      </c>
    </row>
    <row r="14" spans="1:12" ht="46.5" customHeight="1" x14ac:dyDescent="0.25">
      <c r="A14" s="17">
        <v>43112</v>
      </c>
      <c r="B14" s="18">
        <v>18</v>
      </c>
      <c r="C14" s="18">
        <v>0</v>
      </c>
      <c r="D14" s="2">
        <f t="shared" si="0"/>
        <v>18</v>
      </c>
      <c r="E14" s="2"/>
      <c r="F14" s="2"/>
      <c r="G14" s="2"/>
      <c r="H14" s="2"/>
      <c r="I14" s="2"/>
      <c r="J14" s="2"/>
      <c r="K14" s="19" t="s">
        <v>126</v>
      </c>
    </row>
    <row r="15" spans="1:12" ht="41.25" customHeight="1" x14ac:dyDescent="0.25">
      <c r="A15" s="17">
        <v>43116</v>
      </c>
      <c r="B15" s="18">
        <v>0</v>
      </c>
      <c r="C15" s="18">
        <v>13</v>
      </c>
      <c r="D15" s="2">
        <f t="shared" si="0"/>
        <v>-13</v>
      </c>
      <c r="E15" s="2"/>
      <c r="F15" s="2"/>
      <c r="G15" s="2"/>
      <c r="H15" s="2"/>
      <c r="I15" s="2"/>
      <c r="J15" s="2"/>
      <c r="K15" s="19" t="s">
        <v>127</v>
      </c>
    </row>
    <row r="16" spans="1:12" ht="33.75" customHeight="1" x14ac:dyDescent="0.25">
      <c r="A16" s="17">
        <v>43116</v>
      </c>
      <c r="B16" s="18">
        <v>19</v>
      </c>
      <c r="C16" s="18">
        <v>0</v>
      </c>
      <c r="D16" s="2">
        <f t="shared" si="0"/>
        <v>19</v>
      </c>
      <c r="E16" s="2"/>
      <c r="F16" s="2"/>
      <c r="G16" s="2"/>
      <c r="H16" s="2"/>
      <c r="I16" s="2"/>
      <c r="J16" s="2"/>
      <c r="K16" s="19" t="s">
        <v>128</v>
      </c>
    </row>
    <row r="17" spans="1:12" ht="99" customHeight="1" x14ac:dyDescent="0.25">
      <c r="A17" s="17">
        <v>43117</v>
      </c>
      <c r="B17" s="18">
        <v>51</v>
      </c>
      <c r="C17" s="18">
        <v>0</v>
      </c>
      <c r="D17" s="2">
        <f t="shared" si="0"/>
        <v>51</v>
      </c>
      <c r="E17" s="2"/>
      <c r="F17" s="2"/>
      <c r="G17" s="2"/>
      <c r="H17" s="2"/>
      <c r="I17" s="2"/>
      <c r="J17" s="2"/>
      <c r="K17" s="19" t="s">
        <v>129</v>
      </c>
    </row>
    <row r="18" spans="1:12" ht="21.75" customHeight="1" x14ac:dyDescent="0.25">
      <c r="A18" s="17">
        <v>43117</v>
      </c>
      <c r="B18" s="18">
        <v>0</v>
      </c>
      <c r="C18" s="18">
        <v>1</v>
      </c>
      <c r="D18" s="2">
        <f t="shared" si="0"/>
        <v>-1</v>
      </c>
      <c r="E18" s="2"/>
      <c r="F18" s="2"/>
      <c r="G18" s="2"/>
      <c r="H18" s="2"/>
      <c r="I18" s="2"/>
      <c r="J18" s="2"/>
      <c r="K18" s="19" t="s">
        <v>130</v>
      </c>
    </row>
    <row r="19" spans="1:12" ht="38.25" customHeight="1" x14ac:dyDescent="0.25">
      <c r="A19" s="17">
        <v>43119</v>
      </c>
      <c r="B19" s="18">
        <v>0</v>
      </c>
      <c r="C19" s="18">
        <v>19</v>
      </c>
      <c r="D19" s="2">
        <f t="shared" si="0"/>
        <v>-19</v>
      </c>
      <c r="E19" s="2"/>
      <c r="F19" s="2"/>
      <c r="G19" s="2"/>
      <c r="H19" s="2"/>
      <c r="I19" s="2"/>
      <c r="J19" s="2"/>
      <c r="K19" s="19" t="s">
        <v>131</v>
      </c>
    </row>
    <row r="20" spans="1:12" ht="21" customHeight="1" x14ac:dyDescent="0.25">
      <c r="A20" s="17">
        <v>43119</v>
      </c>
      <c r="B20" s="18">
        <v>0</v>
      </c>
      <c r="C20" s="18">
        <v>10</v>
      </c>
      <c r="D20" s="2">
        <f t="shared" si="0"/>
        <v>-10</v>
      </c>
      <c r="E20" s="2"/>
      <c r="F20" s="2"/>
      <c r="G20" s="2"/>
      <c r="H20" s="2"/>
      <c r="I20" s="2"/>
      <c r="J20" s="2"/>
      <c r="K20" s="19" t="s">
        <v>132</v>
      </c>
    </row>
    <row r="21" spans="1:12" ht="15" customHeight="1" x14ac:dyDescent="0.25">
      <c r="A21" s="21">
        <v>43122</v>
      </c>
      <c r="B21" s="22">
        <v>0</v>
      </c>
      <c r="C21" s="22">
        <v>8</v>
      </c>
      <c r="D21" s="2">
        <f t="shared" si="0"/>
        <v>-8</v>
      </c>
      <c r="E21" s="23"/>
      <c r="F21" s="23"/>
      <c r="G21" s="23"/>
      <c r="H21" s="23"/>
      <c r="I21" s="23"/>
      <c r="J21" s="23"/>
      <c r="K21" s="26" t="s">
        <v>133</v>
      </c>
    </row>
    <row r="22" spans="1:12" ht="15" customHeight="1" x14ac:dyDescent="0.25">
      <c r="A22" s="17">
        <v>43122</v>
      </c>
      <c r="B22" s="18">
        <v>0</v>
      </c>
      <c r="C22" s="18">
        <v>0</v>
      </c>
      <c r="D22" s="2">
        <f t="shared" si="0"/>
        <v>0</v>
      </c>
      <c r="E22" s="2">
        <v>43</v>
      </c>
      <c r="F22" s="2"/>
      <c r="G22" s="2"/>
      <c r="H22" s="2"/>
      <c r="I22" s="2"/>
      <c r="J22" s="2"/>
      <c r="K22" s="19" t="s">
        <v>107</v>
      </c>
    </row>
    <row r="23" spans="1:12" ht="117.75" customHeight="1" x14ac:dyDescent="0.25">
      <c r="A23" s="17">
        <v>43123</v>
      </c>
      <c r="B23" s="18">
        <v>70</v>
      </c>
      <c r="C23" s="18">
        <v>0</v>
      </c>
      <c r="D23" s="2">
        <f t="shared" si="0"/>
        <v>70</v>
      </c>
      <c r="E23" s="2"/>
      <c r="F23" s="2"/>
      <c r="G23" s="2"/>
      <c r="H23" s="2"/>
      <c r="I23" s="2"/>
      <c r="J23" s="2"/>
      <c r="K23" s="49" t="s">
        <v>134</v>
      </c>
    </row>
    <row r="24" spans="1:12" ht="38.25" customHeight="1" x14ac:dyDescent="0.3">
      <c r="A24" s="17">
        <v>43124</v>
      </c>
      <c r="B24" s="18">
        <v>18</v>
      </c>
      <c r="C24" s="18">
        <v>0</v>
      </c>
      <c r="D24" s="2">
        <f t="shared" si="0"/>
        <v>18</v>
      </c>
      <c r="E24" s="2"/>
      <c r="F24" s="2"/>
      <c r="G24" s="2"/>
      <c r="H24" s="2"/>
      <c r="I24" s="2"/>
      <c r="J24" s="2"/>
      <c r="K24" s="19" t="s">
        <v>135</v>
      </c>
      <c r="L24" s="38" t="s">
        <v>136</v>
      </c>
    </row>
    <row r="25" spans="1:12" ht="37.5" customHeight="1" x14ac:dyDescent="0.25">
      <c r="A25" s="17">
        <v>43126</v>
      </c>
      <c r="B25" s="18">
        <v>0</v>
      </c>
      <c r="C25" s="18">
        <v>15</v>
      </c>
      <c r="D25" s="2">
        <f t="shared" si="0"/>
        <v>-15</v>
      </c>
      <c r="E25" s="2"/>
      <c r="F25" s="2"/>
      <c r="G25" s="2"/>
      <c r="H25" s="2"/>
      <c r="I25" s="2"/>
      <c r="J25" s="2"/>
      <c r="K25" s="19" t="s">
        <v>137</v>
      </c>
    </row>
    <row r="26" spans="1:12" ht="39" customHeight="1" x14ac:dyDescent="0.25">
      <c r="A26" s="17">
        <v>43130</v>
      </c>
      <c r="B26" s="18">
        <v>15</v>
      </c>
      <c r="C26" s="18">
        <v>0</v>
      </c>
      <c r="D26" s="2">
        <f t="shared" si="0"/>
        <v>15</v>
      </c>
      <c r="E26" s="2"/>
      <c r="F26" s="2"/>
      <c r="G26" s="2"/>
      <c r="H26" s="2"/>
      <c r="I26" s="2"/>
      <c r="J26" s="2"/>
      <c r="K26" s="19" t="s">
        <v>138</v>
      </c>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t69SpOY7QhNCzPK/IjRi+WiuXl+zE3hkglfL9UeS7RGBXV7uJH7igDuxd/5Pn3vZvakRFLtHFpN0ATwT+MUG1Q==" saltValue="wZX/F1h3ZcIQc9mW2l71oQ==" spinCount="100000" sheet="1" objects="1" scenarios="1" selectLockedCells="1" selectUnlockedCells="1"/>
  <customSheetViews>
    <customSheetView guid="{E5A7B818-645B-417C-A128-9FE559D9B124}" fitToPage="1">
      <pane ySplit="6" topLeftCell="A19" activePane="bottomLeft" state="frozen"/>
      <selection pane="bottomLeft" activeCell="F16" sqref="F1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07" priority="1" operator="lessThan">
      <formula>0</formula>
    </cfRule>
    <cfRule type="cellIs" dxfId="20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7">
    <pageSetUpPr fitToPage="1"/>
  </sheetPr>
  <dimension ref="A1:L44"/>
  <sheetViews>
    <sheetView workbookViewId="0">
      <pane ySplit="6" topLeftCell="A7" activePane="bottomLeft" state="frozen"/>
      <selection pane="bottomLeft" activeCell="L11" sqref="L11"/>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f>
        <v>492</v>
      </c>
    </row>
    <row r="2" spans="1:12" ht="19.5" thickBot="1" x14ac:dyDescent="0.35">
      <c r="A2" s="5"/>
      <c r="B2" s="2"/>
      <c r="C2" s="2"/>
      <c r="D2" s="2"/>
      <c r="E2" s="2"/>
      <c r="F2" s="6" t="s">
        <v>1</v>
      </c>
      <c r="G2" s="2"/>
      <c r="H2" s="2"/>
      <c r="I2" s="2"/>
      <c r="J2" s="41" t="s">
        <v>38</v>
      </c>
      <c r="K2" s="42">
        <f>K1-F6</f>
        <v>74</v>
      </c>
    </row>
    <row r="3" spans="1:12" ht="15.75" thickBot="1" x14ac:dyDescent="0.3">
      <c r="A3" s="5"/>
      <c r="B3" s="2"/>
      <c r="C3" s="2"/>
      <c r="D3" s="2"/>
      <c r="E3" s="2"/>
      <c r="F3" s="2">
        <f>'01.18'!F6</f>
        <v>423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418</v>
      </c>
      <c r="G6" s="30">
        <f>SUM(B:B)</f>
        <v>123</v>
      </c>
      <c r="H6" s="30">
        <f>SUM(C:C)</f>
        <v>128</v>
      </c>
      <c r="I6" s="30"/>
      <c r="J6" s="33">
        <f>SUM(G6:H6)+SUM(E:E)</f>
        <v>303</v>
      </c>
      <c r="K6" s="34"/>
      <c r="L6" s="50">
        <f>J6/K1</f>
        <v>0.61585365853658536</v>
      </c>
    </row>
    <row r="7" spans="1:12" ht="15" customHeight="1" x14ac:dyDescent="0.25">
      <c r="A7" s="17">
        <v>43132</v>
      </c>
      <c r="B7" s="18">
        <v>10</v>
      </c>
      <c r="C7" s="18">
        <v>0</v>
      </c>
      <c r="D7" s="2">
        <f t="shared" ref="D7:D21" si="0">B7-C7</f>
        <v>10</v>
      </c>
      <c r="E7" s="2"/>
      <c r="F7" s="2"/>
      <c r="G7" s="2"/>
      <c r="H7" s="2"/>
      <c r="I7" s="2"/>
      <c r="J7" s="2"/>
      <c r="K7" s="19" t="s">
        <v>139</v>
      </c>
    </row>
    <row r="8" spans="1:12" ht="58.5" customHeight="1" x14ac:dyDescent="0.25">
      <c r="A8" s="17">
        <v>43133</v>
      </c>
      <c r="B8" s="18">
        <v>0</v>
      </c>
      <c r="C8" s="18">
        <v>25</v>
      </c>
      <c r="D8" s="2">
        <f t="shared" si="0"/>
        <v>-25</v>
      </c>
      <c r="E8" s="2"/>
      <c r="F8" s="2"/>
      <c r="G8" s="2"/>
      <c r="H8" s="2"/>
      <c r="I8" s="2"/>
      <c r="J8" s="2"/>
      <c r="K8" s="19" t="s">
        <v>140</v>
      </c>
    </row>
    <row r="9" spans="1:12" ht="24.75" customHeight="1" x14ac:dyDescent="0.25">
      <c r="A9" s="17">
        <v>43136</v>
      </c>
      <c r="B9" s="18">
        <v>9</v>
      </c>
      <c r="C9" s="18">
        <v>9</v>
      </c>
      <c r="D9" s="2">
        <f t="shared" si="0"/>
        <v>0</v>
      </c>
      <c r="E9" s="2"/>
      <c r="F9" s="2"/>
      <c r="G9" s="2"/>
      <c r="H9" s="2"/>
      <c r="I9" s="2"/>
      <c r="J9" s="2"/>
      <c r="K9" s="20" t="s">
        <v>141</v>
      </c>
    </row>
    <row r="10" spans="1:12" ht="15" customHeight="1" x14ac:dyDescent="0.3">
      <c r="A10" s="17">
        <v>43137</v>
      </c>
      <c r="B10" s="18">
        <v>0</v>
      </c>
      <c r="C10" s="18">
        <v>8</v>
      </c>
      <c r="D10" s="2">
        <f t="shared" si="0"/>
        <v>-8</v>
      </c>
      <c r="E10" s="2"/>
      <c r="F10" s="2"/>
      <c r="G10" s="2"/>
      <c r="H10" s="2"/>
      <c r="I10" s="2"/>
      <c r="J10" s="2"/>
      <c r="K10" s="19" t="s">
        <v>142</v>
      </c>
      <c r="L10" s="38" t="s">
        <v>143</v>
      </c>
    </row>
    <row r="11" spans="1:12" ht="15" customHeight="1" x14ac:dyDescent="0.3">
      <c r="A11" s="17">
        <v>43137</v>
      </c>
      <c r="B11" s="18">
        <v>0</v>
      </c>
      <c r="C11" s="18">
        <v>0</v>
      </c>
      <c r="D11" s="2">
        <f t="shared" si="0"/>
        <v>0</v>
      </c>
      <c r="E11" s="2">
        <v>42</v>
      </c>
      <c r="F11" s="2"/>
      <c r="G11" s="2"/>
      <c r="H11" s="2"/>
      <c r="I11" s="2"/>
      <c r="J11" s="2"/>
      <c r="K11" s="19" t="s">
        <v>107</v>
      </c>
      <c r="L11" s="38" t="s">
        <v>144</v>
      </c>
    </row>
    <row r="12" spans="1:12" ht="15" customHeight="1" x14ac:dyDescent="0.25">
      <c r="A12" s="17">
        <v>43137</v>
      </c>
      <c r="B12" s="18">
        <v>0</v>
      </c>
      <c r="C12" s="18">
        <v>0</v>
      </c>
      <c r="D12" s="2">
        <f t="shared" si="0"/>
        <v>0</v>
      </c>
      <c r="E12" s="2">
        <f>4+5+1</f>
        <v>10</v>
      </c>
      <c r="F12" s="2"/>
      <c r="G12" s="2"/>
      <c r="H12" s="2"/>
      <c r="I12" s="2"/>
      <c r="J12" s="2"/>
      <c r="K12" s="19" t="s">
        <v>145</v>
      </c>
      <c r="L12" s="27" t="s">
        <v>146</v>
      </c>
    </row>
    <row r="13" spans="1:12" ht="98.25" customHeight="1" x14ac:dyDescent="0.25">
      <c r="A13" s="17">
        <v>43137</v>
      </c>
      <c r="B13" s="18">
        <f>18+42</f>
        <v>60</v>
      </c>
      <c r="C13" s="18">
        <v>0</v>
      </c>
      <c r="D13" s="2">
        <f t="shared" si="0"/>
        <v>60</v>
      </c>
      <c r="E13" s="2"/>
      <c r="F13" s="2"/>
      <c r="G13" s="2"/>
      <c r="H13" s="2"/>
      <c r="I13" s="2"/>
      <c r="J13" s="2"/>
      <c r="K13" s="19" t="s">
        <v>147</v>
      </c>
    </row>
    <row r="14" spans="1:12" ht="25.5" customHeight="1" x14ac:dyDescent="0.25">
      <c r="A14" s="17">
        <v>43140</v>
      </c>
      <c r="B14" s="18">
        <v>0</v>
      </c>
      <c r="C14" s="18">
        <v>8</v>
      </c>
      <c r="D14" s="2">
        <f t="shared" si="0"/>
        <v>-8</v>
      </c>
      <c r="E14" s="2"/>
      <c r="F14" s="2"/>
      <c r="G14" s="2"/>
      <c r="H14" s="2"/>
      <c r="I14" s="2"/>
      <c r="J14" s="2"/>
      <c r="K14" s="19" t="s">
        <v>148</v>
      </c>
    </row>
    <row r="15" spans="1:12" ht="15" customHeight="1" x14ac:dyDescent="0.25">
      <c r="A15" s="17">
        <v>43140</v>
      </c>
      <c r="B15" s="18">
        <v>4</v>
      </c>
      <c r="C15" s="18">
        <v>0</v>
      </c>
      <c r="D15" s="2">
        <f t="shared" si="0"/>
        <v>4</v>
      </c>
      <c r="E15" s="2"/>
      <c r="F15" s="2"/>
      <c r="G15" s="2"/>
      <c r="H15" s="2"/>
      <c r="I15" s="2"/>
      <c r="J15" s="2"/>
      <c r="K15" s="20" t="s">
        <v>149</v>
      </c>
    </row>
    <row r="16" spans="1:12" ht="15" customHeight="1" x14ac:dyDescent="0.25">
      <c r="A16" s="17">
        <v>43144</v>
      </c>
      <c r="B16" s="18">
        <v>0</v>
      </c>
      <c r="C16" s="18">
        <v>2</v>
      </c>
      <c r="D16" s="2">
        <f t="shared" si="0"/>
        <v>-2</v>
      </c>
      <c r="E16" s="2"/>
      <c r="F16" s="2"/>
      <c r="G16" s="2"/>
      <c r="H16" s="2"/>
      <c r="I16" s="2"/>
      <c r="J16" s="2"/>
      <c r="K16" s="19" t="s">
        <v>150</v>
      </c>
    </row>
    <row r="17" spans="1:11" ht="36.75" customHeight="1" x14ac:dyDescent="0.25">
      <c r="A17" s="17">
        <v>43144</v>
      </c>
      <c r="B17" s="18">
        <v>13</v>
      </c>
      <c r="C17" s="18">
        <v>0</v>
      </c>
      <c r="D17" s="2">
        <f t="shared" si="0"/>
        <v>13</v>
      </c>
      <c r="E17" s="2"/>
      <c r="F17" s="2"/>
      <c r="G17" s="2"/>
      <c r="H17" s="2"/>
      <c r="I17" s="2"/>
      <c r="J17" s="2"/>
      <c r="K17" s="19" t="s">
        <v>151</v>
      </c>
    </row>
    <row r="18" spans="1:11" ht="36.75" customHeight="1" x14ac:dyDescent="0.25">
      <c r="A18" s="17">
        <v>43146</v>
      </c>
      <c r="B18" s="18">
        <v>0</v>
      </c>
      <c r="C18" s="18">
        <v>17</v>
      </c>
      <c r="D18" s="2">
        <f t="shared" si="0"/>
        <v>-17</v>
      </c>
      <c r="E18" s="2"/>
      <c r="F18" s="2"/>
      <c r="G18" s="2"/>
      <c r="H18" s="2"/>
      <c r="I18" s="2"/>
      <c r="J18" s="2"/>
      <c r="K18" s="19" t="s">
        <v>152</v>
      </c>
    </row>
    <row r="19" spans="1:11" ht="39.75" customHeight="1" x14ac:dyDescent="0.25">
      <c r="A19" s="17">
        <v>43147</v>
      </c>
      <c r="B19" s="18">
        <v>0</v>
      </c>
      <c r="C19" s="18">
        <v>20</v>
      </c>
      <c r="D19" s="2">
        <f t="shared" si="0"/>
        <v>-20</v>
      </c>
      <c r="E19" s="2"/>
      <c r="F19" s="2"/>
      <c r="G19" s="2"/>
      <c r="H19" s="2"/>
      <c r="I19" s="2"/>
      <c r="J19" s="2"/>
      <c r="K19" s="19" t="s">
        <v>153</v>
      </c>
    </row>
    <row r="20" spans="1:11" ht="39" customHeight="1" x14ac:dyDescent="0.25">
      <c r="A20" s="17">
        <v>43147</v>
      </c>
      <c r="B20" s="18">
        <v>16</v>
      </c>
      <c r="C20" s="18">
        <v>0</v>
      </c>
      <c r="D20" s="2">
        <f t="shared" si="0"/>
        <v>16</v>
      </c>
      <c r="E20" s="2"/>
      <c r="F20" s="2"/>
      <c r="G20" s="2"/>
      <c r="H20" s="2"/>
      <c r="I20" s="2"/>
      <c r="J20" s="2"/>
      <c r="K20" s="19" t="s">
        <v>154</v>
      </c>
    </row>
    <row r="21" spans="1:11" ht="39.75" customHeight="1" x14ac:dyDescent="0.25">
      <c r="A21" s="21">
        <v>43150</v>
      </c>
      <c r="B21" s="22">
        <v>0</v>
      </c>
      <c r="C21" s="22">
        <v>20</v>
      </c>
      <c r="D21" s="2">
        <f t="shared" si="0"/>
        <v>-20</v>
      </c>
      <c r="E21" s="23"/>
      <c r="F21" s="23"/>
      <c r="G21" s="23"/>
      <c r="H21" s="23"/>
      <c r="I21" s="23"/>
      <c r="J21" s="23"/>
      <c r="K21" s="25" t="s">
        <v>155</v>
      </c>
    </row>
    <row r="22" spans="1:11" ht="37.5" customHeight="1" x14ac:dyDescent="0.25">
      <c r="A22" s="17">
        <v>43154</v>
      </c>
      <c r="B22" s="18">
        <v>0</v>
      </c>
      <c r="C22" s="18">
        <v>19</v>
      </c>
      <c r="D22" s="2">
        <f t="shared" ref="D22:D44" si="1">B22-C22</f>
        <v>-19</v>
      </c>
      <c r="E22" s="2"/>
      <c r="F22" s="2"/>
      <c r="G22" s="2"/>
      <c r="H22" s="2"/>
      <c r="I22" s="2"/>
      <c r="J22" s="2"/>
      <c r="K22" s="19" t="s">
        <v>156</v>
      </c>
    </row>
    <row r="23" spans="1:11" ht="36.75" customHeight="1" x14ac:dyDescent="0.25">
      <c r="A23" s="17">
        <v>43154</v>
      </c>
      <c r="B23" s="18">
        <v>11</v>
      </c>
      <c r="C23" s="18">
        <v>0</v>
      </c>
      <c r="D23" s="2">
        <f t="shared" si="1"/>
        <v>11</v>
      </c>
      <c r="E23" s="2"/>
      <c r="F23" s="2"/>
      <c r="G23" s="2"/>
      <c r="H23" s="2"/>
      <c r="I23" s="2"/>
      <c r="J23" s="2"/>
      <c r="K23" s="49" t="s">
        <v>157</v>
      </c>
    </row>
    <row r="24" spans="1:11" ht="15" customHeight="1" x14ac:dyDescent="0.25">
      <c r="A24" s="17"/>
      <c r="B24" s="18"/>
      <c r="C24" s="18"/>
      <c r="D24" s="2">
        <f t="shared" si="1"/>
        <v>0</v>
      </c>
      <c r="E24" s="2"/>
      <c r="F24" s="2"/>
      <c r="G24" s="2"/>
      <c r="H24" s="2"/>
      <c r="I24" s="2"/>
      <c r="J24" s="2"/>
      <c r="K24" s="19"/>
    </row>
    <row r="25" spans="1:11" ht="15" customHeight="1" x14ac:dyDescent="0.25">
      <c r="A25" s="17"/>
      <c r="B25" s="18"/>
      <c r="C25" s="18"/>
      <c r="D25" s="2">
        <f t="shared" si="1"/>
        <v>0</v>
      </c>
      <c r="E25" s="2"/>
      <c r="F25" s="2"/>
      <c r="G25" s="2"/>
      <c r="H25" s="2"/>
      <c r="I25" s="2"/>
      <c r="J25" s="2"/>
      <c r="K25" s="19"/>
    </row>
    <row r="26" spans="1:11" ht="15" customHeight="1" x14ac:dyDescent="0.25">
      <c r="A26" s="17"/>
      <c r="B26" s="18"/>
      <c r="C26" s="18"/>
      <c r="D26" s="2">
        <f t="shared" si="1"/>
        <v>0</v>
      </c>
      <c r="E26" s="2"/>
      <c r="F26" s="2"/>
      <c r="G26" s="2"/>
      <c r="H26" s="2"/>
      <c r="I26" s="2"/>
      <c r="J26" s="2"/>
      <c r="K26" s="20"/>
    </row>
    <row r="27" spans="1:11" x14ac:dyDescent="0.25">
      <c r="A27" s="17"/>
      <c r="B27" s="18"/>
      <c r="C27" s="18"/>
      <c r="D27" s="2">
        <f t="shared" si="1"/>
        <v>0</v>
      </c>
      <c r="E27" s="2"/>
      <c r="F27" s="2"/>
      <c r="G27" s="2"/>
      <c r="H27" s="2"/>
      <c r="I27" s="2"/>
      <c r="J27" s="2"/>
      <c r="K27" s="20"/>
    </row>
    <row r="28" spans="1:11" x14ac:dyDescent="0.25">
      <c r="A28" s="17"/>
      <c r="B28" s="18"/>
      <c r="C28" s="18"/>
      <c r="D28" s="2">
        <f t="shared" si="1"/>
        <v>0</v>
      </c>
      <c r="E28" s="2"/>
      <c r="F28" s="2"/>
      <c r="G28" s="2"/>
      <c r="H28" s="2"/>
      <c r="I28" s="2"/>
      <c r="J28" s="2"/>
      <c r="K28" s="20"/>
    </row>
    <row r="29" spans="1:11" x14ac:dyDescent="0.25">
      <c r="A29" s="17"/>
      <c r="B29" s="18"/>
      <c r="C29" s="18"/>
      <c r="D29" s="2">
        <f t="shared" si="1"/>
        <v>0</v>
      </c>
      <c r="E29" s="2"/>
      <c r="F29" s="2"/>
      <c r="G29" s="2"/>
      <c r="H29" s="2"/>
      <c r="I29" s="2"/>
      <c r="J29" s="2"/>
      <c r="K29" s="19"/>
    </row>
    <row r="30" spans="1:11" x14ac:dyDescent="0.25">
      <c r="A30" s="17"/>
      <c r="B30" s="18"/>
      <c r="C30" s="18"/>
      <c r="D30" s="2">
        <f t="shared" si="1"/>
        <v>0</v>
      </c>
      <c r="E30" s="2"/>
      <c r="F30" s="2"/>
      <c r="G30" s="2"/>
      <c r="H30" s="2"/>
      <c r="I30" s="2"/>
      <c r="J30" s="2"/>
      <c r="K30" s="19"/>
    </row>
    <row r="31" spans="1:11" x14ac:dyDescent="0.25">
      <c r="A31" s="17"/>
      <c r="B31" s="18"/>
      <c r="C31" s="18"/>
      <c r="D31" s="2">
        <f t="shared" si="1"/>
        <v>0</v>
      </c>
      <c r="E31" s="2"/>
      <c r="F31" s="2"/>
      <c r="G31" s="2"/>
      <c r="H31" s="2"/>
      <c r="I31" s="2"/>
      <c r="J31" s="2"/>
      <c r="K31" s="20"/>
    </row>
    <row r="32" spans="1:11" x14ac:dyDescent="0.25">
      <c r="A32" s="17"/>
      <c r="B32" s="18"/>
      <c r="C32" s="18"/>
      <c r="D32" s="2">
        <f t="shared" si="1"/>
        <v>0</v>
      </c>
      <c r="E32" s="2"/>
      <c r="F32" s="2"/>
      <c r="G32" s="2"/>
      <c r="H32" s="2"/>
      <c r="I32" s="2"/>
      <c r="J32" s="2"/>
      <c r="K32" s="20"/>
    </row>
    <row r="33" spans="1:11" x14ac:dyDescent="0.25">
      <c r="A33" s="17"/>
      <c r="B33" s="18"/>
      <c r="C33" s="18"/>
      <c r="D33" s="2">
        <f t="shared" si="1"/>
        <v>0</v>
      </c>
      <c r="E33" s="2"/>
      <c r="F33" s="2"/>
      <c r="G33" s="2"/>
      <c r="H33" s="2"/>
      <c r="I33" s="2"/>
      <c r="J33" s="2"/>
      <c r="K33" s="19"/>
    </row>
    <row r="34" spans="1:11" x14ac:dyDescent="0.25">
      <c r="A34" s="17"/>
      <c r="B34" s="18"/>
      <c r="C34" s="18"/>
      <c r="D34" s="2">
        <f t="shared" si="1"/>
        <v>0</v>
      </c>
      <c r="E34" s="2"/>
      <c r="F34" s="2"/>
      <c r="G34" s="2"/>
      <c r="H34" s="2"/>
      <c r="I34" s="2"/>
      <c r="J34" s="2"/>
      <c r="K34" s="20"/>
    </row>
    <row r="35" spans="1:11" x14ac:dyDescent="0.25">
      <c r="A35" s="17"/>
      <c r="B35" s="18"/>
      <c r="C35" s="18"/>
      <c r="D35" s="2">
        <f t="shared" si="1"/>
        <v>0</v>
      </c>
      <c r="E35" s="2"/>
      <c r="F35" s="2"/>
      <c r="G35" s="2"/>
      <c r="H35" s="2"/>
      <c r="I35" s="2"/>
      <c r="J35" s="2"/>
      <c r="K35" s="20"/>
    </row>
    <row r="36" spans="1:11" x14ac:dyDescent="0.25">
      <c r="A36" s="17"/>
      <c r="B36" s="18"/>
      <c r="C36" s="18"/>
      <c r="D36" s="2">
        <f t="shared" si="1"/>
        <v>0</v>
      </c>
      <c r="E36" s="2"/>
      <c r="F36" s="2"/>
      <c r="G36" s="2"/>
      <c r="H36" s="2"/>
      <c r="I36" s="2"/>
      <c r="J36" s="2"/>
      <c r="K36" s="20"/>
    </row>
    <row r="37" spans="1:11" x14ac:dyDescent="0.25">
      <c r="A37" s="17"/>
      <c r="B37" s="18"/>
      <c r="C37" s="18"/>
      <c r="D37" s="2">
        <f t="shared" si="1"/>
        <v>0</v>
      </c>
      <c r="E37" s="2"/>
      <c r="F37" s="2"/>
      <c r="G37" s="2"/>
      <c r="H37" s="2"/>
      <c r="I37" s="2"/>
      <c r="J37" s="2"/>
      <c r="K37" s="20"/>
    </row>
    <row r="38" spans="1:11" x14ac:dyDescent="0.25">
      <c r="A38" s="17"/>
      <c r="B38" s="18"/>
      <c r="C38" s="18"/>
      <c r="D38" s="2">
        <f t="shared" si="1"/>
        <v>0</v>
      </c>
      <c r="E38" s="2"/>
      <c r="F38" s="2"/>
      <c r="G38" s="2"/>
      <c r="H38" s="2"/>
      <c r="I38" s="2"/>
      <c r="J38" s="2"/>
      <c r="K38" s="20"/>
    </row>
    <row r="39" spans="1:11" x14ac:dyDescent="0.25">
      <c r="A39" s="17"/>
      <c r="B39" s="18"/>
      <c r="C39" s="18"/>
      <c r="D39" s="2">
        <f t="shared" si="1"/>
        <v>0</v>
      </c>
      <c r="E39" s="2"/>
      <c r="F39" s="2"/>
      <c r="G39" s="2"/>
      <c r="H39" s="2"/>
      <c r="I39" s="2"/>
      <c r="J39" s="2"/>
      <c r="K39" s="20"/>
    </row>
    <row r="40" spans="1:11" x14ac:dyDescent="0.25">
      <c r="A40" s="17"/>
      <c r="B40" s="18"/>
      <c r="C40" s="18"/>
      <c r="D40" s="2">
        <f t="shared" si="1"/>
        <v>0</v>
      </c>
      <c r="E40" s="2"/>
      <c r="F40" s="2"/>
      <c r="G40" s="2"/>
      <c r="H40" s="2"/>
      <c r="I40" s="2"/>
      <c r="J40" s="2"/>
      <c r="K40" s="19"/>
    </row>
    <row r="41" spans="1:11" x14ac:dyDescent="0.25">
      <c r="A41" s="17"/>
      <c r="B41" s="18"/>
      <c r="C41" s="18"/>
      <c r="D41" s="2">
        <f t="shared" si="1"/>
        <v>0</v>
      </c>
      <c r="E41" s="2"/>
      <c r="F41" s="2"/>
      <c r="G41" s="2"/>
      <c r="H41" s="2"/>
      <c r="I41" s="2"/>
      <c r="J41" s="2"/>
      <c r="K41" s="20"/>
    </row>
    <row r="42" spans="1:11" x14ac:dyDescent="0.25">
      <c r="A42" s="17"/>
      <c r="B42" s="18"/>
      <c r="C42" s="18"/>
      <c r="D42" s="2">
        <f t="shared" si="1"/>
        <v>0</v>
      </c>
      <c r="E42" s="2"/>
      <c r="F42" s="2"/>
      <c r="G42" s="2"/>
      <c r="H42" s="2"/>
      <c r="I42" s="2"/>
      <c r="J42" s="2"/>
      <c r="K42" s="20"/>
    </row>
    <row r="43" spans="1:11" x14ac:dyDescent="0.25">
      <c r="A43" s="17"/>
      <c r="B43" s="18"/>
      <c r="C43" s="18"/>
      <c r="D43" s="2">
        <f t="shared" si="1"/>
        <v>0</v>
      </c>
      <c r="E43" s="2"/>
      <c r="F43" s="2"/>
      <c r="G43" s="2"/>
      <c r="H43" s="2"/>
      <c r="I43" s="2"/>
      <c r="J43" s="2"/>
      <c r="K43" s="20"/>
    </row>
    <row r="44" spans="1:11" x14ac:dyDescent="0.25">
      <c r="A44" s="17"/>
      <c r="B44" s="18"/>
      <c r="C44" s="18"/>
      <c r="D44" s="2">
        <f t="shared" si="1"/>
        <v>0</v>
      </c>
      <c r="E44" s="2"/>
      <c r="F44" s="2"/>
      <c r="G44" s="2"/>
      <c r="H44" s="2"/>
      <c r="I44" s="2"/>
      <c r="J44" s="2"/>
      <c r="K44" s="20"/>
    </row>
  </sheetData>
  <sheetProtection selectLockedCells="1" selectUnlockedCells="1"/>
  <customSheetViews>
    <customSheetView guid="{E5A7B818-645B-417C-A128-9FE559D9B124}" fitToPage="1">
      <pane ySplit="6" topLeftCell="A7" activePane="bottomLeft" state="frozen"/>
      <selection pane="bottomLeft" activeCell="L11" sqref="L11"/>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05" priority="1" operator="lessThan">
      <formula>0</formula>
    </cfRule>
    <cfRule type="cellIs" dxfId="20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8">
    <pageSetUpPr fitToPage="1"/>
  </sheetPr>
  <dimension ref="A1:L44"/>
  <sheetViews>
    <sheetView workbookViewId="0">
      <pane ySplit="6" topLeftCell="A7" activePane="bottomLeft" state="frozen"/>
      <selection pane="bottomLeft" activeCell="K10" sqref="K10"/>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f>
        <v>492</v>
      </c>
    </row>
    <row r="2" spans="1:12" ht="19.5" thickBot="1" x14ac:dyDescent="0.35">
      <c r="A2" s="5"/>
      <c r="B2" s="2"/>
      <c r="C2" s="2"/>
      <c r="D2" s="2"/>
      <c r="E2" s="2"/>
      <c r="F2" s="6" t="s">
        <v>1</v>
      </c>
      <c r="G2" s="2"/>
      <c r="H2" s="2"/>
      <c r="I2" s="2"/>
      <c r="J2" s="41" t="s">
        <v>38</v>
      </c>
      <c r="K2" s="42">
        <f>K1-F6</f>
        <v>103</v>
      </c>
    </row>
    <row r="3" spans="1:12" ht="15.75" thickBot="1" x14ac:dyDescent="0.3">
      <c r="A3" s="5"/>
      <c r="B3" s="2"/>
      <c r="C3" s="2"/>
      <c r="D3" s="2"/>
      <c r="E3" s="2"/>
      <c r="F3" s="2">
        <f>'02.18'!F6</f>
        <v>418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389</v>
      </c>
      <c r="G6" s="30">
        <f>SUM(B:B)</f>
        <v>99</v>
      </c>
      <c r="H6" s="30">
        <f>SUM(C:C)</f>
        <v>128</v>
      </c>
      <c r="I6" s="30"/>
      <c r="J6" s="33">
        <f>SUM(G6:H6)+SUM(E:E)</f>
        <v>229</v>
      </c>
      <c r="K6" s="34"/>
      <c r="L6" s="50">
        <f>J6/K1</f>
        <v>0.46544715447154472</v>
      </c>
    </row>
    <row r="7" spans="1:12" ht="31.5" customHeight="1" x14ac:dyDescent="0.25">
      <c r="A7" s="17">
        <v>43161</v>
      </c>
      <c r="B7" s="18">
        <v>0</v>
      </c>
      <c r="C7" s="18">
        <v>20</v>
      </c>
      <c r="D7" s="2">
        <f t="shared" ref="D7:D44" si="0">B7-C7</f>
        <v>-20</v>
      </c>
      <c r="E7" s="2"/>
      <c r="F7" s="2"/>
      <c r="G7" s="2"/>
      <c r="H7" s="2"/>
      <c r="I7" s="2"/>
      <c r="J7" s="2"/>
      <c r="K7" s="19" t="s">
        <v>158</v>
      </c>
    </row>
    <row r="8" spans="1:12" ht="15" customHeight="1" x14ac:dyDescent="0.25">
      <c r="A8" s="17">
        <v>43164</v>
      </c>
      <c r="B8" s="18">
        <v>0</v>
      </c>
      <c r="C8" s="18">
        <v>2</v>
      </c>
      <c r="D8" s="2">
        <f t="shared" si="0"/>
        <v>-2</v>
      </c>
      <c r="E8" s="2"/>
      <c r="F8" s="2"/>
      <c r="G8" s="2"/>
      <c r="H8" s="2"/>
      <c r="I8" s="2"/>
      <c r="J8" s="2"/>
      <c r="K8" s="19" t="s">
        <v>159</v>
      </c>
    </row>
    <row r="9" spans="1:12" ht="36.75" customHeight="1" x14ac:dyDescent="0.25">
      <c r="A9" s="17">
        <v>43165</v>
      </c>
      <c r="B9" s="18">
        <v>0</v>
      </c>
      <c r="C9" s="18">
        <v>19</v>
      </c>
      <c r="D9" s="2">
        <f t="shared" si="0"/>
        <v>-19</v>
      </c>
      <c r="E9" s="2"/>
      <c r="F9" s="2"/>
      <c r="G9" s="2"/>
      <c r="H9" s="2"/>
      <c r="I9" s="2"/>
      <c r="J9" s="2"/>
      <c r="K9" s="19" t="s">
        <v>160</v>
      </c>
    </row>
    <row r="10" spans="1:12" ht="15" customHeight="1" x14ac:dyDescent="0.3">
      <c r="A10" s="17">
        <v>43165</v>
      </c>
      <c r="B10" s="18">
        <v>0</v>
      </c>
      <c r="C10" s="18">
        <v>0</v>
      </c>
      <c r="D10" s="2">
        <f t="shared" si="0"/>
        <v>0</v>
      </c>
      <c r="E10" s="2">
        <v>2</v>
      </c>
      <c r="F10" s="2"/>
      <c r="G10" s="2"/>
      <c r="H10" s="2"/>
      <c r="I10" s="2"/>
      <c r="J10" s="2"/>
      <c r="K10" s="19" t="s">
        <v>161</v>
      </c>
      <c r="L10" s="38" t="s">
        <v>162</v>
      </c>
    </row>
    <row r="11" spans="1:12" ht="15" customHeight="1" x14ac:dyDescent="0.3">
      <c r="A11" s="17">
        <v>43172</v>
      </c>
      <c r="B11" s="18">
        <v>0</v>
      </c>
      <c r="C11" s="18">
        <v>3</v>
      </c>
      <c r="D11" s="2">
        <f t="shared" si="0"/>
        <v>-3</v>
      </c>
      <c r="E11" s="2"/>
      <c r="F11" s="2"/>
      <c r="G11" s="2"/>
      <c r="H11" s="2"/>
      <c r="I11" s="2"/>
      <c r="J11" s="2"/>
      <c r="K11" s="19" t="s">
        <v>163</v>
      </c>
      <c r="L11" s="38"/>
    </row>
    <row r="12" spans="1:12" ht="15" customHeight="1" x14ac:dyDescent="0.25">
      <c r="A12" s="17">
        <v>43172</v>
      </c>
      <c r="B12" s="18">
        <v>0</v>
      </c>
      <c r="C12" s="18">
        <v>10</v>
      </c>
      <c r="D12" s="2">
        <f t="shared" si="0"/>
        <v>-10</v>
      </c>
      <c r="E12" s="2"/>
      <c r="F12" s="2"/>
      <c r="G12" s="2"/>
      <c r="H12" s="2"/>
      <c r="I12" s="2"/>
      <c r="J12" s="2"/>
      <c r="K12" s="19" t="s">
        <v>164</v>
      </c>
    </row>
    <row r="13" spans="1:12" ht="15" customHeight="1" x14ac:dyDescent="0.25">
      <c r="A13" s="17">
        <v>43172</v>
      </c>
      <c r="B13" s="18">
        <v>0</v>
      </c>
      <c r="C13" s="18">
        <v>8</v>
      </c>
      <c r="D13" s="2">
        <f t="shared" si="0"/>
        <v>-8</v>
      </c>
      <c r="E13" s="2"/>
      <c r="F13" s="2"/>
      <c r="G13" s="2"/>
      <c r="H13" s="2"/>
      <c r="I13" s="2"/>
      <c r="J13" s="2"/>
      <c r="K13" s="19" t="s">
        <v>165</v>
      </c>
    </row>
    <row r="14" spans="1:12" ht="39" customHeight="1" x14ac:dyDescent="0.25">
      <c r="A14" s="17">
        <v>43172</v>
      </c>
      <c r="B14" s="18">
        <v>14</v>
      </c>
      <c r="C14" s="18">
        <v>0</v>
      </c>
      <c r="D14" s="2">
        <f t="shared" si="0"/>
        <v>14</v>
      </c>
      <c r="E14" s="2"/>
      <c r="F14" s="2"/>
      <c r="G14" s="2"/>
      <c r="H14" s="2"/>
      <c r="I14" s="2"/>
      <c r="J14" s="2"/>
      <c r="K14" s="19" t="s">
        <v>166</v>
      </c>
    </row>
    <row r="15" spans="1:12" ht="15" customHeight="1" x14ac:dyDescent="0.25">
      <c r="A15" s="17">
        <v>43173</v>
      </c>
      <c r="B15" s="18">
        <v>0</v>
      </c>
      <c r="C15" s="18">
        <v>9</v>
      </c>
      <c r="D15" s="2">
        <f t="shared" si="0"/>
        <v>-9</v>
      </c>
      <c r="E15" s="2"/>
      <c r="F15" s="2"/>
      <c r="G15" s="2"/>
      <c r="H15" s="2"/>
      <c r="I15" s="2"/>
      <c r="J15" s="2"/>
      <c r="K15" s="20" t="s">
        <v>167</v>
      </c>
    </row>
    <row r="16" spans="1:12" ht="55.5" customHeight="1" x14ac:dyDescent="0.25">
      <c r="A16" s="17">
        <v>43175</v>
      </c>
      <c r="B16" s="18">
        <v>0</v>
      </c>
      <c r="C16" s="18">
        <v>21</v>
      </c>
      <c r="D16" s="2">
        <f t="shared" si="0"/>
        <v>-21</v>
      </c>
      <c r="E16" s="2"/>
      <c r="F16" s="2"/>
      <c r="G16" s="2"/>
      <c r="H16" s="2"/>
      <c r="I16" s="2"/>
      <c r="J16" s="2"/>
      <c r="K16" s="19" t="s">
        <v>168</v>
      </c>
    </row>
    <row r="17" spans="1:11" ht="25.5" customHeight="1" x14ac:dyDescent="0.25">
      <c r="A17" s="17">
        <v>43175</v>
      </c>
      <c r="B17" s="18">
        <v>6</v>
      </c>
      <c r="C17" s="18">
        <v>0</v>
      </c>
      <c r="D17" s="2">
        <f t="shared" si="0"/>
        <v>6</v>
      </c>
      <c r="E17" s="2"/>
      <c r="F17" s="2"/>
      <c r="G17" s="2"/>
      <c r="H17" s="2"/>
      <c r="I17" s="2"/>
      <c r="J17" s="2"/>
      <c r="K17" s="19" t="s">
        <v>169</v>
      </c>
    </row>
    <row r="18" spans="1:11" ht="15" customHeight="1" x14ac:dyDescent="0.25">
      <c r="A18" s="17">
        <v>43175</v>
      </c>
      <c r="B18" s="18">
        <v>0</v>
      </c>
      <c r="C18" s="18">
        <v>8</v>
      </c>
      <c r="D18" s="2">
        <f t="shared" si="0"/>
        <v>-8</v>
      </c>
      <c r="E18" s="2"/>
      <c r="F18" s="2"/>
      <c r="G18" s="2"/>
      <c r="H18" s="2"/>
      <c r="I18" s="2"/>
      <c r="J18" s="2"/>
      <c r="K18" s="19" t="s">
        <v>170</v>
      </c>
    </row>
    <row r="19" spans="1:11" ht="15" customHeight="1" x14ac:dyDescent="0.25">
      <c r="A19" s="17">
        <v>43178</v>
      </c>
      <c r="B19" s="18">
        <v>0</v>
      </c>
      <c r="C19" s="18">
        <v>5</v>
      </c>
      <c r="D19" s="2">
        <f t="shared" si="0"/>
        <v>-5</v>
      </c>
      <c r="E19" s="2"/>
      <c r="F19" s="2"/>
      <c r="G19" s="2"/>
      <c r="H19" s="2"/>
      <c r="I19" s="2"/>
      <c r="J19" s="2"/>
      <c r="K19" s="19" t="s">
        <v>171</v>
      </c>
    </row>
    <row r="20" spans="1:11" ht="72.75" customHeight="1" x14ac:dyDescent="0.25">
      <c r="A20" s="17">
        <v>43178</v>
      </c>
      <c r="B20" s="18">
        <v>35</v>
      </c>
      <c r="C20" s="18">
        <v>0</v>
      </c>
      <c r="D20" s="2">
        <f t="shared" si="0"/>
        <v>35</v>
      </c>
      <c r="E20" s="2"/>
      <c r="F20" s="2"/>
      <c r="G20" s="2"/>
      <c r="H20" s="2"/>
      <c r="I20" s="2"/>
      <c r="J20" s="2"/>
      <c r="K20" s="19" t="s">
        <v>172</v>
      </c>
    </row>
    <row r="21" spans="1:11" ht="55.5" customHeight="1" x14ac:dyDescent="0.25">
      <c r="A21" s="21">
        <v>43180</v>
      </c>
      <c r="B21" s="22">
        <v>21</v>
      </c>
      <c r="C21" s="22">
        <v>0</v>
      </c>
      <c r="D21" s="2">
        <f t="shared" si="0"/>
        <v>21</v>
      </c>
      <c r="E21" s="23"/>
      <c r="F21" s="23"/>
      <c r="G21" s="23"/>
      <c r="H21" s="23"/>
      <c r="I21" s="23"/>
      <c r="J21" s="23"/>
      <c r="K21" s="25" t="s">
        <v>173</v>
      </c>
    </row>
    <row r="22" spans="1:11" ht="24" customHeight="1" x14ac:dyDescent="0.25">
      <c r="A22" s="17">
        <v>43185</v>
      </c>
      <c r="B22" s="18">
        <v>0</v>
      </c>
      <c r="C22" s="18">
        <v>5</v>
      </c>
      <c r="D22" s="2">
        <f t="shared" si="0"/>
        <v>-5</v>
      </c>
      <c r="E22" s="2"/>
      <c r="F22" s="2"/>
      <c r="G22" s="2"/>
      <c r="H22" s="2"/>
      <c r="I22" s="2"/>
      <c r="J22" s="2"/>
      <c r="K22" s="19" t="s">
        <v>174</v>
      </c>
    </row>
    <row r="23" spans="1:11" ht="15" customHeight="1" x14ac:dyDescent="0.25">
      <c r="A23" s="17">
        <v>43185</v>
      </c>
      <c r="B23" s="18">
        <v>10</v>
      </c>
      <c r="C23" s="18">
        <v>0</v>
      </c>
      <c r="D23" s="2">
        <f t="shared" si="0"/>
        <v>10</v>
      </c>
      <c r="E23" s="2"/>
      <c r="F23" s="2"/>
      <c r="G23" s="2"/>
      <c r="H23" s="2"/>
      <c r="I23" s="2"/>
      <c r="J23" s="2"/>
      <c r="K23" s="45" t="s">
        <v>175</v>
      </c>
    </row>
    <row r="24" spans="1:11" ht="15" customHeight="1" x14ac:dyDescent="0.25">
      <c r="A24" s="17">
        <v>43185</v>
      </c>
      <c r="B24" s="18">
        <v>0</v>
      </c>
      <c r="C24" s="18">
        <v>5</v>
      </c>
      <c r="D24" s="2">
        <f t="shared" si="0"/>
        <v>-5</v>
      </c>
      <c r="E24" s="2"/>
      <c r="F24" s="2"/>
      <c r="G24" s="2"/>
      <c r="H24" s="2"/>
      <c r="I24" s="2"/>
      <c r="J24" s="2"/>
      <c r="K24" s="19" t="s">
        <v>176</v>
      </c>
    </row>
    <row r="25" spans="1:11" ht="39" customHeight="1" x14ac:dyDescent="0.25">
      <c r="A25" s="17">
        <v>43186</v>
      </c>
      <c r="B25" s="18">
        <v>0</v>
      </c>
      <c r="C25" s="18">
        <v>13</v>
      </c>
      <c r="D25" s="2">
        <f t="shared" si="0"/>
        <v>-13</v>
      </c>
      <c r="E25" s="2"/>
      <c r="F25" s="2"/>
      <c r="G25" s="2"/>
      <c r="H25" s="2"/>
      <c r="I25" s="2"/>
      <c r="J25" s="2"/>
      <c r="K25" s="19" t="s">
        <v>177</v>
      </c>
    </row>
    <row r="26" spans="1:11" ht="39.75" customHeight="1" x14ac:dyDescent="0.25">
      <c r="A26" s="17">
        <v>43188</v>
      </c>
      <c r="B26" s="18">
        <v>13</v>
      </c>
      <c r="C26" s="18">
        <v>0</v>
      </c>
      <c r="D26" s="2">
        <f t="shared" si="0"/>
        <v>13</v>
      </c>
      <c r="E26" s="2"/>
      <c r="F26" s="2"/>
      <c r="G26" s="2"/>
      <c r="H26" s="2"/>
      <c r="I26" s="2"/>
      <c r="J26" s="2"/>
      <c r="K26" s="19" t="s">
        <v>178</v>
      </c>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7" activePane="bottomLeft" state="frozen"/>
      <selection pane="bottomLeft" activeCell="K10" sqref="K10"/>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03" priority="1" operator="lessThan">
      <formula>0</formula>
    </cfRule>
    <cfRule type="cellIs" dxfId="20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9">
    <pageSetUpPr fitToPage="1"/>
  </sheetPr>
  <dimension ref="A1:L44"/>
  <sheetViews>
    <sheetView workbookViewId="0">
      <pane ySplit="6" topLeftCell="A10" activePane="bottomLeft" state="frozen"/>
      <selection pane="bottomLeft" activeCell="K13" sqref="K13"/>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f>
        <v>492</v>
      </c>
    </row>
    <row r="2" spans="1:12" ht="19.5" thickBot="1" x14ac:dyDescent="0.35">
      <c r="A2" s="5"/>
      <c r="B2" s="2"/>
      <c r="C2" s="2"/>
      <c r="D2" s="2"/>
      <c r="E2" s="2"/>
      <c r="F2" s="6" t="s">
        <v>1</v>
      </c>
      <c r="G2" s="2"/>
      <c r="H2" s="2"/>
      <c r="I2" s="2"/>
      <c r="J2" s="41" t="s">
        <v>38</v>
      </c>
      <c r="K2" s="42">
        <f>K1-F6</f>
        <v>14</v>
      </c>
    </row>
    <row r="3" spans="1:12" ht="15.75" thickBot="1" x14ac:dyDescent="0.3">
      <c r="A3" s="5"/>
      <c r="B3" s="2"/>
      <c r="C3" s="2"/>
      <c r="D3" s="2"/>
      <c r="E3" s="2"/>
      <c r="F3" s="2">
        <f>'03.18'!F6</f>
        <v>389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478</v>
      </c>
      <c r="G6" s="30">
        <f>SUM(B:B)</f>
        <v>208</v>
      </c>
      <c r="H6" s="30">
        <f>SUM(C:C)</f>
        <v>119</v>
      </c>
      <c r="I6" s="30"/>
      <c r="J6" s="33">
        <f>SUM(G6:H6)+SUM(E:E)</f>
        <v>393</v>
      </c>
      <c r="K6" s="34"/>
      <c r="L6" s="50">
        <f>J6/K1</f>
        <v>0.79878048780487809</v>
      </c>
    </row>
    <row r="7" spans="1:12" ht="47.25" customHeight="1" x14ac:dyDescent="0.25">
      <c r="A7" s="17">
        <v>43193</v>
      </c>
      <c r="B7" s="18">
        <v>21</v>
      </c>
      <c r="C7" s="18">
        <v>0</v>
      </c>
      <c r="D7" s="2">
        <f t="shared" ref="D7:D44" si="0">B7-C7</f>
        <v>21</v>
      </c>
      <c r="E7" s="2"/>
      <c r="F7" s="2"/>
      <c r="G7" s="2"/>
      <c r="H7" s="2"/>
      <c r="I7" s="2"/>
      <c r="J7" s="2"/>
      <c r="K7" s="19" t="s">
        <v>179</v>
      </c>
    </row>
    <row r="8" spans="1:12" ht="23.25" customHeight="1" x14ac:dyDescent="0.25">
      <c r="A8" s="17">
        <v>43194</v>
      </c>
      <c r="B8" s="18">
        <v>0</v>
      </c>
      <c r="C8" s="18">
        <v>5</v>
      </c>
      <c r="D8" s="2">
        <f t="shared" si="0"/>
        <v>-5</v>
      </c>
      <c r="E8" s="2"/>
      <c r="F8" s="2"/>
      <c r="G8" s="2"/>
      <c r="H8" s="2"/>
      <c r="I8" s="2"/>
      <c r="J8" s="2"/>
      <c r="K8" s="19" t="s">
        <v>180</v>
      </c>
      <c r="L8" s="27" t="s">
        <v>181</v>
      </c>
    </row>
    <row r="9" spans="1:12" ht="15" customHeight="1" x14ac:dyDescent="0.25">
      <c r="A9" s="17">
        <v>43194</v>
      </c>
      <c r="B9" s="18">
        <v>0</v>
      </c>
      <c r="C9" s="18">
        <v>2</v>
      </c>
      <c r="D9" s="2">
        <f t="shared" si="0"/>
        <v>-2</v>
      </c>
      <c r="E9" s="2"/>
      <c r="F9" s="2"/>
      <c r="G9" s="2"/>
      <c r="H9" s="2"/>
      <c r="I9" s="2"/>
      <c r="J9" s="2"/>
      <c r="K9" s="20" t="s">
        <v>182</v>
      </c>
      <c r="L9" s="27" t="s">
        <v>181</v>
      </c>
    </row>
    <row r="10" spans="1:12" ht="55.5" customHeight="1" x14ac:dyDescent="0.3">
      <c r="A10" s="17">
        <v>43195</v>
      </c>
      <c r="B10" s="18">
        <v>23</v>
      </c>
      <c r="C10" s="18">
        <v>0</v>
      </c>
      <c r="D10" s="2">
        <f t="shared" si="0"/>
        <v>23</v>
      </c>
      <c r="E10" s="2"/>
      <c r="F10" s="2"/>
      <c r="G10" s="2"/>
      <c r="H10" s="2"/>
      <c r="I10" s="2"/>
      <c r="J10" s="2"/>
      <c r="K10" s="19" t="s">
        <v>183</v>
      </c>
      <c r="L10" s="38"/>
    </row>
    <row r="11" spans="1:12" ht="39" customHeight="1" x14ac:dyDescent="0.3">
      <c r="A11" s="17">
        <v>43199</v>
      </c>
      <c r="B11" s="18">
        <v>0</v>
      </c>
      <c r="C11" s="18">
        <v>14</v>
      </c>
      <c r="D11" s="2">
        <f t="shared" si="0"/>
        <v>-14</v>
      </c>
      <c r="E11" s="2"/>
      <c r="F11" s="2"/>
      <c r="G11" s="2"/>
      <c r="H11" s="2"/>
      <c r="I11" s="2"/>
      <c r="J11" s="2"/>
      <c r="K11" s="19" t="s">
        <v>184</v>
      </c>
      <c r="L11" s="38"/>
    </row>
    <row r="12" spans="1:12" ht="15" customHeight="1" x14ac:dyDescent="0.25">
      <c r="A12" s="17">
        <v>43200</v>
      </c>
      <c r="B12" s="18">
        <v>10</v>
      </c>
      <c r="C12" s="18">
        <v>0</v>
      </c>
      <c r="D12" s="2">
        <f t="shared" si="0"/>
        <v>10</v>
      </c>
      <c r="E12" s="2"/>
      <c r="F12" s="2"/>
      <c r="G12" s="2"/>
      <c r="H12" s="2"/>
      <c r="I12" s="2"/>
      <c r="J12" s="2"/>
      <c r="K12" s="19" t="s">
        <v>185</v>
      </c>
    </row>
    <row r="13" spans="1:12" ht="15" customHeight="1" x14ac:dyDescent="0.25">
      <c r="A13" s="17">
        <v>43201</v>
      </c>
      <c r="B13" s="18"/>
      <c r="C13" s="18"/>
      <c r="D13" s="2">
        <f t="shared" si="0"/>
        <v>0</v>
      </c>
      <c r="E13" s="2">
        <v>36</v>
      </c>
      <c r="F13" s="2"/>
      <c r="G13" s="2"/>
      <c r="H13" s="2"/>
      <c r="I13" s="2"/>
      <c r="J13" s="2"/>
      <c r="K13" s="19" t="s">
        <v>107</v>
      </c>
    </row>
    <row r="14" spans="1:12" ht="15" customHeight="1" x14ac:dyDescent="0.25">
      <c r="A14" s="17">
        <v>43201</v>
      </c>
      <c r="B14" s="18"/>
      <c r="C14" s="18"/>
      <c r="D14" s="2">
        <f t="shared" si="0"/>
        <v>0</v>
      </c>
      <c r="E14" s="2">
        <v>4</v>
      </c>
      <c r="F14" s="2"/>
      <c r="G14" s="2"/>
      <c r="H14" s="2"/>
      <c r="I14" s="2"/>
      <c r="J14" s="2"/>
      <c r="K14" s="19" t="s">
        <v>186</v>
      </c>
    </row>
    <row r="15" spans="1:12" ht="70.5" customHeight="1" x14ac:dyDescent="0.25">
      <c r="A15" s="17">
        <v>43201</v>
      </c>
      <c r="B15" s="18">
        <v>36</v>
      </c>
      <c r="C15" s="18">
        <v>0</v>
      </c>
      <c r="D15" s="2">
        <f t="shared" si="0"/>
        <v>36</v>
      </c>
      <c r="E15" s="2"/>
      <c r="F15" s="2"/>
      <c r="G15" s="2"/>
      <c r="H15" s="2"/>
      <c r="I15" s="2"/>
      <c r="J15" s="2"/>
      <c r="K15" s="19" t="s">
        <v>187</v>
      </c>
    </row>
    <row r="16" spans="1:12" ht="15" customHeight="1" x14ac:dyDescent="0.25">
      <c r="A16" s="17">
        <v>43202</v>
      </c>
      <c r="B16" s="18">
        <v>0</v>
      </c>
      <c r="C16" s="18">
        <v>2</v>
      </c>
      <c r="D16" s="2">
        <f t="shared" si="0"/>
        <v>-2</v>
      </c>
      <c r="E16" s="2"/>
      <c r="F16" s="2"/>
      <c r="G16" s="2"/>
      <c r="H16" s="2"/>
      <c r="I16" s="2"/>
      <c r="J16" s="2"/>
      <c r="K16" s="19" t="s">
        <v>188</v>
      </c>
      <c r="L16" s="27" t="s">
        <v>181</v>
      </c>
    </row>
    <row r="17" spans="1:11" ht="55.5" customHeight="1" x14ac:dyDescent="0.25">
      <c r="A17" s="17">
        <v>43202</v>
      </c>
      <c r="B17" s="18">
        <v>0</v>
      </c>
      <c r="C17" s="18">
        <v>30</v>
      </c>
      <c r="D17" s="2">
        <f t="shared" si="0"/>
        <v>-30</v>
      </c>
      <c r="E17" s="2"/>
      <c r="F17" s="2"/>
      <c r="G17" s="2"/>
      <c r="H17" s="2"/>
      <c r="I17" s="2"/>
      <c r="J17" s="2"/>
      <c r="K17" s="19" t="s">
        <v>189</v>
      </c>
    </row>
    <row r="18" spans="1:11" ht="15" customHeight="1" x14ac:dyDescent="0.25">
      <c r="A18" s="17">
        <v>43207</v>
      </c>
      <c r="B18" s="18">
        <v>0</v>
      </c>
      <c r="C18" s="18">
        <v>3</v>
      </c>
      <c r="D18" s="2">
        <f t="shared" si="0"/>
        <v>-3</v>
      </c>
      <c r="E18" s="2"/>
      <c r="F18" s="2"/>
      <c r="G18" s="2"/>
      <c r="H18" s="2"/>
      <c r="I18" s="2"/>
      <c r="J18" s="2"/>
      <c r="K18" s="19" t="s">
        <v>190</v>
      </c>
    </row>
    <row r="19" spans="1:11" ht="55.5" customHeight="1" x14ac:dyDescent="0.25">
      <c r="A19" s="17">
        <v>43207</v>
      </c>
      <c r="B19" s="18">
        <v>20</v>
      </c>
      <c r="C19" s="18">
        <v>0</v>
      </c>
      <c r="D19" s="2">
        <f t="shared" si="0"/>
        <v>20</v>
      </c>
      <c r="E19" s="2"/>
      <c r="F19" s="2"/>
      <c r="G19" s="2"/>
      <c r="H19" s="2"/>
      <c r="I19" s="2"/>
      <c r="J19" s="2"/>
      <c r="K19" s="19" t="s">
        <v>191</v>
      </c>
    </row>
    <row r="20" spans="1:11" ht="24" customHeight="1" x14ac:dyDescent="0.25">
      <c r="A20" s="17">
        <v>43208</v>
      </c>
      <c r="B20" s="18"/>
      <c r="C20" s="18"/>
      <c r="D20" s="2">
        <f t="shared" si="0"/>
        <v>0</v>
      </c>
      <c r="E20" s="2">
        <v>26</v>
      </c>
      <c r="F20" s="2"/>
      <c r="G20" s="2"/>
      <c r="H20" s="2"/>
      <c r="I20" s="2"/>
      <c r="J20" s="2"/>
      <c r="K20" s="19" t="s">
        <v>107</v>
      </c>
    </row>
    <row r="21" spans="1:11" ht="51.75" customHeight="1" x14ac:dyDescent="0.25">
      <c r="A21" s="21">
        <v>43208</v>
      </c>
      <c r="B21" s="22">
        <v>26</v>
      </c>
      <c r="C21" s="22">
        <v>0</v>
      </c>
      <c r="D21" s="2">
        <f t="shared" si="0"/>
        <v>26</v>
      </c>
      <c r="E21" s="23"/>
      <c r="F21" s="23"/>
      <c r="G21" s="23"/>
      <c r="H21" s="23"/>
      <c r="I21" s="23"/>
      <c r="J21" s="23"/>
      <c r="K21" s="25" t="s">
        <v>192</v>
      </c>
    </row>
    <row r="22" spans="1:11" ht="82.5" customHeight="1" x14ac:dyDescent="0.25">
      <c r="A22" s="17">
        <v>43209</v>
      </c>
      <c r="B22" s="18">
        <v>0</v>
      </c>
      <c r="C22" s="18">
        <v>44</v>
      </c>
      <c r="D22" s="2">
        <f t="shared" si="0"/>
        <v>-44</v>
      </c>
      <c r="E22" s="2"/>
      <c r="F22" s="2"/>
      <c r="G22" s="2"/>
      <c r="H22" s="2"/>
      <c r="I22" s="2"/>
      <c r="J22" s="2"/>
      <c r="K22" s="19" t="s">
        <v>193</v>
      </c>
    </row>
    <row r="23" spans="1:11" ht="86.25" customHeight="1" x14ac:dyDescent="0.25">
      <c r="A23" s="17">
        <v>43209</v>
      </c>
      <c r="B23" s="18">
        <v>48</v>
      </c>
      <c r="C23" s="18">
        <v>0</v>
      </c>
      <c r="D23" s="2">
        <f t="shared" si="0"/>
        <v>48</v>
      </c>
      <c r="E23" s="2"/>
      <c r="F23" s="2"/>
      <c r="G23" s="2"/>
      <c r="H23" s="2"/>
      <c r="I23" s="2"/>
      <c r="J23" s="2"/>
      <c r="K23" s="49" t="s">
        <v>194</v>
      </c>
    </row>
    <row r="24" spans="1:11" ht="15" customHeight="1" x14ac:dyDescent="0.25">
      <c r="A24" s="17">
        <v>43213</v>
      </c>
      <c r="B24" s="18">
        <v>0</v>
      </c>
      <c r="C24" s="18">
        <v>5</v>
      </c>
      <c r="D24" s="2">
        <f t="shared" si="0"/>
        <v>-5</v>
      </c>
      <c r="E24" s="2"/>
      <c r="F24" s="2"/>
      <c r="G24" s="2"/>
      <c r="H24" s="2"/>
      <c r="I24" s="2"/>
      <c r="J24" s="2"/>
      <c r="K24" s="19" t="s">
        <v>195</v>
      </c>
    </row>
    <row r="25" spans="1:11" ht="15" customHeight="1" x14ac:dyDescent="0.25">
      <c r="A25" s="17">
        <v>43213</v>
      </c>
      <c r="B25" s="18">
        <v>9</v>
      </c>
      <c r="C25" s="18">
        <v>0</v>
      </c>
      <c r="D25" s="2">
        <f t="shared" si="0"/>
        <v>9</v>
      </c>
      <c r="E25" s="2"/>
      <c r="F25" s="2"/>
      <c r="G25" s="2"/>
      <c r="H25" s="2"/>
      <c r="I25" s="2"/>
      <c r="J25" s="2"/>
      <c r="K25" s="19" t="s">
        <v>196</v>
      </c>
    </row>
    <row r="26" spans="1:11" ht="15" customHeight="1" x14ac:dyDescent="0.25">
      <c r="A26" s="17">
        <v>43215</v>
      </c>
      <c r="B26" s="18">
        <v>0</v>
      </c>
      <c r="C26" s="18">
        <v>4</v>
      </c>
      <c r="D26" s="2">
        <f t="shared" si="0"/>
        <v>-4</v>
      </c>
      <c r="E26" s="2"/>
      <c r="F26" s="2"/>
      <c r="G26" s="2"/>
      <c r="H26" s="2"/>
      <c r="I26" s="2"/>
      <c r="J26" s="2"/>
      <c r="K26" s="20" t="s">
        <v>197</v>
      </c>
    </row>
    <row r="27" spans="1:11" x14ac:dyDescent="0.25">
      <c r="A27" s="17">
        <v>43215</v>
      </c>
      <c r="B27" s="18">
        <v>5</v>
      </c>
      <c r="C27" s="18">
        <v>0</v>
      </c>
      <c r="D27" s="2">
        <f t="shared" si="0"/>
        <v>5</v>
      </c>
      <c r="E27" s="2"/>
      <c r="F27" s="2"/>
      <c r="G27" s="2"/>
      <c r="H27" s="2"/>
      <c r="I27" s="2"/>
      <c r="J27" s="2"/>
      <c r="K27" s="20" t="s">
        <v>198</v>
      </c>
    </row>
    <row r="28" spans="1:11" x14ac:dyDescent="0.25">
      <c r="A28" s="17">
        <v>43217</v>
      </c>
      <c r="B28" s="18">
        <v>0</v>
      </c>
      <c r="C28" s="18">
        <v>1</v>
      </c>
      <c r="D28" s="2">
        <f t="shared" si="0"/>
        <v>-1</v>
      </c>
      <c r="E28" s="2"/>
      <c r="F28" s="2"/>
      <c r="G28" s="2"/>
      <c r="H28" s="2"/>
      <c r="I28" s="2"/>
      <c r="J28" s="2"/>
      <c r="K28" s="20" t="s">
        <v>84</v>
      </c>
    </row>
    <row r="29" spans="1:11" ht="30" x14ac:dyDescent="0.25">
      <c r="A29" s="17">
        <v>43217</v>
      </c>
      <c r="B29" s="18">
        <v>10</v>
      </c>
      <c r="C29" s="18">
        <v>0</v>
      </c>
      <c r="D29" s="2">
        <f t="shared" si="0"/>
        <v>10</v>
      </c>
      <c r="E29" s="2"/>
      <c r="F29" s="2"/>
      <c r="G29" s="2"/>
      <c r="H29" s="2"/>
      <c r="I29" s="2"/>
      <c r="J29" s="2"/>
      <c r="K29" s="19" t="s">
        <v>199</v>
      </c>
    </row>
    <row r="30" spans="1:11" x14ac:dyDescent="0.25">
      <c r="A30" s="17">
        <v>43217</v>
      </c>
      <c r="B30" s="18">
        <v>0</v>
      </c>
      <c r="C30" s="18">
        <v>9</v>
      </c>
      <c r="D30" s="2">
        <f t="shared" si="0"/>
        <v>-9</v>
      </c>
      <c r="E30" s="2"/>
      <c r="F30" s="2"/>
      <c r="G30" s="2"/>
      <c r="H30" s="2"/>
      <c r="I30" s="2"/>
      <c r="J30" s="2"/>
      <c r="K30" s="19" t="s">
        <v>200</v>
      </c>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PfymXDE6OQuXv12rOUYR6ggO7F7byJ63bFzJwGBnQ6zuyeKDEJYJYUQLq9W6u2QvO2V0FijZfpUWDTAz79IOGA==" saltValue="vM3k8CZJsI50MZkGqJTx1Q==" spinCount="100000" sheet="1" objects="1" scenarios="1" selectLockedCells="1" selectUnlockedCells="1"/>
  <customSheetViews>
    <customSheetView guid="{E5A7B818-645B-417C-A128-9FE559D9B124}" fitToPage="1">
      <pane ySplit="6" topLeftCell="A10" activePane="bottomLeft" state="frozen"/>
      <selection pane="bottomLeft" activeCell="K13" sqref="K13"/>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201" priority="1" operator="lessThan">
      <formula>0</formula>
    </cfRule>
    <cfRule type="cellIs" dxfId="20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0">
    <pageSetUpPr fitToPage="1"/>
  </sheetPr>
  <dimension ref="A1:L45"/>
  <sheetViews>
    <sheetView workbookViewId="0">
      <pane ySplit="6" topLeftCell="A22"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44</v>
      </c>
    </row>
    <row r="3" spans="1:12" ht="15.75" thickBot="1" x14ac:dyDescent="0.3">
      <c r="A3" s="5"/>
      <c r="B3" s="2"/>
      <c r="C3" s="2"/>
      <c r="D3" s="2"/>
      <c r="E3" s="2"/>
      <c r="F3" s="2">
        <f>'04.18'!F6</f>
        <v>478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550</v>
      </c>
      <c r="G6" s="30">
        <f>SUM(B:B)</f>
        <v>218</v>
      </c>
      <c r="H6" s="30">
        <f>SUM(C:C)</f>
        <v>146</v>
      </c>
      <c r="I6" s="30"/>
      <c r="J6" s="33">
        <f>SUM(G6:H6)+SUM(E:E)</f>
        <v>412</v>
      </c>
      <c r="K6" s="34"/>
      <c r="L6" s="55">
        <f>J6/K1</f>
        <v>0.69360269360269355</v>
      </c>
    </row>
    <row r="7" spans="1:12" ht="27.75" customHeight="1" x14ac:dyDescent="0.25">
      <c r="A7" s="17">
        <v>43222</v>
      </c>
      <c r="B7" s="18">
        <v>0</v>
      </c>
      <c r="C7" s="18">
        <v>18</v>
      </c>
      <c r="D7" s="2">
        <f t="shared" ref="D7:D45" si="0">B7-C7</f>
        <v>-18</v>
      </c>
      <c r="E7" s="2"/>
      <c r="F7" s="2"/>
      <c r="G7" s="2"/>
      <c r="H7" s="2"/>
      <c r="I7" s="2"/>
      <c r="J7" s="2"/>
      <c r="K7" s="19" t="s">
        <v>201</v>
      </c>
    </row>
    <row r="8" spans="1:12" ht="15" customHeight="1" x14ac:dyDescent="0.25">
      <c r="A8" s="17">
        <v>43222</v>
      </c>
      <c r="B8" s="18">
        <v>8</v>
      </c>
      <c r="C8" s="18">
        <v>0</v>
      </c>
      <c r="D8" s="2">
        <f t="shared" si="0"/>
        <v>8</v>
      </c>
      <c r="E8" s="2"/>
      <c r="F8" s="2"/>
      <c r="G8" s="2"/>
      <c r="H8" s="2"/>
      <c r="I8" s="2"/>
      <c r="J8" s="2"/>
      <c r="K8" s="19" t="s">
        <v>202</v>
      </c>
    </row>
    <row r="9" spans="1:12" ht="40.5" customHeight="1" x14ac:dyDescent="0.25">
      <c r="A9" s="17">
        <v>43224</v>
      </c>
      <c r="B9" s="18">
        <v>0</v>
      </c>
      <c r="C9" s="18">
        <v>17</v>
      </c>
      <c r="D9" s="2">
        <f t="shared" si="0"/>
        <v>-17</v>
      </c>
      <c r="E9" s="2"/>
      <c r="F9" s="2"/>
      <c r="G9" s="2"/>
      <c r="H9" s="2"/>
      <c r="I9" s="2"/>
      <c r="J9" s="2"/>
      <c r="K9" s="19" t="s">
        <v>203</v>
      </c>
    </row>
    <row r="10" spans="1:12" ht="15" customHeight="1" x14ac:dyDescent="0.25">
      <c r="A10" s="17">
        <v>43224</v>
      </c>
      <c r="B10" s="18">
        <v>0</v>
      </c>
      <c r="C10" s="18">
        <v>1</v>
      </c>
      <c r="D10" s="2">
        <f t="shared" si="0"/>
        <v>-1</v>
      </c>
      <c r="E10" s="2"/>
      <c r="F10" s="2"/>
      <c r="G10" s="2"/>
      <c r="H10" s="2"/>
      <c r="I10" s="2"/>
      <c r="J10" s="2"/>
      <c r="K10" s="19">
        <v>501126</v>
      </c>
      <c r="L10" s="53" t="s">
        <v>181</v>
      </c>
    </row>
    <row r="11" spans="1:12" ht="39" customHeight="1" x14ac:dyDescent="0.3">
      <c r="A11" s="17">
        <v>43224</v>
      </c>
      <c r="B11" s="18">
        <v>18</v>
      </c>
      <c r="C11" s="18">
        <v>0</v>
      </c>
      <c r="D11" s="2">
        <f t="shared" si="0"/>
        <v>18</v>
      </c>
      <c r="E11" s="2"/>
      <c r="F11" s="2"/>
      <c r="G11" s="2"/>
      <c r="H11" s="2"/>
      <c r="I11" s="2"/>
      <c r="J11" s="2"/>
      <c r="K11" s="19" t="s">
        <v>204</v>
      </c>
      <c r="L11" s="56"/>
    </row>
    <row r="12" spans="1:12" ht="15" customHeight="1" x14ac:dyDescent="0.25">
      <c r="A12" s="17">
        <v>43228</v>
      </c>
      <c r="B12" s="18">
        <v>2</v>
      </c>
      <c r="C12" s="18">
        <v>2</v>
      </c>
      <c r="D12" s="2">
        <f t="shared" si="0"/>
        <v>0</v>
      </c>
      <c r="E12" s="2">
        <v>2</v>
      </c>
      <c r="F12" s="2"/>
      <c r="G12" s="2"/>
      <c r="H12" s="2"/>
      <c r="I12" s="2"/>
      <c r="J12" s="2"/>
      <c r="K12" s="19" t="s">
        <v>205</v>
      </c>
    </row>
    <row r="13" spans="1:12" ht="15" customHeight="1" x14ac:dyDescent="0.25">
      <c r="A13" s="17">
        <v>43228</v>
      </c>
      <c r="B13" s="18">
        <v>0</v>
      </c>
      <c r="C13" s="18">
        <v>8</v>
      </c>
      <c r="D13" s="2">
        <f t="shared" si="0"/>
        <v>-8</v>
      </c>
      <c r="E13" s="2"/>
      <c r="F13" s="2"/>
      <c r="G13" s="2"/>
      <c r="H13" s="2"/>
      <c r="I13" s="2"/>
      <c r="J13" s="2"/>
      <c r="K13" s="19" t="s">
        <v>206</v>
      </c>
    </row>
    <row r="14" spans="1:12" ht="15" customHeight="1" x14ac:dyDescent="0.25">
      <c r="A14" s="17">
        <v>43228</v>
      </c>
      <c r="B14" s="18">
        <v>0</v>
      </c>
      <c r="C14" s="18">
        <v>3</v>
      </c>
      <c r="D14" s="2">
        <f t="shared" si="0"/>
        <v>-3</v>
      </c>
      <c r="E14" s="2"/>
      <c r="F14" s="2"/>
      <c r="G14" s="2"/>
      <c r="H14" s="2"/>
      <c r="I14" s="2"/>
      <c r="J14" s="2"/>
      <c r="K14" s="19" t="s">
        <v>207</v>
      </c>
    </row>
    <row r="15" spans="1:12" ht="15" customHeight="1" x14ac:dyDescent="0.25">
      <c r="A15" s="17">
        <v>43228</v>
      </c>
      <c r="B15" s="18">
        <v>0</v>
      </c>
      <c r="C15" s="18">
        <v>2</v>
      </c>
      <c r="D15" s="2">
        <f t="shared" si="0"/>
        <v>-2</v>
      </c>
      <c r="E15" s="2"/>
      <c r="F15" s="2"/>
      <c r="G15" s="2"/>
      <c r="H15" s="2"/>
      <c r="I15" s="2"/>
      <c r="J15" s="2"/>
      <c r="K15" s="20" t="s">
        <v>208</v>
      </c>
      <c r="L15" s="53" t="s">
        <v>181</v>
      </c>
    </row>
    <row r="16" spans="1:12" ht="39" customHeight="1" x14ac:dyDescent="0.25">
      <c r="A16" s="17">
        <v>43228</v>
      </c>
      <c r="B16" s="18">
        <v>16</v>
      </c>
      <c r="C16" s="18">
        <v>0</v>
      </c>
      <c r="D16" s="2">
        <f t="shared" si="0"/>
        <v>16</v>
      </c>
      <c r="E16" s="2"/>
      <c r="F16" s="2"/>
      <c r="G16" s="2"/>
      <c r="H16" s="2"/>
      <c r="I16" s="2"/>
      <c r="J16" s="2"/>
      <c r="K16" s="19" t="s">
        <v>209</v>
      </c>
    </row>
    <row r="17" spans="1:12" ht="15" customHeight="1" x14ac:dyDescent="0.25">
      <c r="A17" s="17">
        <v>43228</v>
      </c>
      <c r="B17" s="18">
        <v>0</v>
      </c>
      <c r="C17" s="18">
        <v>1</v>
      </c>
      <c r="D17" s="2">
        <f t="shared" si="0"/>
        <v>-1</v>
      </c>
      <c r="E17" s="2"/>
      <c r="F17" s="2"/>
      <c r="G17" s="2"/>
      <c r="H17" s="2"/>
      <c r="I17" s="2"/>
      <c r="J17" s="2"/>
      <c r="K17" s="19">
        <v>501868</v>
      </c>
      <c r="L17" s="53" t="s">
        <v>181</v>
      </c>
    </row>
    <row r="18" spans="1:12" ht="37.5" customHeight="1" x14ac:dyDescent="0.25">
      <c r="A18" s="17">
        <v>43229</v>
      </c>
      <c r="B18" s="18">
        <v>0</v>
      </c>
      <c r="C18" s="18">
        <v>19</v>
      </c>
      <c r="D18" s="2">
        <f t="shared" si="0"/>
        <v>-19</v>
      </c>
      <c r="E18" s="2"/>
      <c r="F18" s="2"/>
      <c r="G18" s="2"/>
      <c r="H18" s="2"/>
      <c r="I18" s="2"/>
      <c r="J18" s="2"/>
      <c r="K18" s="19" t="s">
        <v>210</v>
      </c>
    </row>
    <row r="19" spans="1:12" ht="24" customHeight="1" x14ac:dyDescent="0.25">
      <c r="A19" s="17">
        <v>43229</v>
      </c>
      <c r="B19" s="18">
        <v>0</v>
      </c>
      <c r="C19" s="18">
        <v>2</v>
      </c>
      <c r="D19" s="2">
        <f t="shared" si="0"/>
        <v>-2</v>
      </c>
      <c r="E19" s="2"/>
      <c r="F19" s="2"/>
      <c r="G19" s="2"/>
      <c r="H19" s="2"/>
      <c r="I19" s="2"/>
      <c r="J19" s="2"/>
      <c r="K19" s="19" t="s">
        <v>211</v>
      </c>
      <c r="L19" s="53" t="s">
        <v>181</v>
      </c>
    </row>
    <row r="20" spans="1:12" ht="15" customHeight="1" x14ac:dyDescent="0.25">
      <c r="A20" s="17">
        <v>43229</v>
      </c>
      <c r="B20" s="18">
        <v>9</v>
      </c>
      <c r="C20" s="18">
        <v>0</v>
      </c>
      <c r="D20" s="2">
        <f t="shared" si="0"/>
        <v>9</v>
      </c>
      <c r="E20" s="2"/>
      <c r="F20" s="2"/>
      <c r="G20" s="2"/>
      <c r="H20" s="2"/>
      <c r="I20" s="2"/>
      <c r="J20" s="2"/>
      <c r="K20" s="19" t="s">
        <v>212</v>
      </c>
    </row>
    <row r="21" spans="1:12" ht="56.25" customHeight="1" x14ac:dyDescent="0.25">
      <c r="A21" s="21">
        <v>43234</v>
      </c>
      <c r="B21" s="22">
        <v>23</v>
      </c>
      <c r="C21" s="22">
        <v>0</v>
      </c>
      <c r="D21" s="2">
        <f t="shared" si="0"/>
        <v>23</v>
      </c>
      <c r="E21" s="23"/>
      <c r="F21" s="23"/>
      <c r="G21" s="23"/>
      <c r="H21" s="23"/>
      <c r="I21" s="23"/>
      <c r="J21" s="23"/>
      <c r="K21" s="25" t="s">
        <v>213</v>
      </c>
    </row>
    <row r="22" spans="1:12" ht="36.950000000000003" customHeight="1" x14ac:dyDescent="0.25">
      <c r="A22" s="17">
        <v>43235</v>
      </c>
      <c r="B22" s="18">
        <v>0</v>
      </c>
      <c r="C22" s="18">
        <v>13</v>
      </c>
      <c r="D22" s="2">
        <f t="shared" si="0"/>
        <v>-13</v>
      </c>
      <c r="E22" s="2"/>
      <c r="F22" s="2"/>
      <c r="G22" s="2"/>
      <c r="H22" s="2"/>
      <c r="I22" s="2"/>
      <c r="J22" s="2"/>
      <c r="K22" s="19" t="s">
        <v>214</v>
      </c>
    </row>
    <row r="23" spans="1:12" ht="36.950000000000003" customHeight="1" x14ac:dyDescent="0.25">
      <c r="A23" s="17">
        <v>43235</v>
      </c>
      <c r="B23" s="18">
        <v>17</v>
      </c>
      <c r="C23" s="18">
        <v>0</v>
      </c>
      <c r="D23" s="2">
        <f t="shared" si="0"/>
        <v>17</v>
      </c>
      <c r="E23" s="2"/>
      <c r="F23" s="2"/>
      <c r="G23" s="2"/>
      <c r="H23" s="2"/>
      <c r="I23" s="2"/>
      <c r="J23" s="2"/>
      <c r="K23" s="49" t="s">
        <v>215</v>
      </c>
    </row>
    <row r="24" spans="1:12" ht="15" customHeight="1" x14ac:dyDescent="0.25">
      <c r="A24" s="17">
        <v>43237</v>
      </c>
      <c r="B24" s="18">
        <v>0</v>
      </c>
      <c r="C24" s="18">
        <v>4</v>
      </c>
      <c r="D24" s="2">
        <f t="shared" si="0"/>
        <v>-4</v>
      </c>
      <c r="E24" s="2"/>
      <c r="F24" s="2"/>
      <c r="G24" s="2"/>
      <c r="H24" s="2"/>
      <c r="I24" s="2"/>
      <c r="J24" s="2"/>
      <c r="K24" s="19" t="s">
        <v>216</v>
      </c>
      <c r="L24" s="53" t="s">
        <v>217</v>
      </c>
    </row>
    <row r="25" spans="1:12" ht="15" customHeight="1" x14ac:dyDescent="0.25">
      <c r="A25" s="17">
        <v>43237</v>
      </c>
      <c r="B25" s="18">
        <v>0</v>
      </c>
      <c r="C25" s="18">
        <v>0</v>
      </c>
      <c r="D25" s="2">
        <f t="shared" ref="D25" si="1">B25-C25</f>
        <v>0</v>
      </c>
      <c r="E25" s="2">
        <v>42</v>
      </c>
      <c r="F25" s="2"/>
      <c r="G25" s="2"/>
      <c r="H25" s="2"/>
      <c r="I25" s="2"/>
      <c r="J25" s="2"/>
      <c r="K25" s="19" t="s">
        <v>107</v>
      </c>
    </row>
    <row r="26" spans="1:12" ht="91.5" customHeight="1" x14ac:dyDescent="0.3">
      <c r="A26" s="17">
        <v>43237</v>
      </c>
      <c r="B26" s="18">
        <v>42</v>
      </c>
      <c r="C26" s="18">
        <v>0</v>
      </c>
      <c r="D26" s="2">
        <f t="shared" si="0"/>
        <v>42</v>
      </c>
      <c r="E26" s="2"/>
      <c r="F26" s="2"/>
      <c r="G26" s="2"/>
      <c r="H26" s="2"/>
      <c r="I26" s="2"/>
      <c r="J26" s="2"/>
      <c r="K26" s="19" t="s">
        <v>218</v>
      </c>
      <c r="L26" s="38" t="s">
        <v>219</v>
      </c>
    </row>
    <row r="27" spans="1:12" ht="27" customHeight="1" x14ac:dyDescent="0.25">
      <c r="A27" s="17">
        <v>43238</v>
      </c>
      <c r="B27" s="18">
        <v>0</v>
      </c>
      <c r="C27" s="18">
        <v>10</v>
      </c>
      <c r="D27" s="2">
        <f t="shared" si="0"/>
        <v>-10</v>
      </c>
      <c r="E27" s="2"/>
      <c r="F27" s="2"/>
      <c r="G27" s="2"/>
      <c r="H27" s="2"/>
      <c r="I27" s="2"/>
      <c r="J27" s="2"/>
      <c r="K27" s="20" t="s">
        <v>220</v>
      </c>
    </row>
    <row r="28" spans="1:12" x14ac:dyDescent="0.25">
      <c r="A28" s="17">
        <v>43242</v>
      </c>
      <c r="B28" s="18">
        <v>4</v>
      </c>
      <c r="C28" s="18">
        <v>4</v>
      </c>
      <c r="D28" s="2">
        <f t="shared" si="0"/>
        <v>0</v>
      </c>
      <c r="E28" s="2">
        <v>4</v>
      </c>
      <c r="F28" s="2"/>
      <c r="G28" s="2"/>
      <c r="H28" s="2"/>
      <c r="I28" s="2"/>
      <c r="J28" s="2"/>
      <c r="K28" s="20" t="s">
        <v>221</v>
      </c>
    </row>
    <row r="29" spans="1:12" ht="65.25" customHeight="1" x14ac:dyDescent="0.25">
      <c r="A29" s="17">
        <v>43242</v>
      </c>
      <c r="B29" s="18">
        <v>0</v>
      </c>
      <c r="C29" s="18">
        <v>23</v>
      </c>
      <c r="D29" s="2">
        <f t="shared" si="0"/>
        <v>-23</v>
      </c>
      <c r="E29" s="2"/>
      <c r="F29" s="2"/>
      <c r="G29" s="2"/>
      <c r="H29" s="2"/>
      <c r="I29" s="2"/>
      <c r="J29" s="2"/>
      <c r="K29" s="19" t="s">
        <v>222</v>
      </c>
    </row>
    <row r="30" spans="1:12" x14ac:dyDescent="0.25">
      <c r="A30" s="17">
        <v>43243</v>
      </c>
      <c r="B30" s="18">
        <v>0</v>
      </c>
      <c r="C30" s="18">
        <v>4</v>
      </c>
      <c r="D30" s="2">
        <f t="shared" si="0"/>
        <v>-4</v>
      </c>
      <c r="E30" s="2"/>
      <c r="F30" s="2"/>
      <c r="G30" s="2"/>
      <c r="H30" s="2"/>
      <c r="I30" s="2"/>
      <c r="J30" s="2"/>
      <c r="K30" s="19" t="s">
        <v>223</v>
      </c>
    </row>
    <row r="31" spans="1:12" ht="37.5" customHeight="1" x14ac:dyDescent="0.25">
      <c r="A31" s="17">
        <v>43244</v>
      </c>
      <c r="B31" s="18">
        <v>0</v>
      </c>
      <c r="C31" s="18">
        <v>13</v>
      </c>
      <c r="D31" s="2">
        <f t="shared" si="0"/>
        <v>-13</v>
      </c>
      <c r="E31" s="2"/>
      <c r="F31" s="2"/>
      <c r="G31" s="2"/>
      <c r="H31" s="2"/>
      <c r="I31" s="2"/>
      <c r="J31" s="2"/>
      <c r="K31" s="19" t="s">
        <v>224</v>
      </c>
    </row>
    <row r="32" spans="1:12" ht="87" customHeight="1" x14ac:dyDescent="0.25">
      <c r="A32" s="17">
        <v>43244</v>
      </c>
      <c r="B32" s="18">
        <v>50</v>
      </c>
      <c r="C32" s="18">
        <v>0</v>
      </c>
      <c r="D32" s="2">
        <f t="shared" si="0"/>
        <v>50</v>
      </c>
      <c r="E32" s="2"/>
      <c r="F32" s="2"/>
      <c r="G32" s="2"/>
      <c r="H32" s="2"/>
      <c r="I32" s="2"/>
      <c r="J32" s="2"/>
      <c r="K32" s="19" t="s">
        <v>225</v>
      </c>
    </row>
    <row r="33" spans="1:11" ht="45" x14ac:dyDescent="0.25">
      <c r="A33" s="17">
        <v>43245</v>
      </c>
      <c r="B33" s="18">
        <v>12</v>
      </c>
      <c r="C33" s="18">
        <v>0</v>
      </c>
      <c r="D33" s="2">
        <f t="shared" si="0"/>
        <v>12</v>
      </c>
      <c r="E33" s="2"/>
      <c r="F33" s="2"/>
      <c r="G33" s="2"/>
      <c r="H33" s="2"/>
      <c r="I33" s="2"/>
      <c r="J33" s="2"/>
      <c r="K33" s="19" t="s">
        <v>226</v>
      </c>
    </row>
    <row r="34" spans="1:11" x14ac:dyDescent="0.25">
      <c r="A34" s="17">
        <v>43250</v>
      </c>
      <c r="B34" s="18">
        <v>0</v>
      </c>
      <c r="C34" s="18">
        <v>2</v>
      </c>
      <c r="D34" s="2">
        <f t="shared" si="0"/>
        <v>-2</v>
      </c>
      <c r="E34" s="2"/>
      <c r="F34" s="2"/>
      <c r="G34" s="2"/>
      <c r="H34" s="2"/>
      <c r="I34" s="2"/>
      <c r="J34" s="2"/>
      <c r="K34" s="19" t="s">
        <v>227</v>
      </c>
    </row>
    <row r="35" spans="1:11" x14ac:dyDescent="0.25">
      <c r="A35" s="17">
        <v>43250</v>
      </c>
      <c r="B35" s="18">
        <v>7</v>
      </c>
      <c r="C35" s="18">
        <v>0</v>
      </c>
      <c r="D35" s="2">
        <f t="shared" si="0"/>
        <v>7</v>
      </c>
      <c r="E35" s="2"/>
      <c r="F35" s="2"/>
      <c r="G35" s="2"/>
      <c r="H35" s="2"/>
      <c r="I35" s="2"/>
      <c r="J35" s="2"/>
      <c r="K35" s="20" t="s">
        <v>228</v>
      </c>
    </row>
    <row r="36" spans="1:11" x14ac:dyDescent="0.25">
      <c r="A36" s="17">
        <v>43251</v>
      </c>
      <c r="B36" s="18">
        <v>10</v>
      </c>
      <c r="C36" s="18">
        <v>0</v>
      </c>
      <c r="D36" s="2">
        <f t="shared" si="0"/>
        <v>10</v>
      </c>
      <c r="E36" s="2"/>
      <c r="F36" s="2"/>
      <c r="G36" s="2"/>
      <c r="H36" s="2"/>
      <c r="I36" s="2"/>
      <c r="J36" s="2"/>
      <c r="K36" s="20" t="s">
        <v>229</v>
      </c>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20"/>
    </row>
    <row r="41" spans="1:11" x14ac:dyDescent="0.25">
      <c r="A41" s="17"/>
      <c r="B41" s="18"/>
      <c r="C41" s="18"/>
      <c r="D41" s="2">
        <f t="shared" si="0"/>
        <v>0</v>
      </c>
      <c r="E41" s="2"/>
      <c r="F41" s="2"/>
      <c r="G41" s="2"/>
      <c r="H41" s="2"/>
      <c r="I41" s="2"/>
      <c r="J41" s="2"/>
      <c r="K41" s="19"/>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row r="45" spans="1:11" x14ac:dyDescent="0.25">
      <c r="A45" s="17"/>
      <c r="B45" s="18"/>
      <c r="C45" s="18"/>
      <c r="D45" s="2">
        <f t="shared" si="0"/>
        <v>0</v>
      </c>
      <c r="E45" s="2"/>
      <c r="F45" s="2"/>
      <c r="G45" s="2"/>
      <c r="H45" s="2"/>
      <c r="I45" s="2"/>
      <c r="J45" s="2"/>
      <c r="K45" s="20"/>
    </row>
  </sheetData>
  <sheetProtection algorithmName="SHA-512" hashValue="tfwsz7qLGYKbGBUwyiLef/a1vOuU9X3fqpNtOKao4RDDhfw/iwj84P5yMDJV70aKTufFIgy2Jxfv7ByqA+w9ZQ==" saltValue="EgaXO6g1jQYKn+JhSTqBtg==" spinCount="100000" sheet="1" objects="1" scenarios="1" selectLockedCells="1" selectUnlockedCells="1"/>
  <customSheetViews>
    <customSheetView guid="{E5A7B818-645B-417C-A128-9FE559D9B124}" fitToPage="1">
      <pane ySplit="6" topLeftCell="A22"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99" priority="1" operator="lessThan">
      <formula>0</formula>
    </cfRule>
    <cfRule type="cellIs" dxfId="19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1">
    <pageSetUpPr fitToPage="1"/>
  </sheetPr>
  <dimension ref="A1:L44"/>
  <sheetViews>
    <sheetView workbookViewId="0">
      <pane ySplit="6" topLeftCell="A25" activePane="bottomLeft" state="frozen"/>
      <selection pane="bottomLeft" activeCell="K37" sqref="K37"/>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166</v>
      </c>
    </row>
    <row r="3" spans="1:12" ht="15.75" thickBot="1" x14ac:dyDescent="0.3">
      <c r="A3" s="5"/>
      <c r="B3" s="2"/>
      <c r="C3" s="2"/>
      <c r="D3" s="2"/>
      <c r="E3" s="2"/>
      <c r="F3" s="2">
        <f>'05.18'!F6</f>
        <v>550</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428</v>
      </c>
      <c r="G6" s="30">
        <f>SUM(B:B)</f>
        <v>87</v>
      </c>
      <c r="H6" s="30">
        <f>SUM(C:C)</f>
        <v>209</v>
      </c>
      <c r="I6" s="30"/>
      <c r="J6" s="33">
        <f>SUM(G6:H6)+SUM(E:E)</f>
        <v>335</v>
      </c>
      <c r="K6" s="34"/>
      <c r="L6" s="50">
        <f>J6/K1</f>
        <v>0.56397306397306401</v>
      </c>
    </row>
    <row r="7" spans="1:12" ht="15" customHeight="1" x14ac:dyDescent="0.25">
      <c r="A7" s="17">
        <v>43252</v>
      </c>
      <c r="B7" s="18">
        <v>0</v>
      </c>
      <c r="C7" s="18">
        <v>9</v>
      </c>
      <c r="D7" s="2">
        <f t="shared" ref="D7:D28" si="0">B7-C7</f>
        <v>-9</v>
      </c>
      <c r="E7" s="2"/>
      <c r="F7" s="2"/>
      <c r="G7" s="2"/>
      <c r="H7" s="2"/>
      <c r="I7" s="2"/>
      <c r="J7" s="2"/>
      <c r="K7" s="19" t="s">
        <v>230</v>
      </c>
      <c r="L7" s="27" t="s">
        <v>231</v>
      </c>
    </row>
    <row r="8" spans="1:12" ht="15" customHeight="1" x14ac:dyDescent="0.25">
      <c r="A8" s="17">
        <v>43252</v>
      </c>
      <c r="B8" s="18">
        <v>0</v>
      </c>
      <c r="C8" s="18">
        <v>3</v>
      </c>
      <c r="D8" s="2">
        <f t="shared" si="0"/>
        <v>-3</v>
      </c>
      <c r="E8" s="2"/>
      <c r="F8" s="2"/>
      <c r="G8" s="2"/>
      <c r="H8" s="2"/>
      <c r="I8" s="2"/>
      <c r="J8" s="2"/>
      <c r="K8" s="19" t="s">
        <v>232</v>
      </c>
      <c r="L8" s="27" t="s">
        <v>233</v>
      </c>
    </row>
    <row r="9" spans="1:12" ht="39" customHeight="1" x14ac:dyDescent="0.25">
      <c r="A9" s="17">
        <v>43255</v>
      </c>
      <c r="B9" s="18">
        <v>0</v>
      </c>
      <c r="C9" s="18">
        <v>12</v>
      </c>
      <c r="D9" s="2">
        <f t="shared" si="0"/>
        <v>-12</v>
      </c>
      <c r="E9" s="2"/>
      <c r="F9" s="2"/>
      <c r="G9" s="2"/>
      <c r="H9" s="2"/>
      <c r="I9" s="2"/>
      <c r="J9" s="2"/>
      <c r="K9" s="19" t="s">
        <v>234</v>
      </c>
    </row>
    <row r="10" spans="1:12" ht="15" customHeight="1" x14ac:dyDescent="0.25">
      <c r="A10" s="17">
        <v>43257</v>
      </c>
      <c r="B10" s="18">
        <v>0</v>
      </c>
      <c r="C10" s="18">
        <v>4</v>
      </c>
      <c r="D10" s="2">
        <f t="shared" si="0"/>
        <v>-4</v>
      </c>
      <c r="E10" s="2"/>
      <c r="F10" s="2"/>
      <c r="G10" s="2"/>
      <c r="H10" s="2"/>
      <c r="I10" s="2"/>
      <c r="J10" s="2"/>
      <c r="K10" s="19" t="s">
        <v>235</v>
      </c>
      <c r="L10" s="27" t="s">
        <v>231</v>
      </c>
    </row>
    <row r="11" spans="1:12" ht="38.25" customHeight="1" x14ac:dyDescent="0.3">
      <c r="A11" s="17">
        <v>43258</v>
      </c>
      <c r="B11" s="18">
        <v>0</v>
      </c>
      <c r="C11" s="18">
        <v>11</v>
      </c>
      <c r="D11" s="2">
        <f t="shared" si="0"/>
        <v>-11</v>
      </c>
      <c r="E11" s="2"/>
      <c r="F11" s="2"/>
      <c r="G11" s="2"/>
      <c r="H11" s="2"/>
      <c r="I11" s="2"/>
      <c r="J11" s="2"/>
      <c r="K11" s="19" t="s">
        <v>236</v>
      </c>
      <c r="L11" s="38"/>
    </row>
    <row r="12" spans="1:12" ht="15" customHeight="1" x14ac:dyDescent="0.25">
      <c r="A12" s="17">
        <v>43258</v>
      </c>
      <c r="B12" s="18">
        <v>14</v>
      </c>
      <c r="C12" s="18">
        <v>0</v>
      </c>
      <c r="D12" s="2">
        <f t="shared" si="0"/>
        <v>14</v>
      </c>
      <c r="E12" s="2"/>
      <c r="F12" s="2"/>
      <c r="G12" s="2"/>
      <c r="H12" s="2"/>
      <c r="I12" s="2"/>
      <c r="J12" s="2"/>
      <c r="K12" s="19" t="s">
        <v>237</v>
      </c>
    </row>
    <row r="13" spans="1:12" ht="15" customHeight="1" x14ac:dyDescent="0.25">
      <c r="A13" s="17">
        <v>43259</v>
      </c>
      <c r="B13" s="18">
        <v>3</v>
      </c>
      <c r="C13" s="18">
        <v>3</v>
      </c>
      <c r="D13" s="2">
        <f t="shared" si="0"/>
        <v>0</v>
      </c>
      <c r="E13" s="2"/>
      <c r="F13" s="2"/>
      <c r="G13" s="2"/>
      <c r="H13" s="2"/>
      <c r="I13" s="2"/>
      <c r="J13" s="2"/>
      <c r="K13" s="19" t="s">
        <v>238</v>
      </c>
      <c r="L13" s="27" t="s">
        <v>239</v>
      </c>
    </row>
    <row r="14" spans="1:12" ht="40.5" customHeight="1" x14ac:dyDescent="0.25">
      <c r="A14" s="17">
        <v>43259</v>
      </c>
      <c r="B14" s="18">
        <v>0</v>
      </c>
      <c r="C14" s="18">
        <v>14</v>
      </c>
      <c r="D14" s="2">
        <f t="shared" si="0"/>
        <v>-14</v>
      </c>
      <c r="E14" s="2"/>
      <c r="F14" s="2"/>
      <c r="G14" s="2"/>
      <c r="H14" s="2"/>
      <c r="I14" s="2"/>
      <c r="J14" s="2"/>
      <c r="K14" s="19" t="s">
        <v>240</v>
      </c>
    </row>
    <row r="15" spans="1:12" ht="15" customHeight="1" x14ac:dyDescent="0.25">
      <c r="A15" s="17">
        <v>43259</v>
      </c>
      <c r="B15" s="18"/>
      <c r="C15" s="18"/>
      <c r="D15" s="2">
        <f t="shared" si="0"/>
        <v>0</v>
      </c>
      <c r="E15" s="2">
        <v>36</v>
      </c>
      <c r="F15" s="2"/>
      <c r="G15" s="2"/>
      <c r="H15" s="2"/>
      <c r="I15" s="2"/>
      <c r="J15" s="2"/>
      <c r="K15" s="19" t="s">
        <v>107</v>
      </c>
    </row>
    <row r="16" spans="1:12" ht="39.75" customHeight="1" x14ac:dyDescent="0.25">
      <c r="A16" s="17">
        <v>43259</v>
      </c>
      <c r="B16" s="18">
        <v>15</v>
      </c>
      <c r="C16" s="18">
        <v>0</v>
      </c>
      <c r="D16" s="2">
        <f t="shared" si="0"/>
        <v>15</v>
      </c>
      <c r="E16" s="2"/>
      <c r="F16" s="2"/>
      <c r="G16" s="2"/>
      <c r="H16" s="2"/>
      <c r="I16" s="2"/>
      <c r="J16" s="2"/>
      <c r="K16" s="19" t="s">
        <v>241</v>
      </c>
    </row>
    <row r="17" spans="1:12" ht="68.25" customHeight="1" x14ac:dyDescent="0.25">
      <c r="A17" s="17">
        <v>43259</v>
      </c>
      <c r="B17" s="18">
        <v>1</v>
      </c>
      <c r="C17" s="18">
        <v>0</v>
      </c>
      <c r="D17" s="2">
        <f t="shared" si="0"/>
        <v>1</v>
      </c>
      <c r="E17" s="2"/>
      <c r="F17" s="2"/>
      <c r="G17" s="2"/>
      <c r="H17" s="2"/>
      <c r="I17" s="2"/>
      <c r="J17" s="2"/>
      <c r="K17" s="20" t="s">
        <v>242</v>
      </c>
    </row>
    <row r="18" spans="1:12" ht="15" customHeight="1" x14ac:dyDescent="0.25">
      <c r="A18" s="17">
        <v>43262</v>
      </c>
      <c r="B18" s="18">
        <v>36</v>
      </c>
      <c r="C18" s="18">
        <v>0</v>
      </c>
      <c r="D18" s="2">
        <f t="shared" si="0"/>
        <v>36</v>
      </c>
      <c r="E18" s="2"/>
      <c r="F18" s="2"/>
      <c r="G18" s="2"/>
      <c r="H18" s="2"/>
      <c r="I18" s="2"/>
      <c r="J18" s="2"/>
      <c r="K18" s="25" t="s">
        <v>243</v>
      </c>
    </row>
    <row r="19" spans="1:12" ht="15" customHeight="1" x14ac:dyDescent="0.25">
      <c r="A19" s="17">
        <v>43262</v>
      </c>
      <c r="B19" s="18">
        <v>3</v>
      </c>
      <c r="C19" s="18">
        <v>3</v>
      </c>
      <c r="D19" s="2">
        <f t="shared" si="0"/>
        <v>0</v>
      </c>
      <c r="E19" s="2">
        <v>3</v>
      </c>
      <c r="F19" s="2"/>
      <c r="G19" s="2"/>
      <c r="H19" s="2"/>
      <c r="I19" s="2"/>
      <c r="J19" s="2"/>
      <c r="K19" s="19" t="s">
        <v>244</v>
      </c>
    </row>
    <row r="20" spans="1:12" ht="38.25" customHeight="1" x14ac:dyDescent="0.25">
      <c r="A20" s="17">
        <v>43262</v>
      </c>
      <c r="B20" s="18">
        <v>0</v>
      </c>
      <c r="C20" s="18">
        <v>3</v>
      </c>
      <c r="D20" s="2">
        <f t="shared" si="0"/>
        <v>-3</v>
      </c>
      <c r="E20" s="2"/>
      <c r="F20" s="2"/>
      <c r="G20" s="2"/>
      <c r="H20" s="2"/>
      <c r="I20" s="2"/>
      <c r="J20" s="2"/>
      <c r="K20" s="19" t="s">
        <v>245</v>
      </c>
      <c r="L20" s="27" t="s">
        <v>246</v>
      </c>
    </row>
    <row r="21" spans="1:12" ht="15" customHeight="1" x14ac:dyDescent="0.25">
      <c r="A21" s="17">
        <v>43263</v>
      </c>
      <c r="B21" s="18">
        <v>0</v>
      </c>
      <c r="C21" s="18">
        <v>14</v>
      </c>
      <c r="D21" s="2">
        <f t="shared" si="0"/>
        <v>-14</v>
      </c>
      <c r="E21" s="2"/>
      <c r="F21" s="2"/>
      <c r="G21" s="2"/>
      <c r="H21" s="2"/>
      <c r="I21" s="2"/>
      <c r="J21" s="2"/>
      <c r="K21" s="19" t="s">
        <v>247</v>
      </c>
    </row>
    <row r="22" spans="1:12" ht="15" customHeight="1" x14ac:dyDescent="0.25">
      <c r="A22" s="21">
        <v>43263</v>
      </c>
      <c r="B22" s="22">
        <v>0</v>
      </c>
      <c r="C22" s="22">
        <v>2</v>
      </c>
      <c r="D22" s="2">
        <f t="shared" si="0"/>
        <v>-2</v>
      </c>
      <c r="E22" s="23"/>
      <c r="F22" s="23"/>
      <c r="G22" s="23"/>
      <c r="H22" s="23"/>
      <c r="I22" s="23"/>
      <c r="J22" s="23"/>
      <c r="K22" s="25" t="s">
        <v>248</v>
      </c>
      <c r="L22" s="27" t="s">
        <v>233</v>
      </c>
    </row>
    <row r="23" spans="1:12" ht="15" customHeight="1" x14ac:dyDescent="0.25">
      <c r="A23" s="17">
        <v>43263</v>
      </c>
      <c r="B23" s="18">
        <v>1</v>
      </c>
      <c r="C23" s="18">
        <v>1</v>
      </c>
      <c r="D23" s="2">
        <f t="shared" si="0"/>
        <v>0</v>
      </c>
      <c r="E23" s="2"/>
      <c r="F23" s="2"/>
      <c r="G23" s="2"/>
      <c r="H23" s="2"/>
      <c r="I23" s="2"/>
      <c r="J23" s="2"/>
      <c r="K23" s="57" t="s">
        <v>249</v>
      </c>
      <c r="L23" s="27" t="s">
        <v>250</v>
      </c>
    </row>
    <row r="24" spans="1:12" ht="15" customHeight="1" x14ac:dyDescent="0.25">
      <c r="A24" s="17">
        <v>43263</v>
      </c>
      <c r="B24" s="18">
        <v>1</v>
      </c>
      <c r="C24" s="18">
        <v>0</v>
      </c>
      <c r="D24" s="2">
        <f t="shared" si="0"/>
        <v>1</v>
      </c>
      <c r="E24" s="2"/>
      <c r="F24" s="2"/>
      <c r="G24" s="2"/>
      <c r="H24" s="2"/>
      <c r="I24" s="2"/>
      <c r="J24" s="2"/>
      <c r="K24" s="19" t="s">
        <v>251</v>
      </c>
    </row>
    <row r="25" spans="1:12" ht="15" customHeight="1" x14ac:dyDescent="0.25">
      <c r="A25" s="17">
        <v>43264</v>
      </c>
      <c r="B25" s="18">
        <v>0</v>
      </c>
      <c r="C25" s="18">
        <v>7</v>
      </c>
      <c r="D25" s="2">
        <f t="shared" si="0"/>
        <v>-7</v>
      </c>
      <c r="E25" s="2"/>
      <c r="F25" s="2"/>
      <c r="G25" s="2"/>
      <c r="H25" s="2"/>
      <c r="I25" s="2"/>
      <c r="J25" s="2"/>
      <c r="K25" s="45" t="s">
        <v>252</v>
      </c>
    </row>
    <row r="26" spans="1:12" ht="15" customHeight="1" x14ac:dyDescent="0.25">
      <c r="A26" s="17">
        <v>43264</v>
      </c>
      <c r="B26" s="18">
        <v>6</v>
      </c>
      <c r="C26" s="18">
        <v>0</v>
      </c>
      <c r="D26" s="2">
        <f t="shared" si="0"/>
        <v>6</v>
      </c>
      <c r="E26" s="2"/>
      <c r="F26" s="2"/>
      <c r="G26" s="2"/>
      <c r="H26" s="2"/>
      <c r="I26" s="2"/>
      <c r="J26" s="2"/>
      <c r="K26" s="19" t="s">
        <v>253</v>
      </c>
    </row>
    <row r="27" spans="1:12" x14ac:dyDescent="0.25">
      <c r="A27" s="17">
        <v>43264</v>
      </c>
      <c r="B27" s="18">
        <v>0</v>
      </c>
      <c r="C27" s="18">
        <v>2</v>
      </c>
      <c r="D27" s="2">
        <f t="shared" si="0"/>
        <v>-2</v>
      </c>
      <c r="E27" s="2"/>
      <c r="F27" s="2"/>
      <c r="G27" s="2"/>
      <c r="H27" s="2"/>
      <c r="I27" s="2"/>
      <c r="J27" s="2"/>
      <c r="K27" s="20" t="s">
        <v>254</v>
      </c>
      <c r="L27" s="27" t="s">
        <v>233</v>
      </c>
    </row>
    <row r="28" spans="1:12" ht="73.5" customHeight="1" x14ac:dyDescent="0.25">
      <c r="A28" s="17">
        <v>43265</v>
      </c>
      <c r="B28" s="18">
        <v>0</v>
      </c>
      <c r="C28" s="18">
        <v>31</v>
      </c>
      <c r="D28" s="2">
        <f t="shared" si="0"/>
        <v>-31</v>
      </c>
      <c r="E28" s="2"/>
      <c r="F28" s="2"/>
      <c r="G28" s="2"/>
      <c r="H28" s="2"/>
      <c r="I28" s="2"/>
      <c r="J28" s="2"/>
      <c r="K28" s="19" t="s">
        <v>255</v>
      </c>
    </row>
    <row r="29" spans="1:12" x14ac:dyDescent="0.25">
      <c r="A29" s="17">
        <v>43269</v>
      </c>
      <c r="B29" s="18">
        <v>0</v>
      </c>
      <c r="C29" s="18">
        <v>3</v>
      </c>
      <c r="D29" s="2">
        <f t="shared" ref="D29:D44" si="1">B29-C29</f>
        <v>-3</v>
      </c>
      <c r="E29" s="2"/>
      <c r="F29" s="2"/>
      <c r="G29" s="2"/>
      <c r="H29" s="2"/>
      <c r="I29" s="2"/>
      <c r="J29" s="2"/>
      <c r="K29" s="19" t="s">
        <v>256</v>
      </c>
      <c r="L29" s="27" t="s">
        <v>257</v>
      </c>
    </row>
    <row r="30" spans="1:12" ht="30" x14ac:dyDescent="0.25">
      <c r="A30" s="17">
        <v>43270</v>
      </c>
      <c r="B30" s="18">
        <v>0</v>
      </c>
      <c r="C30" s="18">
        <v>16</v>
      </c>
      <c r="D30" s="2">
        <f t="shared" si="1"/>
        <v>-16</v>
      </c>
      <c r="E30" s="2"/>
      <c r="F30" s="2"/>
      <c r="G30" s="2"/>
      <c r="H30" s="2"/>
      <c r="I30" s="2"/>
      <c r="J30" s="2"/>
      <c r="K30" s="19" t="s">
        <v>258</v>
      </c>
    </row>
    <row r="31" spans="1:12" ht="54.75" customHeight="1" x14ac:dyDescent="0.25">
      <c r="A31" s="17">
        <v>43273</v>
      </c>
      <c r="B31" s="18">
        <v>0</v>
      </c>
      <c r="C31" s="18">
        <v>23</v>
      </c>
      <c r="D31" s="2">
        <f t="shared" si="1"/>
        <v>-23</v>
      </c>
      <c r="E31" s="2"/>
      <c r="F31" s="2"/>
      <c r="G31" s="2"/>
      <c r="H31" s="2"/>
      <c r="I31" s="2"/>
      <c r="J31" s="2"/>
      <c r="K31" s="19" t="s">
        <v>259</v>
      </c>
    </row>
    <row r="32" spans="1:12" x14ac:dyDescent="0.25">
      <c r="A32" s="17">
        <v>43276</v>
      </c>
      <c r="B32" s="18">
        <v>0</v>
      </c>
      <c r="C32" s="18">
        <v>2</v>
      </c>
      <c r="D32" s="2">
        <f t="shared" si="1"/>
        <v>-2</v>
      </c>
      <c r="E32" s="2"/>
      <c r="F32" s="2"/>
      <c r="G32" s="2"/>
      <c r="H32" s="2"/>
      <c r="I32" s="2"/>
      <c r="J32" s="2"/>
      <c r="K32" s="20" t="s">
        <v>260</v>
      </c>
      <c r="L32" s="27" t="s">
        <v>233</v>
      </c>
    </row>
    <row r="33" spans="1:12" x14ac:dyDescent="0.25">
      <c r="A33" s="17">
        <v>43277</v>
      </c>
      <c r="B33" s="18">
        <v>7</v>
      </c>
      <c r="C33" s="18">
        <v>0</v>
      </c>
      <c r="D33" s="2">
        <f t="shared" si="1"/>
        <v>7</v>
      </c>
      <c r="E33" s="2"/>
      <c r="F33" s="2"/>
      <c r="G33" s="2"/>
      <c r="H33" s="2"/>
      <c r="I33" s="2"/>
      <c r="J33" s="2"/>
      <c r="K33" s="19" t="s">
        <v>261</v>
      </c>
    </row>
    <row r="34" spans="1:12" x14ac:dyDescent="0.25">
      <c r="A34" s="17">
        <v>43278</v>
      </c>
      <c r="B34" s="18">
        <v>0</v>
      </c>
      <c r="C34" s="18">
        <v>1</v>
      </c>
      <c r="D34" s="2">
        <f t="shared" si="1"/>
        <v>-1</v>
      </c>
      <c r="E34" s="2"/>
      <c r="F34" s="2"/>
      <c r="G34" s="2"/>
      <c r="H34" s="2"/>
      <c r="I34" s="2"/>
      <c r="J34" s="2"/>
      <c r="K34" s="20">
        <v>503998</v>
      </c>
      <c r="L34" s="27" t="s">
        <v>233</v>
      </c>
    </row>
    <row r="35" spans="1:12" ht="83.25" customHeight="1" x14ac:dyDescent="0.25">
      <c r="A35" s="17">
        <v>43279</v>
      </c>
      <c r="B35" s="18">
        <v>0</v>
      </c>
      <c r="C35" s="18">
        <v>45</v>
      </c>
      <c r="D35" s="2">
        <f t="shared" si="1"/>
        <v>-45</v>
      </c>
      <c r="E35" s="2"/>
      <c r="F35" s="2"/>
      <c r="G35" s="2"/>
      <c r="H35" s="2"/>
      <c r="I35" s="2"/>
      <c r="J35" s="2"/>
      <c r="K35" s="19" t="s">
        <v>262</v>
      </c>
    </row>
    <row r="36" spans="1:12" x14ac:dyDescent="0.25">
      <c r="A36" s="17"/>
      <c r="B36" s="18"/>
      <c r="C36" s="18"/>
      <c r="D36" s="2">
        <f t="shared" si="1"/>
        <v>0</v>
      </c>
      <c r="E36" s="2"/>
      <c r="F36" s="2"/>
      <c r="G36" s="2"/>
      <c r="H36" s="2"/>
      <c r="I36" s="2"/>
      <c r="J36" s="2"/>
      <c r="K36" s="20"/>
    </row>
    <row r="37" spans="1:12" x14ac:dyDescent="0.25">
      <c r="A37" s="17"/>
      <c r="B37" s="18"/>
      <c r="C37" s="18"/>
      <c r="D37" s="2">
        <f t="shared" si="1"/>
        <v>0</v>
      </c>
      <c r="E37" s="2"/>
      <c r="F37" s="2"/>
      <c r="G37" s="2"/>
      <c r="H37" s="2"/>
      <c r="I37" s="2"/>
      <c r="J37" s="2"/>
      <c r="K37" s="20"/>
    </row>
    <row r="38" spans="1:12" x14ac:dyDescent="0.25">
      <c r="A38" s="17"/>
      <c r="B38" s="18"/>
      <c r="C38" s="18"/>
      <c r="D38" s="2">
        <f t="shared" si="1"/>
        <v>0</v>
      </c>
      <c r="E38" s="2"/>
      <c r="F38" s="2"/>
      <c r="G38" s="2"/>
      <c r="H38" s="2"/>
      <c r="I38" s="2"/>
      <c r="J38" s="2"/>
      <c r="K38" s="20"/>
    </row>
    <row r="39" spans="1:12" x14ac:dyDescent="0.25">
      <c r="A39" s="17"/>
      <c r="B39" s="18"/>
      <c r="C39" s="18"/>
      <c r="D39" s="2">
        <f t="shared" si="1"/>
        <v>0</v>
      </c>
      <c r="E39" s="2"/>
      <c r="F39" s="2"/>
      <c r="G39" s="2"/>
      <c r="H39" s="2"/>
      <c r="I39" s="2"/>
      <c r="J39" s="2"/>
      <c r="K39" s="20"/>
    </row>
    <row r="40" spans="1:12" x14ac:dyDescent="0.25">
      <c r="A40" s="17"/>
      <c r="B40" s="18"/>
      <c r="C40" s="18"/>
      <c r="D40" s="2">
        <f t="shared" si="1"/>
        <v>0</v>
      </c>
      <c r="E40" s="2"/>
      <c r="F40" s="2"/>
      <c r="G40" s="2"/>
      <c r="H40" s="2"/>
      <c r="I40" s="2"/>
      <c r="J40" s="2"/>
      <c r="K40" s="19"/>
    </row>
    <row r="41" spans="1:12" x14ac:dyDescent="0.25">
      <c r="A41" s="17"/>
      <c r="B41" s="18"/>
      <c r="C41" s="18"/>
      <c r="D41" s="2">
        <f t="shared" si="1"/>
        <v>0</v>
      </c>
      <c r="E41" s="2"/>
      <c r="F41" s="2"/>
      <c r="G41" s="2"/>
      <c r="H41" s="2"/>
      <c r="I41" s="2"/>
      <c r="J41" s="2"/>
      <c r="K41" s="20"/>
    </row>
    <row r="42" spans="1:12" x14ac:dyDescent="0.25">
      <c r="A42" s="17"/>
      <c r="B42" s="18"/>
      <c r="C42" s="18"/>
      <c r="D42" s="2">
        <f t="shared" si="1"/>
        <v>0</v>
      </c>
      <c r="E42" s="2"/>
      <c r="F42" s="2"/>
      <c r="G42" s="2"/>
      <c r="H42" s="2"/>
      <c r="I42" s="2"/>
      <c r="J42" s="2"/>
      <c r="K42" s="20"/>
    </row>
    <row r="43" spans="1:12" x14ac:dyDescent="0.25">
      <c r="A43" s="17"/>
      <c r="B43" s="18"/>
      <c r="C43" s="18"/>
      <c r="D43" s="2">
        <f t="shared" si="1"/>
        <v>0</v>
      </c>
      <c r="E43" s="2"/>
      <c r="F43" s="2"/>
      <c r="G43" s="2"/>
      <c r="H43" s="2"/>
      <c r="I43" s="2"/>
      <c r="J43" s="2"/>
      <c r="K43" s="20"/>
    </row>
    <row r="44" spans="1:12" x14ac:dyDescent="0.25">
      <c r="A44" s="17"/>
      <c r="B44" s="18"/>
      <c r="C44" s="18"/>
      <c r="D44" s="2">
        <f t="shared" si="1"/>
        <v>0</v>
      </c>
      <c r="E44" s="2"/>
      <c r="F44" s="2"/>
      <c r="G44" s="2"/>
      <c r="H44" s="2"/>
      <c r="I44" s="2"/>
      <c r="J44" s="2"/>
      <c r="K44" s="20"/>
    </row>
  </sheetData>
  <sheetProtection algorithmName="SHA-512" hashValue="HvVteReDDkALluBuQoCwcro5dpX03hBSyhw14GCjw+7bWAxdEPiJvQKB81WZi6yOVVGV5KN7GTh6bOuAkbDx9A==" saltValue="2e7mdSxgC2jgaE88nsU49A==" spinCount="100000" sheet="1" objects="1" scenarios="1" selectLockedCells="1" selectUnlockedCells="1"/>
  <sortState xmlns:xlrd2="http://schemas.microsoft.com/office/spreadsheetml/2017/richdata2" ref="A7:L28">
    <sortCondition ref="A28"/>
  </sortState>
  <customSheetViews>
    <customSheetView guid="{E5A7B818-645B-417C-A128-9FE559D9B124}" fitToPage="1">
      <pane ySplit="6" topLeftCell="A25" activePane="bottomLeft" state="frozen"/>
      <selection pane="bottomLeft" activeCell="K37" sqref="K37"/>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97" priority="1" operator="lessThan">
      <formula>0</formula>
    </cfRule>
    <cfRule type="cellIs" dxfId="19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2">
    <pageSetUpPr fitToPage="1"/>
  </sheetPr>
  <dimension ref="A1:L44"/>
  <sheetViews>
    <sheetView workbookViewId="0">
      <pane ySplit="6" topLeftCell="A7" activePane="bottomLeft" state="frozen"/>
      <selection pane="bottomLeft" activeCell="M15" sqref="M1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138</v>
      </c>
    </row>
    <row r="3" spans="1:12" ht="15.75" thickBot="1" x14ac:dyDescent="0.3">
      <c r="A3" s="5"/>
      <c r="B3" s="2"/>
      <c r="C3" s="2"/>
      <c r="D3" s="2"/>
      <c r="E3" s="2"/>
      <c r="F3" s="2">
        <f>'06.18'!F6</f>
        <v>428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456</v>
      </c>
      <c r="G6" s="30">
        <f>SUM(B:B)</f>
        <v>46</v>
      </c>
      <c r="H6" s="30">
        <f>SUM(C:C)</f>
        <v>18</v>
      </c>
      <c r="I6" s="30"/>
      <c r="J6" s="33">
        <f>SUM(G6:H6)+SUM(E:E)</f>
        <v>67</v>
      </c>
      <c r="K6" s="34"/>
      <c r="L6" s="50">
        <f>J6/K1</f>
        <v>0.11279461279461279</v>
      </c>
    </row>
    <row r="7" spans="1:12" ht="15" customHeight="1" x14ac:dyDescent="0.25">
      <c r="A7" s="17">
        <v>43283</v>
      </c>
      <c r="B7" s="18">
        <v>0</v>
      </c>
      <c r="C7" s="18">
        <v>1</v>
      </c>
      <c r="D7" s="2">
        <f t="shared" ref="D7:D44" si="0">B7-C7</f>
        <v>-1</v>
      </c>
      <c r="E7" s="2"/>
      <c r="F7" s="2"/>
      <c r="G7" s="2"/>
      <c r="H7" s="2"/>
      <c r="I7" s="2"/>
      <c r="J7" s="2"/>
      <c r="K7" s="19">
        <v>501907</v>
      </c>
      <c r="L7" s="27" t="s">
        <v>233</v>
      </c>
    </row>
    <row r="8" spans="1:12" ht="15" customHeight="1" x14ac:dyDescent="0.25">
      <c r="A8" s="17">
        <v>43284</v>
      </c>
      <c r="B8" s="18">
        <v>0</v>
      </c>
      <c r="C8" s="18">
        <v>2</v>
      </c>
      <c r="D8" s="2">
        <f t="shared" si="0"/>
        <v>-2</v>
      </c>
      <c r="E8" s="2"/>
      <c r="F8" s="2"/>
      <c r="G8" s="2"/>
      <c r="H8" s="2"/>
      <c r="I8" s="2"/>
      <c r="J8" s="2"/>
      <c r="K8" s="19" t="s">
        <v>263</v>
      </c>
      <c r="L8" s="27" t="s">
        <v>233</v>
      </c>
    </row>
    <row r="9" spans="1:12" ht="15" customHeight="1" x14ac:dyDescent="0.25">
      <c r="A9" s="17">
        <v>43285</v>
      </c>
      <c r="B9" s="18">
        <v>0</v>
      </c>
      <c r="C9" s="18">
        <v>1</v>
      </c>
      <c r="D9" s="2">
        <f t="shared" si="0"/>
        <v>-1</v>
      </c>
      <c r="E9" s="2"/>
      <c r="F9" s="2"/>
      <c r="G9" s="2"/>
      <c r="H9" s="2"/>
      <c r="I9" s="2"/>
      <c r="J9" s="2"/>
      <c r="K9" s="20">
        <v>504710</v>
      </c>
      <c r="L9" s="27" t="s">
        <v>233</v>
      </c>
    </row>
    <row r="10" spans="1:12" ht="15" customHeight="1" x14ac:dyDescent="0.3">
      <c r="A10" s="17">
        <v>43287</v>
      </c>
      <c r="B10" s="18">
        <v>0</v>
      </c>
      <c r="C10" s="18">
        <v>6</v>
      </c>
      <c r="D10" s="2">
        <f t="shared" si="0"/>
        <v>-6</v>
      </c>
      <c r="E10" s="2"/>
      <c r="F10" s="2"/>
      <c r="G10" s="2"/>
      <c r="H10" s="2"/>
      <c r="I10" s="2"/>
      <c r="J10" s="2"/>
      <c r="K10" s="19" t="s">
        <v>264</v>
      </c>
      <c r="L10" s="38"/>
    </row>
    <row r="11" spans="1:12" ht="39.75" customHeight="1" x14ac:dyDescent="0.3">
      <c r="A11" s="17">
        <v>43287</v>
      </c>
      <c r="B11" s="18">
        <v>16</v>
      </c>
      <c r="C11" s="18">
        <v>0</v>
      </c>
      <c r="D11" s="2">
        <f t="shared" si="0"/>
        <v>16</v>
      </c>
      <c r="E11" s="2"/>
      <c r="F11" s="2"/>
      <c r="G11" s="2"/>
      <c r="H11" s="2"/>
      <c r="I11" s="2"/>
      <c r="J11" s="2"/>
      <c r="K11" s="19" t="s">
        <v>265</v>
      </c>
      <c r="L11" s="38"/>
    </row>
    <row r="12" spans="1:12" ht="15" customHeight="1" x14ac:dyDescent="0.25">
      <c r="A12" s="17">
        <v>43299</v>
      </c>
      <c r="B12" s="18">
        <v>0</v>
      </c>
      <c r="C12" s="18">
        <v>3</v>
      </c>
      <c r="D12" s="2">
        <f t="shared" si="0"/>
        <v>-3</v>
      </c>
      <c r="E12" s="2"/>
      <c r="F12" s="2"/>
      <c r="G12" s="2"/>
      <c r="H12" s="2"/>
      <c r="I12" s="2"/>
      <c r="J12" s="2"/>
      <c r="K12" s="19" t="s">
        <v>266</v>
      </c>
    </row>
    <row r="13" spans="1:12" ht="65.25" customHeight="1" x14ac:dyDescent="0.25">
      <c r="A13" s="17">
        <v>43299</v>
      </c>
      <c r="B13" s="18">
        <v>27</v>
      </c>
      <c r="C13" s="18">
        <v>0</v>
      </c>
      <c r="D13" s="2">
        <f t="shared" si="0"/>
        <v>27</v>
      </c>
      <c r="E13" s="2"/>
      <c r="F13" s="2"/>
      <c r="G13" s="2"/>
      <c r="H13" s="2"/>
      <c r="I13" s="2"/>
      <c r="J13" s="2"/>
      <c r="K13" s="19" t="s">
        <v>267</v>
      </c>
    </row>
    <row r="14" spans="1:12" ht="15" customHeight="1" x14ac:dyDescent="0.25">
      <c r="A14" s="17">
        <v>43301</v>
      </c>
      <c r="B14" s="18">
        <v>0</v>
      </c>
      <c r="C14" s="18">
        <v>0</v>
      </c>
      <c r="D14" s="2">
        <f t="shared" si="0"/>
        <v>0</v>
      </c>
      <c r="E14" s="2">
        <v>2</v>
      </c>
      <c r="F14" s="2"/>
      <c r="G14" s="2"/>
      <c r="H14" s="2"/>
      <c r="I14" s="2"/>
      <c r="J14" s="2"/>
      <c r="K14" s="19" t="s">
        <v>268</v>
      </c>
    </row>
    <row r="15" spans="1:12" ht="39.75" customHeight="1" x14ac:dyDescent="0.25">
      <c r="A15" s="17">
        <v>43305</v>
      </c>
      <c r="B15" s="18">
        <v>3</v>
      </c>
      <c r="C15" s="18">
        <v>3</v>
      </c>
      <c r="D15" s="2">
        <f t="shared" si="0"/>
        <v>0</v>
      </c>
      <c r="E15" s="2">
        <v>1</v>
      </c>
      <c r="F15" s="2"/>
      <c r="G15" s="2"/>
      <c r="H15" s="2"/>
      <c r="I15" s="2"/>
      <c r="J15" s="2"/>
      <c r="K15" s="19" t="s">
        <v>269</v>
      </c>
      <c r="L15" s="27" t="s">
        <v>270</v>
      </c>
    </row>
    <row r="16" spans="1:12" ht="15" customHeight="1" x14ac:dyDescent="0.25">
      <c r="A16" s="17">
        <v>43307</v>
      </c>
      <c r="B16" s="18">
        <v>0</v>
      </c>
      <c r="C16" s="18">
        <v>2</v>
      </c>
      <c r="D16" s="2">
        <f t="shared" si="0"/>
        <v>-2</v>
      </c>
      <c r="E16" s="2"/>
      <c r="F16" s="2"/>
      <c r="G16" s="2"/>
      <c r="H16" s="2"/>
      <c r="I16" s="2"/>
      <c r="J16" s="2"/>
      <c r="K16" s="19" t="s">
        <v>271</v>
      </c>
    </row>
    <row r="17" spans="1:11" ht="15" customHeight="1" x14ac:dyDescent="0.25">
      <c r="A17" s="17"/>
      <c r="B17" s="18"/>
      <c r="C17" s="18"/>
      <c r="D17" s="2">
        <f t="shared" si="0"/>
        <v>0</v>
      </c>
      <c r="E17" s="2"/>
      <c r="F17" s="2"/>
      <c r="G17" s="2"/>
      <c r="H17" s="2"/>
      <c r="I17" s="2"/>
      <c r="J17" s="2"/>
      <c r="K17" s="19"/>
    </row>
    <row r="18" spans="1:11" ht="15" customHeight="1" x14ac:dyDescent="0.25">
      <c r="A18" s="17"/>
      <c r="B18" s="18"/>
      <c r="C18" s="18"/>
      <c r="D18" s="2">
        <f t="shared" si="0"/>
        <v>0</v>
      </c>
      <c r="E18" s="2"/>
      <c r="F18" s="2"/>
      <c r="G18" s="2"/>
      <c r="H18" s="2"/>
      <c r="I18" s="2"/>
      <c r="J18" s="2"/>
      <c r="K18" s="19"/>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5"/>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wXMVCzIEu0k511+iyqFYA1bpEY48PCZ9ttbrZKWMZHXjEhwZnuKPp54PFd4L9AHv8aQaEj0rfFLv2Cn4kmbACA==" saltValue="IktdQSHqngCoAgB+6gWN8Q==" spinCount="100000" sheet="1" objects="1" scenarios="1" selectLockedCells="1" selectUnlockedCells="1"/>
  <customSheetViews>
    <customSheetView guid="{E5A7B818-645B-417C-A128-9FE559D9B124}" fitToPage="1">
      <pane ySplit="6" topLeftCell="A7" activePane="bottomLeft" state="frozen"/>
      <selection pane="bottomLeft" activeCell="M15" sqref="M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95" priority="1" operator="lessThan">
      <formula>0</formula>
    </cfRule>
    <cfRule type="cellIs" dxfId="19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3">
    <pageSetUpPr fitToPage="1"/>
  </sheetPr>
  <dimension ref="A1:L44"/>
  <sheetViews>
    <sheetView workbookViewId="0">
      <pane ySplit="6" topLeftCell="A19" activePane="bottomLeft" state="frozen"/>
      <selection pane="bottomLeft" activeCell="K30" sqref="K30"/>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196</v>
      </c>
    </row>
    <row r="3" spans="1:12" ht="15.75" thickBot="1" x14ac:dyDescent="0.3">
      <c r="A3" s="5"/>
      <c r="B3" s="2"/>
      <c r="C3" s="2"/>
      <c r="D3" s="2"/>
      <c r="E3" s="2"/>
      <c r="F3" s="2">
        <f>'07.18'!F6</f>
        <v>456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398</v>
      </c>
      <c r="G6" s="30">
        <f>SUM(B:B)</f>
        <v>83</v>
      </c>
      <c r="H6" s="30">
        <f>SUM(C:C)</f>
        <v>141</v>
      </c>
      <c r="I6" s="30"/>
      <c r="J6" s="33">
        <f>SUM(G6:H6)+SUM(E:E)</f>
        <v>226</v>
      </c>
      <c r="K6" s="34"/>
      <c r="L6" s="55">
        <f>J6/K1</f>
        <v>0.38047138047138046</v>
      </c>
    </row>
    <row r="7" spans="1:12" ht="15" customHeight="1" x14ac:dyDescent="0.25">
      <c r="A7" s="17">
        <v>43313</v>
      </c>
      <c r="B7" s="18">
        <v>0</v>
      </c>
      <c r="C7" s="18">
        <v>3</v>
      </c>
      <c r="D7" s="2">
        <f t="shared" ref="D7:D44" si="0">B7-C7</f>
        <v>-3</v>
      </c>
      <c r="E7" s="2"/>
      <c r="F7" s="2"/>
      <c r="G7" s="2"/>
      <c r="H7" s="2"/>
      <c r="I7" s="2"/>
      <c r="J7" s="2"/>
      <c r="K7" s="19" t="s">
        <v>272</v>
      </c>
    </row>
    <row r="8" spans="1:12" ht="48.75" customHeight="1" x14ac:dyDescent="0.25">
      <c r="A8" s="17">
        <v>43313</v>
      </c>
      <c r="B8" s="18">
        <v>24</v>
      </c>
      <c r="C8" s="18">
        <v>0</v>
      </c>
      <c r="D8" s="2">
        <f t="shared" si="0"/>
        <v>24</v>
      </c>
      <c r="E8" s="2"/>
      <c r="F8" s="2"/>
      <c r="G8" s="2"/>
      <c r="H8" s="2"/>
      <c r="I8" s="2"/>
      <c r="J8" s="2"/>
      <c r="K8" s="19" t="s">
        <v>273</v>
      </c>
    </row>
    <row r="9" spans="1:12" ht="55.5" customHeight="1" x14ac:dyDescent="0.25">
      <c r="A9" s="17">
        <v>43318</v>
      </c>
      <c r="B9" s="18">
        <v>0</v>
      </c>
      <c r="C9" s="18">
        <v>23</v>
      </c>
      <c r="D9" s="2">
        <f t="shared" si="0"/>
        <v>-23</v>
      </c>
      <c r="E9" s="2"/>
      <c r="F9" s="2"/>
      <c r="G9" s="2"/>
      <c r="H9" s="2"/>
      <c r="I9" s="2"/>
      <c r="J9" s="2"/>
      <c r="K9" s="19" t="s">
        <v>274</v>
      </c>
      <c r="L9" s="53" t="s">
        <v>231</v>
      </c>
    </row>
    <row r="10" spans="1:12" ht="15" customHeight="1" x14ac:dyDescent="0.25">
      <c r="A10" s="17">
        <v>43322</v>
      </c>
      <c r="B10" s="18">
        <v>0</v>
      </c>
      <c r="C10" s="18">
        <v>7</v>
      </c>
      <c r="D10" s="2">
        <f t="shared" si="0"/>
        <v>-7</v>
      </c>
      <c r="E10" s="2"/>
      <c r="F10" s="2"/>
      <c r="G10" s="2"/>
      <c r="H10" s="2"/>
      <c r="I10" s="2"/>
      <c r="J10" s="2"/>
      <c r="K10" s="19" t="s">
        <v>275</v>
      </c>
    </row>
    <row r="11" spans="1:12" ht="15" customHeight="1" x14ac:dyDescent="0.25">
      <c r="A11" s="17">
        <v>43322</v>
      </c>
      <c r="B11" s="18">
        <v>0</v>
      </c>
      <c r="C11" s="18">
        <v>8</v>
      </c>
      <c r="D11" s="2">
        <f t="shared" si="0"/>
        <v>-8</v>
      </c>
      <c r="E11" s="2"/>
      <c r="F11" s="2"/>
      <c r="G11" s="2"/>
      <c r="H11" s="2"/>
      <c r="I11" s="2"/>
      <c r="J11" s="2"/>
      <c r="K11" s="19" t="s">
        <v>276</v>
      </c>
      <c r="L11" s="53" t="s">
        <v>231</v>
      </c>
    </row>
    <row r="12" spans="1:12" ht="52.5" customHeight="1" x14ac:dyDescent="0.25">
      <c r="A12" s="17">
        <v>43325</v>
      </c>
      <c r="B12" s="18">
        <v>0</v>
      </c>
      <c r="C12" s="18">
        <v>21</v>
      </c>
      <c r="D12" s="2">
        <f t="shared" si="0"/>
        <v>-21</v>
      </c>
      <c r="E12" s="2"/>
      <c r="F12" s="2"/>
      <c r="G12" s="2"/>
      <c r="H12" s="2"/>
      <c r="I12" s="2"/>
      <c r="J12" s="2"/>
      <c r="K12" s="19" t="s">
        <v>277</v>
      </c>
    </row>
    <row r="13" spans="1:12" ht="15" customHeight="1" x14ac:dyDescent="0.25">
      <c r="A13" s="17">
        <v>43328</v>
      </c>
      <c r="B13" s="18">
        <v>2</v>
      </c>
      <c r="C13" s="18">
        <v>2</v>
      </c>
      <c r="D13" s="2">
        <f t="shared" si="0"/>
        <v>0</v>
      </c>
      <c r="E13" s="2">
        <v>2</v>
      </c>
      <c r="F13" s="2"/>
      <c r="G13" s="2"/>
      <c r="H13" s="2"/>
      <c r="I13" s="2"/>
      <c r="J13" s="2"/>
      <c r="K13" s="19" t="s">
        <v>278</v>
      </c>
    </row>
    <row r="14" spans="1:12" ht="41.25" customHeight="1" x14ac:dyDescent="0.25">
      <c r="A14" s="17">
        <v>43328</v>
      </c>
      <c r="B14" s="18">
        <v>0</v>
      </c>
      <c r="C14" s="18">
        <v>16</v>
      </c>
      <c r="D14" s="2">
        <f t="shared" si="0"/>
        <v>-16</v>
      </c>
      <c r="E14" s="2"/>
      <c r="F14" s="2"/>
      <c r="G14" s="2"/>
      <c r="H14" s="2"/>
      <c r="I14" s="2"/>
      <c r="J14" s="2"/>
      <c r="K14" s="19" t="s">
        <v>279</v>
      </c>
    </row>
    <row r="15" spans="1:12" ht="39.75" customHeight="1" x14ac:dyDescent="0.25">
      <c r="A15" s="17">
        <v>43328</v>
      </c>
      <c r="B15" s="18">
        <v>20</v>
      </c>
      <c r="C15" s="18">
        <v>0</v>
      </c>
      <c r="D15" s="2">
        <f t="shared" si="0"/>
        <v>20</v>
      </c>
      <c r="E15" s="2"/>
      <c r="F15" s="2"/>
      <c r="G15" s="2"/>
      <c r="H15" s="2"/>
      <c r="I15" s="2"/>
      <c r="J15" s="2"/>
      <c r="K15" s="19" t="s">
        <v>280</v>
      </c>
    </row>
    <row r="16" spans="1:12" ht="15" customHeight="1" x14ac:dyDescent="0.25">
      <c r="A16" s="17">
        <v>43332</v>
      </c>
      <c r="B16" s="18">
        <v>10</v>
      </c>
      <c r="C16" s="18">
        <v>0</v>
      </c>
      <c r="D16" s="2">
        <f t="shared" si="0"/>
        <v>10</v>
      </c>
      <c r="E16" s="2"/>
      <c r="F16" s="2"/>
      <c r="G16" s="2"/>
      <c r="H16" s="2"/>
      <c r="I16" s="2"/>
      <c r="J16" s="2"/>
      <c r="K16" s="19" t="s">
        <v>281</v>
      </c>
    </row>
    <row r="17" spans="1:12" ht="36" customHeight="1" x14ac:dyDescent="0.25">
      <c r="A17" s="17">
        <v>43334</v>
      </c>
      <c r="B17" s="18">
        <v>0</v>
      </c>
      <c r="C17" s="18">
        <v>13</v>
      </c>
      <c r="D17" s="2">
        <f t="shared" si="0"/>
        <v>-13</v>
      </c>
      <c r="E17" s="2"/>
      <c r="F17" s="2"/>
      <c r="G17" s="2"/>
      <c r="H17" s="2"/>
      <c r="I17" s="2"/>
      <c r="J17" s="2"/>
      <c r="K17" s="19" t="s">
        <v>282</v>
      </c>
    </row>
    <row r="18" spans="1:12" ht="15" customHeight="1" x14ac:dyDescent="0.25">
      <c r="A18" s="17">
        <v>43339</v>
      </c>
      <c r="B18" s="18">
        <v>0</v>
      </c>
      <c r="C18" s="18">
        <v>3</v>
      </c>
      <c r="D18" s="2">
        <f t="shared" si="0"/>
        <v>-3</v>
      </c>
      <c r="E18" s="2"/>
      <c r="F18" s="2"/>
      <c r="G18" s="2"/>
      <c r="H18" s="2"/>
      <c r="I18" s="2"/>
      <c r="J18" s="2"/>
      <c r="K18" s="19" t="s">
        <v>283</v>
      </c>
      <c r="L18" s="53" t="s">
        <v>231</v>
      </c>
    </row>
    <row r="19" spans="1:12" ht="15" customHeight="1" x14ac:dyDescent="0.25">
      <c r="A19" s="17">
        <v>43340</v>
      </c>
      <c r="B19" s="18">
        <v>0</v>
      </c>
      <c r="C19" s="18">
        <v>2</v>
      </c>
      <c r="D19" s="2">
        <f t="shared" si="0"/>
        <v>-2</v>
      </c>
      <c r="E19" s="2"/>
      <c r="F19" s="2"/>
      <c r="G19" s="2"/>
      <c r="H19" s="2"/>
      <c r="I19" s="2"/>
      <c r="J19" s="2"/>
      <c r="K19" s="19" t="s">
        <v>284</v>
      </c>
      <c r="L19" s="53" t="s">
        <v>231</v>
      </c>
    </row>
    <row r="20" spans="1:12" ht="32.25" customHeight="1" x14ac:dyDescent="0.25">
      <c r="A20" s="17">
        <v>43341</v>
      </c>
      <c r="B20" s="18">
        <v>0</v>
      </c>
      <c r="C20" s="18">
        <v>13</v>
      </c>
      <c r="D20" s="2">
        <f t="shared" si="0"/>
        <v>-13</v>
      </c>
      <c r="E20" s="2"/>
      <c r="F20" s="2"/>
      <c r="G20" s="2"/>
      <c r="H20" s="2"/>
      <c r="I20" s="2"/>
      <c r="J20" s="2"/>
      <c r="K20" s="19" t="s">
        <v>285</v>
      </c>
    </row>
    <row r="21" spans="1:12" ht="15" customHeight="1" x14ac:dyDescent="0.25">
      <c r="A21" s="21">
        <v>43341</v>
      </c>
      <c r="B21" s="22">
        <v>6</v>
      </c>
      <c r="C21" s="22">
        <v>0</v>
      </c>
      <c r="D21" s="2">
        <f t="shared" si="0"/>
        <v>6</v>
      </c>
      <c r="E21" s="23"/>
      <c r="F21" s="23"/>
      <c r="G21" s="23"/>
      <c r="H21" s="23"/>
      <c r="I21" s="23"/>
      <c r="J21" s="23"/>
      <c r="K21" s="19" t="s">
        <v>286</v>
      </c>
    </row>
    <row r="22" spans="1:12" ht="15" customHeight="1" x14ac:dyDescent="0.25">
      <c r="A22" s="17">
        <v>43342</v>
      </c>
      <c r="B22" s="18">
        <v>0</v>
      </c>
      <c r="C22" s="18">
        <v>6</v>
      </c>
      <c r="D22" s="2">
        <f t="shared" si="0"/>
        <v>-6</v>
      </c>
      <c r="E22" s="2"/>
      <c r="F22" s="2"/>
      <c r="G22" s="2"/>
      <c r="H22" s="2"/>
      <c r="I22" s="2"/>
      <c r="J22" s="2"/>
      <c r="K22" s="19" t="s">
        <v>287</v>
      </c>
      <c r="L22" s="53" t="s">
        <v>231</v>
      </c>
    </row>
    <row r="23" spans="1:12" ht="52.5" customHeight="1" x14ac:dyDescent="0.25">
      <c r="A23" s="17">
        <v>43342</v>
      </c>
      <c r="B23" s="18">
        <v>21</v>
      </c>
      <c r="C23" s="18">
        <v>0</v>
      </c>
      <c r="D23" s="2">
        <f t="shared" si="0"/>
        <v>21</v>
      </c>
      <c r="E23" s="2"/>
      <c r="F23" s="2"/>
      <c r="G23" s="2"/>
      <c r="H23" s="2"/>
      <c r="I23" s="2"/>
      <c r="J23" s="2"/>
      <c r="K23" s="49" t="s">
        <v>288</v>
      </c>
    </row>
    <row r="24" spans="1:12" ht="50.25" customHeight="1" x14ac:dyDescent="0.25">
      <c r="A24" s="17">
        <v>43343</v>
      </c>
      <c r="B24" s="18">
        <v>0</v>
      </c>
      <c r="C24" s="18">
        <v>24</v>
      </c>
      <c r="D24" s="2">
        <f t="shared" si="0"/>
        <v>-24</v>
      </c>
      <c r="E24" s="2"/>
      <c r="F24" s="2"/>
      <c r="G24" s="2"/>
      <c r="H24" s="2"/>
      <c r="I24" s="2"/>
      <c r="J24" s="2"/>
      <c r="K24" s="19" t="s">
        <v>289</v>
      </c>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ARwuimfRH6uFGKw+X62P54G9vcY9wAJmACVFuHqXX4M8UKWCWOw6zgCRTkRv5fCj/WeUX58oPcltllFDZOrMYQ==" saltValue="g26RoYDwg5/1GOUU/gE6YA==" spinCount="100000" sheet="1" objects="1" scenarios="1" selectLockedCells="1" selectUnlockedCells="1"/>
  <customSheetViews>
    <customSheetView guid="{E5A7B818-645B-417C-A128-9FE559D9B124}" fitToPage="1">
      <pane ySplit="6" topLeftCell="A19" activePane="bottomLeft" state="frozen"/>
      <selection pane="bottomLeft" activeCell="K30" sqref="K30"/>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93" priority="1" operator="lessThan">
      <formula>0</formula>
    </cfRule>
    <cfRule type="cellIs" dxfId="19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4">
    <pageSetUpPr fitToPage="1"/>
  </sheetPr>
  <dimension ref="A1:L44"/>
  <sheetViews>
    <sheetView workbookViewId="0">
      <pane ySplit="6" topLeftCell="A19" activePane="bottomLeft" state="frozen"/>
      <selection pane="bottomLeft" activeCell="L25" sqref="L2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225</v>
      </c>
    </row>
    <row r="3" spans="1:12" ht="15.75" thickBot="1" x14ac:dyDescent="0.3">
      <c r="A3" s="5"/>
      <c r="B3" s="2"/>
      <c r="C3" s="2"/>
      <c r="D3" s="2"/>
      <c r="E3" s="2"/>
      <c r="F3" s="2">
        <f>'08.18'!F6</f>
        <v>398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369</v>
      </c>
      <c r="G6" s="30">
        <f>SUM(B:B)</f>
        <v>108</v>
      </c>
      <c r="H6" s="30">
        <f>SUM(C:C)</f>
        <v>137</v>
      </c>
      <c r="I6" s="30"/>
      <c r="J6" s="33">
        <f>SUM(G6:H6)+SUM(E:E)</f>
        <v>245</v>
      </c>
      <c r="K6" s="34"/>
      <c r="L6" s="55">
        <f>J6/K1</f>
        <v>0.41245791245791247</v>
      </c>
    </row>
    <row r="7" spans="1:12" ht="15" customHeight="1" x14ac:dyDescent="0.25">
      <c r="A7" s="17">
        <v>43347</v>
      </c>
      <c r="B7" s="18">
        <v>0</v>
      </c>
      <c r="C7" s="18">
        <v>5</v>
      </c>
      <c r="D7" s="2">
        <f t="shared" ref="D7:D24" si="0">B7-C7</f>
        <v>-5</v>
      </c>
      <c r="E7" s="2"/>
      <c r="F7" s="2"/>
      <c r="G7" s="2"/>
      <c r="H7" s="2"/>
      <c r="I7" s="2"/>
      <c r="J7" s="2"/>
      <c r="K7" s="19" t="s">
        <v>290</v>
      </c>
      <c r="L7" s="53" t="s">
        <v>291</v>
      </c>
    </row>
    <row r="8" spans="1:12" ht="30.75" customHeight="1" x14ac:dyDescent="0.25">
      <c r="A8" s="17">
        <v>43347</v>
      </c>
      <c r="B8" s="18">
        <v>18</v>
      </c>
      <c r="C8" s="18">
        <v>0</v>
      </c>
      <c r="D8" s="2">
        <f t="shared" si="0"/>
        <v>18</v>
      </c>
      <c r="E8" s="2"/>
      <c r="F8" s="2"/>
      <c r="G8" s="2"/>
      <c r="H8" s="2"/>
      <c r="I8" s="2"/>
      <c r="J8" s="2"/>
      <c r="K8" s="19" t="s">
        <v>292</v>
      </c>
      <c r="L8" s="53" t="s">
        <v>293</v>
      </c>
    </row>
    <row r="9" spans="1:12" ht="30.75" customHeight="1" x14ac:dyDescent="0.25">
      <c r="A9" s="17">
        <v>43347</v>
      </c>
      <c r="B9" s="18">
        <v>18</v>
      </c>
      <c r="C9" s="18">
        <v>0</v>
      </c>
      <c r="D9" s="2">
        <f t="shared" si="0"/>
        <v>18</v>
      </c>
      <c r="E9" s="2"/>
      <c r="F9" s="2"/>
      <c r="G9" s="2"/>
      <c r="H9" s="2"/>
      <c r="I9" s="2"/>
      <c r="J9" s="2"/>
      <c r="K9" s="19" t="s">
        <v>294</v>
      </c>
      <c r="L9" s="53" t="s">
        <v>291</v>
      </c>
    </row>
    <row r="10" spans="1:12" ht="15" customHeight="1" x14ac:dyDescent="0.25">
      <c r="A10" s="17">
        <v>43350</v>
      </c>
      <c r="B10" s="18">
        <v>0</v>
      </c>
      <c r="C10" s="18">
        <v>7</v>
      </c>
      <c r="D10" s="2">
        <f t="shared" si="0"/>
        <v>-7</v>
      </c>
      <c r="E10" s="2"/>
      <c r="F10" s="2"/>
      <c r="G10" s="2"/>
      <c r="H10" s="2"/>
      <c r="I10" s="2"/>
      <c r="J10" s="2"/>
      <c r="K10" s="19" t="s">
        <v>295</v>
      </c>
      <c r="L10" s="53" t="s">
        <v>291</v>
      </c>
    </row>
    <row r="11" spans="1:12" ht="15" customHeight="1" x14ac:dyDescent="0.25">
      <c r="A11" s="17">
        <v>43354</v>
      </c>
      <c r="B11" s="18">
        <v>0</v>
      </c>
      <c r="C11" s="18">
        <v>5</v>
      </c>
      <c r="D11" s="2">
        <f t="shared" si="0"/>
        <v>-5</v>
      </c>
      <c r="E11" s="2"/>
      <c r="F11" s="2"/>
      <c r="G11" s="2"/>
      <c r="H11" s="2"/>
      <c r="I11" s="2"/>
      <c r="J11" s="2"/>
      <c r="K11" s="19" t="s">
        <v>296</v>
      </c>
      <c r="L11" s="53" t="s">
        <v>291</v>
      </c>
    </row>
    <row r="12" spans="1:12" ht="15" customHeight="1" x14ac:dyDescent="0.25">
      <c r="A12" s="17">
        <v>43355</v>
      </c>
      <c r="B12" s="18">
        <v>0</v>
      </c>
      <c r="C12" s="18">
        <v>9</v>
      </c>
      <c r="D12" s="2">
        <f t="shared" si="0"/>
        <v>-9</v>
      </c>
      <c r="E12" s="2"/>
      <c r="F12" s="2"/>
      <c r="G12" s="2"/>
      <c r="H12" s="2"/>
      <c r="I12" s="2"/>
      <c r="J12" s="2"/>
      <c r="K12" s="19" t="s">
        <v>297</v>
      </c>
    </row>
    <row r="13" spans="1:12" ht="15" customHeight="1" x14ac:dyDescent="0.25">
      <c r="A13" s="17">
        <v>43356</v>
      </c>
      <c r="B13" s="18">
        <v>0</v>
      </c>
      <c r="C13" s="18">
        <v>1</v>
      </c>
      <c r="D13" s="2">
        <f t="shared" si="0"/>
        <v>-1</v>
      </c>
      <c r="E13" s="2"/>
      <c r="F13" s="2"/>
      <c r="G13" s="2"/>
      <c r="H13" s="2"/>
      <c r="I13" s="2"/>
      <c r="J13" s="2"/>
      <c r="K13" s="19">
        <v>503412</v>
      </c>
      <c r="L13" s="53" t="s">
        <v>298</v>
      </c>
    </row>
    <row r="14" spans="1:12" ht="39" customHeight="1" x14ac:dyDescent="0.25">
      <c r="A14" s="17">
        <v>43357</v>
      </c>
      <c r="B14" s="18">
        <v>0</v>
      </c>
      <c r="C14" s="18">
        <v>15</v>
      </c>
      <c r="D14" s="2">
        <f t="shared" si="0"/>
        <v>-15</v>
      </c>
      <c r="E14" s="2"/>
      <c r="F14" s="2"/>
      <c r="G14" s="2"/>
      <c r="H14" s="2"/>
      <c r="I14" s="2"/>
      <c r="J14" s="2"/>
      <c r="K14" s="19" t="s">
        <v>299</v>
      </c>
      <c r="L14" s="53" t="s">
        <v>291</v>
      </c>
    </row>
    <row r="15" spans="1:12" ht="15" customHeight="1" x14ac:dyDescent="0.25">
      <c r="A15" s="17">
        <v>43357</v>
      </c>
      <c r="B15" s="18">
        <v>0</v>
      </c>
      <c r="C15" s="18">
        <v>2</v>
      </c>
      <c r="D15" s="2">
        <f t="shared" si="0"/>
        <v>-2</v>
      </c>
      <c r="E15" s="2"/>
      <c r="F15" s="2"/>
      <c r="G15" s="2"/>
      <c r="H15" s="2"/>
      <c r="I15" s="2"/>
      <c r="J15" s="2"/>
      <c r="K15" s="20" t="s">
        <v>300</v>
      </c>
      <c r="L15" s="53" t="s">
        <v>298</v>
      </c>
    </row>
    <row r="16" spans="1:12" ht="15" customHeight="1" x14ac:dyDescent="0.25">
      <c r="A16" s="17">
        <v>43360</v>
      </c>
      <c r="B16" s="18">
        <v>0</v>
      </c>
      <c r="C16" s="18">
        <v>6</v>
      </c>
      <c r="D16" s="2">
        <f t="shared" si="0"/>
        <v>-6</v>
      </c>
      <c r="E16" s="2"/>
      <c r="F16" s="2"/>
      <c r="G16" s="2"/>
      <c r="H16" s="2"/>
      <c r="I16" s="2"/>
      <c r="J16" s="2"/>
      <c r="K16" s="19" t="s">
        <v>301</v>
      </c>
    </row>
    <row r="17" spans="1:12" ht="15" customHeight="1" x14ac:dyDescent="0.25">
      <c r="A17" s="17">
        <v>43360</v>
      </c>
      <c r="B17" s="18">
        <v>0</v>
      </c>
      <c r="C17" s="18">
        <v>4</v>
      </c>
      <c r="D17" s="2">
        <f t="shared" si="0"/>
        <v>-4</v>
      </c>
      <c r="E17" s="2"/>
      <c r="F17" s="2"/>
      <c r="G17" s="2"/>
      <c r="H17" s="2"/>
      <c r="I17" s="2"/>
      <c r="J17" s="2"/>
      <c r="K17" s="19" t="s">
        <v>302</v>
      </c>
      <c r="L17" s="53" t="s">
        <v>291</v>
      </c>
    </row>
    <row r="18" spans="1:12" ht="39" customHeight="1" x14ac:dyDescent="0.25">
      <c r="A18" s="17">
        <v>43361</v>
      </c>
      <c r="B18" s="18">
        <v>12</v>
      </c>
      <c r="C18" s="18">
        <v>0</v>
      </c>
      <c r="D18" s="2">
        <f t="shared" si="0"/>
        <v>12</v>
      </c>
      <c r="E18" s="2"/>
      <c r="F18" s="2"/>
      <c r="G18" s="2"/>
      <c r="H18" s="2"/>
      <c r="I18" s="2"/>
      <c r="J18" s="2"/>
      <c r="K18" s="19" t="s">
        <v>303</v>
      </c>
    </row>
    <row r="19" spans="1:12" ht="22.5" customHeight="1" x14ac:dyDescent="0.25">
      <c r="A19" s="17">
        <v>43361</v>
      </c>
      <c r="B19" s="18">
        <v>0</v>
      </c>
      <c r="C19" s="18">
        <v>4</v>
      </c>
      <c r="D19" s="2">
        <f t="shared" si="0"/>
        <v>-4</v>
      </c>
      <c r="E19" s="2"/>
      <c r="F19" s="2"/>
      <c r="G19" s="2"/>
      <c r="H19" s="2"/>
      <c r="I19" s="2"/>
      <c r="J19" s="2"/>
      <c r="K19" s="19" t="s">
        <v>304</v>
      </c>
      <c r="L19" s="53" t="s">
        <v>291</v>
      </c>
    </row>
    <row r="20" spans="1:12" ht="54" customHeight="1" x14ac:dyDescent="0.25">
      <c r="A20" s="17">
        <v>43362</v>
      </c>
      <c r="B20" s="18">
        <v>0</v>
      </c>
      <c r="C20" s="18">
        <v>25</v>
      </c>
      <c r="D20" s="2">
        <f t="shared" si="0"/>
        <v>-25</v>
      </c>
      <c r="E20" s="2"/>
      <c r="F20" s="2"/>
      <c r="G20" s="2"/>
      <c r="H20" s="2"/>
      <c r="I20" s="2"/>
      <c r="J20" s="2"/>
      <c r="K20" s="19" t="s">
        <v>305</v>
      </c>
      <c r="L20" s="53" t="s">
        <v>306</v>
      </c>
    </row>
    <row r="21" spans="1:12" ht="23.25" customHeight="1" x14ac:dyDescent="0.25">
      <c r="A21" s="17">
        <v>43364</v>
      </c>
      <c r="B21" s="18">
        <v>0</v>
      </c>
      <c r="C21" s="18">
        <v>6</v>
      </c>
      <c r="D21" s="2">
        <f t="shared" si="0"/>
        <v>-6</v>
      </c>
      <c r="E21" s="2"/>
      <c r="F21" s="2"/>
      <c r="G21" s="2"/>
      <c r="H21" s="2"/>
      <c r="I21" s="2"/>
      <c r="J21" s="2"/>
      <c r="K21" s="45" t="s">
        <v>307</v>
      </c>
    </row>
    <row r="22" spans="1:12" ht="15" customHeight="1" x14ac:dyDescent="0.25">
      <c r="A22" s="17">
        <v>43364</v>
      </c>
      <c r="B22" s="18">
        <v>5</v>
      </c>
      <c r="C22" s="18">
        <v>0</v>
      </c>
      <c r="D22" s="2">
        <f t="shared" si="0"/>
        <v>5</v>
      </c>
      <c r="E22" s="2"/>
      <c r="F22" s="2"/>
      <c r="G22" s="2"/>
      <c r="H22" s="2"/>
      <c r="I22" s="2"/>
      <c r="J22" s="2"/>
      <c r="K22" s="19" t="s">
        <v>308</v>
      </c>
    </row>
    <row r="23" spans="1:12" ht="40.5" customHeight="1" x14ac:dyDescent="0.25">
      <c r="A23" s="21">
        <v>43367</v>
      </c>
      <c r="B23" s="22">
        <v>0</v>
      </c>
      <c r="C23" s="22">
        <v>16</v>
      </c>
      <c r="D23" s="2">
        <f t="shared" si="0"/>
        <v>-16</v>
      </c>
      <c r="E23" s="23"/>
      <c r="F23" s="23"/>
      <c r="G23" s="23"/>
      <c r="H23" s="23"/>
      <c r="I23" s="23"/>
      <c r="J23" s="23"/>
      <c r="K23" s="25" t="s">
        <v>309</v>
      </c>
    </row>
    <row r="24" spans="1:12" ht="39" customHeight="1" x14ac:dyDescent="0.25">
      <c r="A24" s="17">
        <v>43368</v>
      </c>
      <c r="B24" s="18">
        <v>0</v>
      </c>
      <c r="C24" s="18">
        <v>16</v>
      </c>
      <c r="D24" s="2">
        <f t="shared" si="0"/>
        <v>-16</v>
      </c>
      <c r="E24" s="2"/>
      <c r="F24" s="2"/>
      <c r="G24" s="2"/>
      <c r="H24" s="2"/>
      <c r="I24" s="2"/>
      <c r="J24" s="2"/>
      <c r="K24" s="19" t="s">
        <v>310</v>
      </c>
      <c r="L24" s="53" t="s">
        <v>291</v>
      </c>
    </row>
    <row r="25" spans="1:12" ht="69.75" customHeight="1" x14ac:dyDescent="0.25">
      <c r="A25" s="17">
        <v>43369</v>
      </c>
      <c r="B25" s="18">
        <v>40</v>
      </c>
      <c r="C25" s="18">
        <v>0</v>
      </c>
      <c r="D25" s="2">
        <f t="shared" ref="D25:D44" si="1">B25-C25</f>
        <v>40</v>
      </c>
      <c r="E25" s="2"/>
      <c r="F25" s="2"/>
      <c r="G25" s="2"/>
      <c r="H25" s="2"/>
      <c r="I25" s="2"/>
      <c r="J25" s="2"/>
      <c r="K25" s="19" t="s">
        <v>311</v>
      </c>
    </row>
    <row r="26" spans="1:12" ht="43.5" customHeight="1" x14ac:dyDescent="0.25">
      <c r="A26" s="17">
        <v>43370</v>
      </c>
      <c r="B26" s="18">
        <v>0</v>
      </c>
      <c r="C26" s="18">
        <v>16</v>
      </c>
      <c r="D26" s="2">
        <f t="shared" si="1"/>
        <v>-16</v>
      </c>
      <c r="E26" s="2"/>
      <c r="F26" s="2"/>
      <c r="G26" s="2"/>
      <c r="H26" s="2"/>
      <c r="I26" s="2"/>
      <c r="J26" s="2"/>
      <c r="K26" s="19" t="s">
        <v>312</v>
      </c>
    </row>
    <row r="27" spans="1:12" ht="45" x14ac:dyDescent="0.25">
      <c r="A27" s="17">
        <v>43370</v>
      </c>
      <c r="B27" s="18">
        <v>15</v>
      </c>
      <c r="C27" s="18">
        <v>0</v>
      </c>
      <c r="D27" s="2">
        <f t="shared" si="1"/>
        <v>15</v>
      </c>
      <c r="E27" s="2"/>
      <c r="F27" s="2"/>
      <c r="G27" s="2"/>
      <c r="H27" s="2"/>
      <c r="I27" s="2"/>
      <c r="J27" s="2"/>
      <c r="K27" s="19" t="s">
        <v>313</v>
      </c>
    </row>
    <row r="28" spans="1:12" x14ac:dyDescent="0.25">
      <c r="A28" s="17"/>
      <c r="B28" s="18"/>
      <c r="C28" s="18"/>
      <c r="D28" s="2">
        <f t="shared" si="1"/>
        <v>0</v>
      </c>
      <c r="E28" s="2"/>
      <c r="F28" s="2"/>
      <c r="G28" s="2"/>
      <c r="H28" s="2"/>
      <c r="I28" s="2"/>
      <c r="J28" s="2"/>
      <c r="K28" s="20"/>
    </row>
    <row r="29" spans="1:12" x14ac:dyDescent="0.25">
      <c r="A29" s="17"/>
      <c r="B29" s="18"/>
      <c r="C29" s="18"/>
      <c r="D29" s="2">
        <f t="shared" si="1"/>
        <v>0</v>
      </c>
      <c r="E29" s="2"/>
      <c r="F29" s="2"/>
      <c r="G29" s="2"/>
      <c r="H29" s="2"/>
      <c r="I29" s="2"/>
      <c r="J29" s="2"/>
      <c r="K29" s="19"/>
    </row>
    <row r="30" spans="1:12" x14ac:dyDescent="0.25">
      <c r="A30" s="17"/>
      <c r="B30" s="18"/>
      <c r="C30" s="18"/>
      <c r="D30" s="2">
        <f t="shared" si="1"/>
        <v>0</v>
      </c>
      <c r="E30" s="2"/>
      <c r="F30" s="2"/>
      <c r="G30" s="2"/>
      <c r="H30" s="2"/>
      <c r="I30" s="2"/>
      <c r="J30" s="2"/>
      <c r="K30" s="19"/>
    </row>
    <row r="31" spans="1:12" x14ac:dyDescent="0.25">
      <c r="A31" s="17"/>
      <c r="B31" s="18"/>
      <c r="C31" s="18"/>
      <c r="D31" s="2">
        <f t="shared" si="1"/>
        <v>0</v>
      </c>
      <c r="E31" s="2"/>
      <c r="F31" s="2"/>
      <c r="G31" s="2"/>
      <c r="H31" s="2"/>
      <c r="I31" s="2"/>
      <c r="J31" s="2"/>
      <c r="K31" s="20"/>
    </row>
    <row r="32" spans="1:12" x14ac:dyDescent="0.25">
      <c r="A32" s="17"/>
      <c r="B32" s="18"/>
      <c r="C32" s="18"/>
      <c r="D32" s="2">
        <f t="shared" si="1"/>
        <v>0</v>
      </c>
      <c r="E32" s="2"/>
      <c r="F32" s="2"/>
      <c r="G32" s="2"/>
      <c r="H32" s="2"/>
      <c r="I32" s="2"/>
      <c r="J32" s="2"/>
      <c r="K32" s="20"/>
    </row>
    <row r="33" spans="1:11" x14ac:dyDescent="0.25">
      <c r="A33" s="17"/>
      <c r="B33" s="18"/>
      <c r="C33" s="18"/>
      <c r="D33" s="2">
        <f t="shared" si="1"/>
        <v>0</v>
      </c>
      <c r="E33" s="2"/>
      <c r="F33" s="2"/>
      <c r="G33" s="2"/>
      <c r="H33" s="2"/>
      <c r="I33" s="2"/>
      <c r="J33" s="2"/>
      <c r="K33" s="19"/>
    </row>
    <row r="34" spans="1:11" x14ac:dyDescent="0.25">
      <c r="A34" s="17"/>
      <c r="B34" s="18"/>
      <c r="C34" s="18"/>
      <c r="D34" s="2">
        <f t="shared" si="1"/>
        <v>0</v>
      </c>
      <c r="E34" s="2"/>
      <c r="F34" s="2"/>
      <c r="G34" s="2"/>
      <c r="H34" s="2"/>
      <c r="I34" s="2"/>
      <c r="J34" s="2"/>
      <c r="K34" s="20"/>
    </row>
    <row r="35" spans="1:11" x14ac:dyDescent="0.25">
      <c r="A35" s="17"/>
      <c r="B35" s="18"/>
      <c r="C35" s="18"/>
      <c r="D35" s="2">
        <f t="shared" si="1"/>
        <v>0</v>
      </c>
      <c r="E35" s="2"/>
      <c r="F35" s="2"/>
      <c r="G35" s="2"/>
      <c r="H35" s="2"/>
      <c r="I35" s="2"/>
      <c r="J35" s="2"/>
      <c r="K35" s="20"/>
    </row>
    <row r="36" spans="1:11" x14ac:dyDescent="0.25">
      <c r="A36" s="17"/>
      <c r="B36" s="18"/>
      <c r="C36" s="18"/>
      <c r="D36" s="2">
        <f t="shared" si="1"/>
        <v>0</v>
      </c>
      <c r="E36" s="2"/>
      <c r="F36" s="2"/>
      <c r="G36" s="2"/>
      <c r="H36" s="2"/>
      <c r="I36" s="2"/>
      <c r="J36" s="2"/>
      <c r="K36" s="20"/>
    </row>
    <row r="37" spans="1:11" x14ac:dyDescent="0.25">
      <c r="A37" s="17"/>
      <c r="B37" s="18"/>
      <c r="C37" s="18"/>
      <c r="D37" s="2">
        <f t="shared" si="1"/>
        <v>0</v>
      </c>
      <c r="E37" s="2"/>
      <c r="F37" s="2"/>
      <c r="G37" s="2"/>
      <c r="H37" s="2"/>
      <c r="I37" s="2"/>
      <c r="J37" s="2"/>
      <c r="K37" s="20"/>
    </row>
    <row r="38" spans="1:11" x14ac:dyDescent="0.25">
      <c r="A38" s="17"/>
      <c r="B38" s="18"/>
      <c r="C38" s="18"/>
      <c r="D38" s="2">
        <f t="shared" si="1"/>
        <v>0</v>
      </c>
      <c r="E38" s="2"/>
      <c r="F38" s="2"/>
      <c r="G38" s="2"/>
      <c r="H38" s="2"/>
      <c r="I38" s="2"/>
      <c r="J38" s="2"/>
      <c r="K38" s="20"/>
    </row>
    <row r="39" spans="1:11" x14ac:dyDescent="0.25">
      <c r="A39" s="17"/>
      <c r="B39" s="18"/>
      <c r="C39" s="18"/>
      <c r="D39" s="2">
        <f t="shared" si="1"/>
        <v>0</v>
      </c>
      <c r="E39" s="2"/>
      <c r="F39" s="2"/>
      <c r="G39" s="2"/>
      <c r="H39" s="2"/>
      <c r="I39" s="2"/>
      <c r="J39" s="2"/>
      <c r="K39" s="20"/>
    </row>
    <row r="40" spans="1:11" x14ac:dyDescent="0.25">
      <c r="A40" s="17"/>
      <c r="B40" s="18"/>
      <c r="C40" s="18"/>
      <c r="D40" s="2">
        <f t="shared" si="1"/>
        <v>0</v>
      </c>
      <c r="E40" s="2"/>
      <c r="F40" s="2"/>
      <c r="G40" s="2"/>
      <c r="H40" s="2"/>
      <c r="I40" s="2"/>
      <c r="J40" s="2"/>
      <c r="K40" s="19"/>
    </row>
    <row r="41" spans="1:11" x14ac:dyDescent="0.25">
      <c r="A41" s="17"/>
      <c r="B41" s="18"/>
      <c r="C41" s="18"/>
      <c r="D41" s="2">
        <f t="shared" si="1"/>
        <v>0</v>
      </c>
      <c r="E41" s="2"/>
      <c r="F41" s="2"/>
      <c r="G41" s="2"/>
      <c r="H41" s="2"/>
      <c r="I41" s="2"/>
      <c r="J41" s="2"/>
      <c r="K41" s="20"/>
    </row>
    <row r="42" spans="1:11" x14ac:dyDescent="0.25">
      <c r="A42" s="17"/>
      <c r="B42" s="18"/>
      <c r="C42" s="18"/>
      <c r="D42" s="2">
        <f t="shared" si="1"/>
        <v>0</v>
      </c>
      <c r="E42" s="2"/>
      <c r="F42" s="2"/>
      <c r="G42" s="2"/>
      <c r="H42" s="2"/>
      <c r="I42" s="2"/>
      <c r="J42" s="2"/>
      <c r="K42" s="20"/>
    </row>
    <row r="43" spans="1:11" x14ac:dyDescent="0.25">
      <c r="A43" s="17"/>
      <c r="B43" s="18"/>
      <c r="C43" s="18"/>
      <c r="D43" s="2">
        <f t="shared" si="1"/>
        <v>0</v>
      </c>
      <c r="E43" s="2"/>
      <c r="F43" s="2"/>
      <c r="G43" s="2"/>
      <c r="H43" s="2"/>
      <c r="I43" s="2"/>
      <c r="J43" s="2"/>
      <c r="K43" s="20"/>
    </row>
    <row r="44" spans="1:11" x14ac:dyDescent="0.25">
      <c r="A44" s="17"/>
      <c r="B44" s="18"/>
      <c r="C44" s="18"/>
      <c r="D44" s="2">
        <f t="shared" si="1"/>
        <v>0</v>
      </c>
      <c r="E44" s="2"/>
      <c r="F44" s="2"/>
      <c r="G44" s="2"/>
      <c r="H44" s="2"/>
      <c r="I44" s="2"/>
      <c r="J44" s="2"/>
      <c r="K44" s="20"/>
    </row>
  </sheetData>
  <sheetProtection algorithmName="SHA-512" hashValue="8XhktXlnWCmmhvoWbVdRPTL1t3QRYzE3sa3fj1e629IhC1WPIGCy/KEvLBma/LWhYwIGwZlCGLxwje9m3EjMjA==" saltValue="VcsFQmTjtbkkz0QIcL7/xg==" spinCount="100000" sheet="1" objects="1" scenarios="1" selectLockedCells="1" selectUnlockedCells="1"/>
  <sortState xmlns:xlrd2="http://schemas.microsoft.com/office/spreadsheetml/2017/richdata2" ref="A7:L24">
    <sortCondition ref="A24"/>
  </sortState>
  <customSheetViews>
    <customSheetView guid="{E5A7B818-645B-417C-A128-9FE559D9B124}" fitToPage="1">
      <pane ySplit="6" topLeftCell="A19" activePane="bottomLeft" state="frozen"/>
      <selection pane="bottomLeft" activeCell="L25" sqref="L25"/>
      <pageMargins left="0.70866141732283472" right="0.70866141732283472" top="0.78740157480314965" bottom="0.78740157480314965" header="0.31496062992125984" footer="0.31496062992125984"/>
      <printOptions horizontalCentered="1" verticalCentered="1"/>
      <pageSetup paperSize="9" scale="67" orientation="landscape" r:id="rId1"/>
      <headerFooter>
        <oddFooter>&amp;C&amp;D / &amp;T&amp;RSeite &amp;P von &amp;N</oddFooter>
      </headerFooter>
    </customSheetView>
  </customSheetViews>
  <conditionalFormatting sqref="K2">
    <cfRule type="cellIs" dxfId="191" priority="1" operator="lessThan">
      <formula>0</formula>
    </cfRule>
    <cfRule type="cellIs" dxfId="19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7" orientation="landscape" r:id="rId2"/>
  <headerFooter>
    <oddFooter>&amp;C&amp;D / &amp;T&amp;RSeite &amp;P von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5">
    <pageSetUpPr fitToPage="1"/>
  </sheetPr>
  <dimension ref="A1:L44"/>
  <sheetViews>
    <sheetView workbookViewId="0">
      <pane ySplit="6" topLeftCell="A28" activePane="bottomLeft" state="frozen"/>
      <selection pane="bottomLeft" activeCell="G37" sqref="G37"/>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151</v>
      </c>
    </row>
    <row r="3" spans="1:12" ht="15.75" thickBot="1" x14ac:dyDescent="0.3">
      <c r="A3" s="5"/>
      <c r="B3" s="2"/>
      <c r="C3" s="2"/>
      <c r="D3" s="2"/>
      <c r="E3" s="2"/>
      <c r="F3" s="2">
        <f>'09.18'!F6</f>
        <v>369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443</v>
      </c>
      <c r="G6" s="30">
        <f>SUM(B:B)</f>
        <v>173</v>
      </c>
      <c r="H6" s="30">
        <f>SUM(C:C)</f>
        <v>99</v>
      </c>
      <c r="I6" s="30"/>
      <c r="J6" s="33">
        <f>SUM(G6:H6)+SUM(E:E)</f>
        <v>336</v>
      </c>
      <c r="K6" s="34"/>
      <c r="L6" s="50">
        <f>J6/K1</f>
        <v>0.56565656565656564</v>
      </c>
    </row>
    <row r="7" spans="1:12" ht="54" customHeight="1" x14ac:dyDescent="0.25">
      <c r="A7" s="17">
        <v>43378</v>
      </c>
      <c r="B7" s="18">
        <v>0</v>
      </c>
      <c r="C7" s="18">
        <v>21</v>
      </c>
      <c r="D7" s="2">
        <f t="shared" ref="D7:D44" si="0">B7-C7</f>
        <v>-21</v>
      </c>
      <c r="E7" s="2"/>
      <c r="F7" s="2"/>
      <c r="G7" s="2"/>
      <c r="H7" s="2"/>
      <c r="I7" s="2"/>
      <c r="J7" s="2"/>
      <c r="K7" s="19" t="s">
        <v>314</v>
      </c>
    </row>
    <row r="8" spans="1:12" ht="15" customHeight="1" x14ac:dyDescent="0.25">
      <c r="A8" s="17">
        <v>43378</v>
      </c>
      <c r="B8" s="18">
        <v>0</v>
      </c>
      <c r="C8" s="18">
        <v>6</v>
      </c>
      <c r="D8" s="2">
        <f t="shared" si="0"/>
        <v>-6</v>
      </c>
      <c r="E8" s="2"/>
      <c r="F8" s="2"/>
      <c r="G8" s="2"/>
      <c r="H8" s="2"/>
      <c r="I8" s="2"/>
      <c r="J8" s="2"/>
      <c r="K8" s="19" t="s">
        <v>315</v>
      </c>
      <c r="L8" s="27" t="s">
        <v>291</v>
      </c>
    </row>
    <row r="9" spans="1:12" ht="15" customHeight="1" x14ac:dyDescent="0.25">
      <c r="A9" s="17">
        <v>43381</v>
      </c>
      <c r="B9" s="18">
        <v>0</v>
      </c>
      <c r="C9" s="18">
        <v>3</v>
      </c>
      <c r="D9" s="2">
        <f t="shared" si="0"/>
        <v>-3</v>
      </c>
      <c r="E9" s="2"/>
      <c r="F9" s="2"/>
      <c r="G9" s="2"/>
      <c r="H9" s="2"/>
      <c r="I9" s="2"/>
      <c r="J9" s="2"/>
      <c r="K9" s="20" t="s">
        <v>316</v>
      </c>
      <c r="L9" s="27" t="s">
        <v>317</v>
      </c>
    </row>
    <row r="10" spans="1:12" ht="15" customHeight="1" x14ac:dyDescent="0.3">
      <c r="A10" s="17">
        <v>43381</v>
      </c>
      <c r="B10" s="18">
        <v>0</v>
      </c>
      <c r="C10" s="18">
        <v>0</v>
      </c>
      <c r="D10" s="2">
        <f t="shared" si="0"/>
        <v>0</v>
      </c>
      <c r="E10" s="2">
        <f>33+25</f>
        <v>58</v>
      </c>
      <c r="F10" s="2"/>
      <c r="G10" s="2"/>
      <c r="H10" s="2"/>
      <c r="I10" s="2"/>
      <c r="J10" s="2"/>
      <c r="K10" s="19" t="s">
        <v>107</v>
      </c>
      <c r="L10" s="38"/>
    </row>
    <row r="11" spans="1:12" ht="104.25" customHeight="1" x14ac:dyDescent="0.3">
      <c r="A11" s="17">
        <v>43382</v>
      </c>
      <c r="B11" s="18">
        <v>58</v>
      </c>
      <c r="C11" s="18">
        <v>0</v>
      </c>
      <c r="D11" s="2">
        <f t="shared" si="0"/>
        <v>58</v>
      </c>
      <c r="E11" s="2"/>
      <c r="F11" s="2"/>
      <c r="G11" s="2"/>
      <c r="H11" s="2"/>
      <c r="I11" s="2"/>
      <c r="J11" s="2"/>
      <c r="K11" s="19" t="s">
        <v>318</v>
      </c>
      <c r="L11" s="38"/>
    </row>
    <row r="12" spans="1:12" ht="36.75" customHeight="1" x14ac:dyDescent="0.25">
      <c r="A12" s="17">
        <v>43383</v>
      </c>
      <c r="B12" s="18">
        <v>16</v>
      </c>
      <c r="C12" s="18">
        <v>0</v>
      </c>
      <c r="D12" s="2">
        <f t="shared" si="0"/>
        <v>16</v>
      </c>
      <c r="E12" s="2"/>
      <c r="F12" s="2"/>
      <c r="G12" s="2"/>
      <c r="H12" s="2"/>
      <c r="I12" s="2"/>
      <c r="J12" s="2"/>
      <c r="K12" s="19" t="s">
        <v>319</v>
      </c>
    </row>
    <row r="13" spans="1:12" ht="39" customHeight="1" x14ac:dyDescent="0.25">
      <c r="A13" s="17">
        <v>43384</v>
      </c>
      <c r="B13" s="18">
        <v>0</v>
      </c>
      <c r="C13" s="18">
        <v>17</v>
      </c>
      <c r="D13" s="2">
        <f t="shared" si="0"/>
        <v>-17</v>
      </c>
      <c r="E13" s="2"/>
      <c r="F13" s="2"/>
      <c r="G13" s="2"/>
      <c r="H13" s="2"/>
      <c r="I13" s="2"/>
      <c r="J13" s="2"/>
      <c r="K13" s="19" t="s">
        <v>320</v>
      </c>
    </row>
    <row r="14" spans="1:12" ht="15" customHeight="1" x14ac:dyDescent="0.25">
      <c r="A14" s="17">
        <v>43384</v>
      </c>
      <c r="B14" s="18">
        <v>5</v>
      </c>
      <c r="C14" s="18">
        <v>5</v>
      </c>
      <c r="D14" s="2">
        <f t="shared" si="0"/>
        <v>0</v>
      </c>
      <c r="E14" s="2">
        <v>5</v>
      </c>
      <c r="F14" s="2"/>
      <c r="G14" s="2"/>
      <c r="H14" s="2"/>
      <c r="I14" s="2"/>
      <c r="J14" s="2"/>
      <c r="K14" s="19" t="s">
        <v>321</v>
      </c>
      <c r="L14" s="27" t="s">
        <v>322</v>
      </c>
    </row>
    <row r="15" spans="1:12" ht="15" customHeight="1" x14ac:dyDescent="0.25">
      <c r="A15" s="17">
        <v>43384</v>
      </c>
      <c r="B15" s="18">
        <v>1</v>
      </c>
      <c r="C15" s="18">
        <v>1</v>
      </c>
      <c r="D15" s="2">
        <f t="shared" si="0"/>
        <v>0</v>
      </c>
      <c r="E15" s="2">
        <v>1</v>
      </c>
      <c r="F15" s="2"/>
      <c r="G15" s="2"/>
      <c r="H15" s="2"/>
      <c r="I15" s="2"/>
      <c r="J15" s="2"/>
      <c r="K15" s="20" t="s">
        <v>323</v>
      </c>
    </row>
    <row r="16" spans="1:12" ht="39" customHeight="1" x14ac:dyDescent="0.25">
      <c r="A16" s="17">
        <v>43385</v>
      </c>
      <c r="B16" s="18">
        <v>13</v>
      </c>
      <c r="C16" s="18">
        <v>0</v>
      </c>
      <c r="D16" s="2">
        <f t="shared" si="0"/>
        <v>13</v>
      </c>
      <c r="E16" s="2"/>
      <c r="F16" s="2"/>
      <c r="G16" s="2"/>
      <c r="H16" s="2"/>
      <c r="I16" s="2"/>
      <c r="J16" s="2"/>
      <c r="K16" s="19" t="s">
        <v>324</v>
      </c>
    </row>
    <row r="17" spans="1:12" ht="15" customHeight="1" x14ac:dyDescent="0.25">
      <c r="A17" s="17">
        <v>43388</v>
      </c>
      <c r="B17" s="18">
        <v>0</v>
      </c>
      <c r="C17" s="18">
        <v>3</v>
      </c>
      <c r="D17" s="2">
        <f t="shared" si="0"/>
        <v>-3</v>
      </c>
      <c r="E17" s="2"/>
      <c r="F17" s="2"/>
      <c r="G17" s="2"/>
      <c r="H17" s="2"/>
      <c r="I17" s="2"/>
      <c r="J17" s="2"/>
      <c r="K17" s="19" t="s">
        <v>325</v>
      </c>
      <c r="L17" s="27" t="s">
        <v>291</v>
      </c>
    </row>
    <row r="18" spans="1:12" ht="15" customHeight="1" x14ac:dyDescent="0.25">
      <c r="A18" s="17">
        <v>43388</v>
      </c>
      <c r="B18" s="18">
        <v>4</v>
      </c>
      <c r="C18" s="18">
        <v>0</v>
      </c>
      <c r="D18" s="2">
        <f t="shared" si="0"/>
        <v>4</v>
      </c>
      <c r="E18" s="2"/>
      <c r="F18" s="2"/>
      <c r="G18" s="2"/>
      <c r="H18" s="2"/>
      <c r="I18" s="2"/>
      <c r="J18" s="2"/>
      <c r="K18" s="19" t="s">
        <v>326</v>
      </c>
    </row>
    <row r="19" spans="1:12" ht="15" customHeight="1" x14ac:dyDescent="0.25">
      <c r="A19" s="17">
        <v>43390</v>
      </c>
      <c r="B19" s="18">
        <v>0</v>
      </c>
      <c r="C19" s="18">
        <v>5</v>
      </c>
      <c r="D19" s="2">
        <f t="shared" si="0"/>
        <v>-5</v>
      </c>
      <c r="E19" s="2"/>
      <c r="F19" s="2"/>
      <c r="G19" s="2"/>
      <c r="H19" s="2"/>
      <c r="I19" s="2"/>
      <c r="J19" s="2"/>
      <c r="K19" s="19" t="s">
        <v>327</v>
      </c>
      <c r="L19" s="27" t="s">
        <v>291</v>
      </c>
    </row>
    <row r="20" spans="1:12" ht="15" customHeight="1" x14ac:dyDescent="0.25">
      <c r="A20" s="17">
        <v>43390</v>
      </c>
      <c r="B20" s="18">
        <v>0</v>
      </c>
      <c r="C20" s="18">
        <v>2</v>
      </c>
      <c r="D20" s="2">
        <f t="shared" si="0"/>
        <v>-2</v>
      </c>
      <c r="E20" s="2"/>
      <c r="F20" s="2"/>
      <c r="G20" s="2"/>
      <c r="H20" s="2"/>
      <c r="I20" s="2"/>
      <c r="J20" s="2"/>
      <c r="K20" s="19" t="s">
        <v>328</v>
      </c>
      <c r="L20" s="27" t="s">
        <v>317</v>
      </c>
    </row>
    <row r="21" spans="1:12" ht="39" customHeight="1" x14ac:dyDescent="0.25">
      <c r="A21" s="21">
        <v>43391</v>
      </c>
      <c r="B21" s="22">
        <v>15</v>
      </c>
      <c r="C21" s="22">
        <v>0</v>
      </c>
      <c r="D21" s="2">
        <f t="shared" si="0"/>
        <v>15</v>
      </c>
      <c r="E21" s="23"/>
      <c r="F21" s="23"/>
      <c r="G21" s="23"/>
      <c r="H21" s="23"/>
      <c r="I21" s="23"/>
      <c r="J21" s="23"/>
      <c r="K21" s="25" t="s">
        <v>329</v>
      </c>
    </row>
    <row r="22" spans="1:12" ht="39.75" customHeight="1" x14ac:dyDescent="0.25">
      <c r="A22" s="17">
        <v>43392</v>
      </c>
      <c r="B22" s="18">
        <v>0</v>
      </c>
      <c r="C22" s="18">
        <v>14</v>
      </c>
      <c r="D22" s="2">
        <f t="shared" si="0"/>
        <v>-14</v>
      </c>
      <c r="E22" s="2"/>
      <c r="F22" s="2"/>
      <c r="G22" s="2"/>
      <c r="H22" s="2"/>
      <c r="I22" s="2"/>
      <c r="J22" s="2"/>
      <c r="K22" s="19" t="s">
        <v>330</v>
      </c>
      <c r="L22" s="27" t="s">
        <v>291</v>
      </c>
    </row>
    <row r="23" spans="1:12" ht="39" customHeight="1" x14ac:dyDescent="0.25">
      <c r="A23" s="17">
        <v>43392</v>
      </c>
      <c r="B23" s="18">
        <v>20</v>
      </c>
      <c r="C23" s="18">
        <v>0</v>
      </c>
      <c r="D23" s="2">
        <f t="shared" si="0"/>
        <v>20</v>
      </c>
      <c r="E23" s="2"/>
      <c r="F23" s="2"/>
      <c r="G23" s="2"/>
      <c r="H23" s="2"/>
      <c r="I23" s="2"/>
      <c r="J23" s="2"/>
      <c r="K23" s="49" t="s">
        <v>331</v>
      </c>
    </row>
    <row r="24" spans="1:12" ht="15" customHeight="1" x14ac:dyDescent="0.25">
      <c r="A24" s="17">
        <v>43396</v>
      </c>
      <c r="B24" s="18">
        <v>10</v>
      </c>
      <c r="C24" s="18">
        <v>0</v>
      </c>
      <c r="D24" s="2">
        <f t="shared" si="0"/>
        <v>10</v>
      </c>
      <c r="E24" s="2"/>
      <c r="F24" s="2"/>
      <c r="G24" s="2"/>
      <c r="H24" s="2"/>
      <c r="I24" s="2"/>
      <c r="J24" s="2"/>
      <c r="K24" s="19" t="s">
        <v>332</v>
      </c>
    </row>
    <row r="25" spans="1:12" ht="15" customHeight="1" x14ac:dyDescent="0.25">
      <c r="A25" s="17">
        <v>43398</v>
      </c>
      <c r="B25" s="18">
        <v>0</v>
      </c>
      <c r="C25" s="18">
        <v>7</v>
      </c>
      <c r="D25" s="2">
        <f t="shared" si="0"/>
        <v>-7</v>
      </c>
      <c r="E25" s="2"/>
      <c r="F25" s="2"/>
      <c r="G25" s="2"/>
      <c r="H25" s="2"/>
      <c r="I25" s="2"/>
      <c r="J25" s="2"/>
      <c r="K25" s="19" t="s">
        <v>333</v>
      </c>
      <c r="L25" s="27" t="s">
        <v>291</v>
      </c>
    </row>
    <row r="26" spans="1:12" ht="15" customHeight="1" x14ac:dyDescent="0.25">
      <c r="A26" s="17">
        <v>43398</v>
      </c>
      <c r="B26" s="18">
        <v>0</v>
      </c>
      <c r="C26" s="18">
        <v>2</v>
      </c>
      <c r="D26" s="2">
        <f t="shared" si="0"/>
        <v>-2</v>
      </c>
      <c r="E26" s="2"/>
      <c r="F26" s="2"/>
      <c r="G26" s="2"/>
      <c r="H26" s="2"/>
      <c r="I26" s="2"/>
      <c r="J26" s="2"/>
      <c r="K26" s="20" t="s">
        <v>334</v>
      </c>
      <c r="L26" s="27" t="s">
        <v>317</v>
      </c>
    </row>
    <row r="27" spans="1:12" x14ac:dyDescent="0.25">
      <c r="A27" s="17">
        <v>43398</v>
      </c>
      <c r="B27" s="18">
        <v>4</v>
      </c>
      <c r="C27" s="18">
        <v>0</v>
      </c>
      <c r="D27" s="2">
        <f t="shared" si="0"/>
        <v>4</v>
      </c>
      <c r="E27" s="2"/>
      <c r="F27" s="2"/>
      <c r="G27" s="2"/>
      <c r="H27" s="2"/>
      <c r="I27" s="2"/>
      <c r="J27" s="2"/>
      <c r="K27" s="20" t="s">
        <v>335</v>
      </c>
    </row>
    <row r="28" spans="1:12" ht="45" x14ac:dyDescent="0.25">
      <c r="A28" s="17">
        <v>43399</v>
      </c>
      <c r="B28" s="18">
        <v>13</v>
      </c>
      <c r="C28" s="18">
        <v>0</v>
      </c>
      <c r="D28" s="2">
        <f t="shared" si="0"/>
        <v>13</v>
      </c>
      <c r="E28" s="2"/>
      <c r="F28" s="2"/>
      <c r="G28" s="2"/>
      <c r="H28" s="2"/>
      <c r="I28" s="2"/>
      <c r="J28" s="2"/>
      <c r="K28" s="19" t="s">
        <v>336</v>
      </c>
    </row>
    <row r="29" spans="1:12" x14ac:dyDescent="0.25">
      <c r="A29" s="17">
        <v>43402</v>
      </c>
      <c r="B29" s="18">
        <v>0</v>
      </c>
      <c r="C29" s="18">
        <v>8</v>
      </c>
      <c r="D29" s="2">
        <f t="shared" si="0"/>
        <v>-8</v>
      </c>
      <c r="E29" s="2"/>
      <c r="F29" s="2"/>
      <c r="G29" s="2"/>
      <c r="H29" s="2"/>
      <c r="I29" s="2"/>
      <c r="J29" s="2"/>
      <c r="K29" s="19" t="s">
        <v>337</v>
      </c>
      <c r="L29" s="27" t="s">
        <v>291</v>
      </c>
    </row>
    <row r="30" spans="1:12" ht="45" x14ac:dyDescent="0.25">
      <c r="A30" s="17">
        <v>43402</v>
      </c>
      <c r="B30" s="18">
        <v>14</v>
      </c>
      <c r="C30" s="18">
        <v>0</v>
      </c>
      <c r="D30" s="2">
        <f t="shared" si="0"/>
        <v>14</v>
      </c>
      <c r="E30" s="2"/>
      <c r="F30" s="2"/>
      <c r="G30" s="2"/>
      <c r="H30" s="2"/>
      <c r="I30" s="2"/>
      <c r="J30" s="2"/>
      <c r="K30" s="19" t="s">
        <v>338</v>
      </c>
    </row>
    <row r="31" spans="1:12" x14ac:dyDescent="0.25">
      <c r="A31" s="17">
        <v>43403</v>
      </c>
      <c r="B31" s="18">
        <v>0</v>
      </c>
      <c r="C31" s="18">
        <v>5</v>
      </c>
      <c r="D31" s="2">
        <f t="shared" si="0"/>
        <v>-5</v>
      </c>
      <c r="E31" s="2"/>
      <c r="F31" s="2"/>
      <c r="G31" s="2"/>
      <c r="H31" s="2"/>
      <c r="I31" s="2"/>
      <c r="J31" s="2"/>
      <c r="K31" s="20" t="s">
        <v>339</v>
      </c>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T0m+dJCyPkUyL+6LsnBkEOiiePegAMv6YZJLnDLppYIfUQgM1E+Z2IzFkGBMtdzNRo41dkoAKUhripwwaN5ImQ==" saltValue="o0jGUTMGBR2atgXcHLQnbA==" spinCount="100000" sheet="1" objects="1" scenarios="1" selectLockedCells="1" selectUnlockedCells="1"/>
  <customSheetViews>
    <customSheetView guid="{E5A7B818-645B-417C-A128-9FE559D9B124}" fitToPage="1">
      <pane ySplit="6" topLeftCell="A28" activePane="bottomLeft" state="frozen"/>
      <selection pane="bottomLeft" activeCell="G37" sqref="G37"/>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89" priority="1" operator="lessThan">
      <formula>0</formula>
    </cfRule>
    <cfRule type="cellIs" dxfId="18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6">
    <pageSetUpPr fitToPage="1"/>
  </sheetPr>
  <dimension ref="A1:L44"/>
  <sheetViews>
    <sheetView workbookViewId="0">
      <pane ySplit="6" topLeftCell="A22" activePane="bottomLeft" state="frozen"/>
      <selection pane="bottomLeft" activeCell="B18" sqref="B18"/>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92</v>
      </c>
    </row>
    <row r="3" spans="1:12" ht="15.75" thickBot="1" x14ac:dyDescent="0.3">
      <c r="A3" s="5"/>
      <c r="B3" s="2"/>
      <c r="C3" s="2"/>
      <c r="D3" s="2"/>
      <c r="E3" s="2"/>
      <c r="F3" s="2">
        <f>'10.18'!F6</f>
        <v>443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502</v>
      </c>
      <c r="G6" s="30">
        <f>SUM(B:B)</f>
        <v>191</v>
      </c>
      <c r="H6" s="30">
        <f>SUM(C:C)</f>
        <v>132</v>
      </c>
      <c r="I6" s="30"/>
      <c r="J6" s="33">
        <f>SUM(G6:H6)+SUM(E:E)</f>
        <v>400</v>
      </c>
      <c r="K6" s="34"/>
      <c r="L6" s="50">
        <f>J6/K1</f>
        <v>0.67340067340067344</v>
      </c>
    </row>
    <row r="7" spans="1:12" ht="36" customHeight="1" x14ac:dyDescent="0.25">
      <c r="A7" s="17">
        <v>43405</v>
      </c>
      <c r="B7" s="18">
        <v>0</v>
      </c>
      <c r="C7" s="18">
        <v>15</v>
      </c>
      <c r="D7" s="2">
        <f t="shared" ref="D7:D44" si="0">B7-C7</f>
        <v>-15</v>
      </c>
      <c r="E7" s="2"/>
      <c r="F7" s="2"/>
      <c r="G7" s="2"/>
      <c r="H7" s="2"/>
      <c r="I7" s="2"/>
      <c r="J7" s="2"/>
      <c r="K7" s="19" t="s">
        <v>340</v>
      </c>
      <c r="L7" s="27" t="s">
        <v>291</v>
      </c>
    </row>
    <row r="8" spans="1:12" ht="15" customHeight="1" x14ac:dyDescent="0.25">
      <c r="A8" s="17">
        <v>43406</v>
      </c>
      <c r="B8" s="18">
        <v>0</v>
      </c>
      <c r="C8" s="18">
        <v>0</v>
      </c>
      <c r="D8" s="2">
        <f t="shared" si="0"/>
        <v>0</v>
      </c>
      <c r="E8" s="2">
        <v>9</v>
      </c>
      <c r="F8" s="2"/>
      <c r="G8" s="2"/>
      <c r="H8" s="2"/>
      <c r="I8" s="2"/>
      <c r="J8" s="2"/>
      <c r="K8" s="19" t="s">
        <v>107</v>
      </c>
      <c r="L8" s="27" t="s">
        <v>341</v>
      </c>
    </row>
    <row r="9" spans="1:12" ht="39.75" customHeight="1" x14ac:dyDescent="0.25">
      <c r="A9" s="17">
        <v>43406</v>
      </c>
      <c r="B9" s="18">
        <v>0</v>
      </c>
      <c r="C9" s="18">
        <v>18</v>
      </c>
      <c r="D9" s="2">
        <f t="shared" si="0"/>
        <v>-18</v>
      </c>
      <c r="E9" s="2"/>
      <c r="F9" s="2"/>
      <c r="G9" s="2"/>
      <c r="H9" s="2"/>
      <c r="I9" s="2"/>
      <c r="J9" s="2"/>
      <c r="K9" s="19" t="s">
        <v>342</v>
      </c>
    </row>
    <row r="10" spans="1:12" ht="72.75" customHeight="1" x14ac:dyDescent="0.3">
      <c r="A10" s="17">
        <v>43406</v>
      </c>
      <c r="B10" s="18">
        <v>32</v>
      </c>
      <c r="C10" s="18">
        <v>0</v>
      </c>
      <c r="D10" s="2">
        <f t="shared" si="0"/>
        <v>32</v>
      </c>
      <c r="E10" s="2"/>
      <c r="F10" s="2"/>
      <c r="G10" s="2"/>
      <c r="H10" s="2"/>
      <c r="I10" s="2"/>
      <c r="J10" s="2"/>
      <c r="K10" s="19" t="s">
        <v>343</v>
      </c>
      <c r="L10" s="38"/>
    </row>
    <row r="11" spans="1:12" ht="15" customHeight="1" x14ac:dyDescent="0.25">
      <c r="A11" s="17">
        <v>43406</v>
      </c>
      <c r="B11" s="18">
        <v>9</v>
      </c>
      <c r="C11" s="18">
        <v>0</v>
      </c>
      <c r="D11" s="2">
        <f t="shared" si="0"/>
        <v>9</v>
      </c>
      <c r="E11" s="2"/>
      <c r="F11" s="2"/>
      <c r="G11" s="2"/>
      <c r="H11" s="2"/>
      <c r="I11" s="2"/>
      <c r="J11" s="2"/>
      <c r="K11" s="19" t="s">
        <v>344</v>
      </c>
      <c r="L11" s="53" t="s">
        <v>345</v>
      </c>
    </row>
    <row r="12" spans="1:12" ht="39" customHeight="1" x14ac:dyDescent="0.25">
      <c r="A12" s="17">
        <v>43410</v>
      </c>
      <c r="B12" s="18">
        <v>0</v>
      </c>
      <c r="C12" s="18">
        <v>12</v>
      </c>
      <c r="D12" s="2">
        <f t="shared" si="0"/>
        <v>-12</v>
      </c>
      <c r="E12" s="2"/>
      <c r="F12" s="2"/>
      <c r="G12" s="2"/>
      <c r="H12" s="2"/>
      <c r="I12" s="2"/>
      <c r="J12" s="2"/>
      <c r="K12" s="19" t="s">
        <v>346</v>
      </c>
    </row>
    <row r="13" spans="1:12" ht="15" customHeight="1" x14ac:dyDescent="0.25">
      <c r="A13" s="17">
        <v>43410</v>
      </c>
      <c r="B13" s="18">
        <v>1</v>
      </c>
      <c r="C13" s="18">
        <v>0</v>
      </c>
      <c r="D13" s="2">
        <f t="shared" si="0"/>
        <v>1</v>
      </c>
      <c r="E13" s="2"/>
      <c r="F13" s="2"/>
      <c r="G13" s="2"/>
      <c r="H13" s="2"/>
      <c r="I13" s="2"/>
      <c r="J13" s="2"/>
      <c r="K13" s="19" t="s">
        <v>251</v>
      </c>
    </row>
    <row r="14" spans="1:12" ht="52.5" customHeight="1" x14ac:dyDescent="0.25">
      <c r="A14" s="17">
        <v>43413</v>
      </c>
      <c r="B14" s="18">
        <v>0</v>
      </c>
      <c r="C14" s="18">
        <v>23</v>
      </c>
      <c r="D14" s="2">
        <f t="shared" si="0"/>
        <v>-23</v>
      </c>
      <c r="E14" s="2"/>
      <c r="F14" s="2"/>
      <c r="G14" s="2"/>
      <c r="H14" s="2"/>
      <c r="I14" s="2"/>
      <c r="J14" s="2"/>
      <c r="K14" s="19" t="s">
        <v>347</v>
      </c>
    </row>
    <row r="15" spans="1:12" ht="15" customHeight="1" x14ac:dyDescent="0.25">
      <c r="A15" s="17">
        <v>43416</v>
      </c>
      <c r="B15" s="18">
        <v>0</v>
      </c>
      <c r="C15" s="18">
        <v>0</v>
      </c>
      <c r="D15" s="2">
        <f t="shared" si="0"/>
        <v>0</v>
      </c>
      <c r="E15" s="2">
        <v>33</v>
      </c>
      <c r="F15" s="2"/>
      <c r="G15" s="2"/>
      <c r="H15" s="2"/>
      <c r="I15" s="2"/>
      <c r="J15" s="2"/>
      <c r="K15" s="19" t="s">
        <v>107</v>
      </c>
      <c r="L15" s="27" t="s">
        <v>341</v>
      </c>
    </row>
    <row r="16" spans="1:12" ht="39" customHeight="1" x14ac:dyDescent="0.25">
      <c r="A16" s="17">
        <v>43416</v>
      </c>
      <c r="B16" s="18">
        <v>0</v>
      </c>
      <c r="C16" s="18">
        <v>11</v>
      </c>
      <c r="D16" s="2">
        <f t="shared" si="0"/>
        <v>-11</v>
      </c>
      <c r="E16" s="2"/>
      <c r="F16" s="2"/>
      <c r="G16" s="2"/>
      <c r="H16" s="2"/>
      <c r="I16" s="2"/>
      <c r="J16" s="2"/>
      <c r="K16" s="19" t="s">
        <v>348</v>
      </c>
      <c r="L16" s="27" t="s">
        <v>291</v>
      </c>
    </row>
    <row r="17" spans="1:12" ht="24.75" customHeight="1" x14ac:dyDescent="0.25">
      <c r="A17" s="17">
        <v>43416</v>
      </c>
      <c r="B17" s="18">
        <v>5</v>
      </c>
      <c r="C17" s="18">
        <v>0</v>
      </c>
      <c r="D17" s="2">
        <f t="shared" si="0"/>
        <v>5</v>
      </c>
      <c r="E17" s="2"/>
      <c r="F17" s="2"/>
      <c r="G17" s="2"/>
      <c r="H17" s="2"/>
      <c r="I17" s="2"/>
      <c r="J17" s="2"/>
      <c r="K17" s="19" t="s">
        <v>349</v>
      </c>
    </row>
    <row r="18" spans="1:12" ht="66.75" customHeight="1" x14ac:dyDescent="0.25">
      <c r="A18" s="17">
        <v>43416</v>
      </c>
      <c r="B18" s="18">
        <v>33</v>
      </c>
      <c r="C18" s="18">
        <v>0</v>
      </c>
      <c r="D18" s="2">
        <f t="shared" si="0"/>
        <v>33</v>
      </c>
      <c r="E18" s="2"/>
      <c r="F18" s="2"/>
      <c r="G18" s="2"/>
      <c r="H18" s="2"/>
      <c r="I18" s="2"/>
      <c r="J18" s="2"/>
      <c r="K18" s="19" t="s">
        <v>350</v>
      </c>
    </row>
    <row r="19" spans="1:12" ht="36" customHeight="1" x14ac:dyDescent="0.25">
      <c r="A19" s="17">
        <v>43416</v>
      </c>
      <c r="B19" s="18">
        <v>0</v>
      </c>
      <c r="C19" s="18">
        <v>0</v>
      </c>
      <c r="D19" s="2">
        <f t="shared" si="0"/>
        <v>0</v>
      </c>
      <c r="E19" s="2">
        <v>6</v>
      </c>
      <c r="F19" s="2"/>
      <c r="G19" s="2"/>
      <c r="H19" s="2"/>
      <c r="I19" s="2"/>
      <c r="J19" s="2"/>
      <c r="K19" s="19" t="s">
        <v>351</v>
      </c>
    </row>
    <row r="20" spans="1:12" ht="15" customHeight="1" x14ac:dyDescent="0.25">
      <c r="A20" s="17">
        <v>43417</v>
      </c>
      <c r="B20" s="18">
        <v>7</v>
      </c>
      <c r="C20" s="18">
        <v>0</v>
      </c>
      <c r="D20" s="2">
        <f t="shared" si="0"/>
        <v>7</v>
      </c>
      <c r="E20" s="2"/>
      <c r="F20" s="2"/>
      <c r="G20" s="2"/>
      <c r="H20" s="2"/>
      <c r="I20" s="2"/>
      <c r="J20" s="2"/>
      <c r="K20" s="19" t="s">
        <v>352</v>
      </c>
      <c r="L20" s="27" t="s">
        <v>291</v>
      </c>
    </row>
    <row r="21" spans="1:12" ht="39" customHeight="1" x14ac:dyDescent="0.25">
      <c r="A21" s="21">
        <v>43418</v>
      </c>
      <c r="B21" s="22">
        <v>0</v>
      </c>
      <c r="C21" s="22">
        <v>19</v>
      </c>
      <c r="D21" s="2">
        <f t="shared" si="0"/>
        <v>-19</v>
      </c>
      <c r="E21" s="23"/>
      <c r="F21" s="23"/>
      <c r="G21" s="23"/>
      <c r="H21" s="23"/>
      <c r="I21" s="23"/>
      <c r="J21" s="23"/>
      <c r="K21" s="25" t="s">
        <v>353</v>
      </c>
      <c r="L21" s="27" t="s">
        <v>291</v>
      </c>
    </row>
    <row r="22" spans="1:12" ht="15" customHeight="1" x14ac:dyDescent="0.25">
      <c r="A22" s="17">
        <v>43425</v>
      </c>
      <c r="B22" s="18">
        <v>0</v>
      </c>
      <c r="C22" s="18">
        <v>0</v>
      </c>
      <c r="D22" s="2">
        <f t="shared" si="0"/>
        <v>0</v>
      </c>
      <c r="E22" s="2">
        <v>29</v>
      </c>
      <c r="F22" s="2"/>
      <c r="G22" s="2"/>
      <c r="H22" s="2"/>
      <c r="I22" s="2"/>
      <c r="J22" s="2"/>
      <c r="K22" s="19" t="s">
        <v>107</v>
      </c>
      <c r="L22" s="27" t="s">
        <v>341</v>
      </c>
    </row>
    <row r="23" spans="1:12" ht="54" customHeight="1" x14ac:dyDescent="0.25">
      <c r="A23" s="17">
        <v>43425</v>
      </c>
      <c r="B23" s="18">
        <v>29</v>
      </c>
      <c r="C23" s="18">
        <v>0</v>
      </c>
      <c r="D23" s="2">
        <f t="shared" si="0"/>
        <v>29</v>
      </c>
      <c r="E23" s="2"/>
      <c r="F23" s="2"/>
      <c r="G23" s="2"/>
      <c r="H23" s="2"/>
      <c r="I23" s="2"/>
      <c r="J23" s="2"/>
      <c r="K23" s="49" t="s">
        <v>354</v>
      </c>
      <c r="L23" s="53" t="s">
        <v>345</v>
      </c>
    </row>
    <row r="24" spans="1:12" ht="38.25" customHeight="1" x14ac:dyDescent="0.25">
      <c r="A24" s="17">
        <v>43427</v>
      </c>
      <c r="B24" s="18">
        <v>0</v>
      </c>
      <c r="C24" s="18">
        <v>13</v>
      </c>
      <c r="D24" s="2">
        <f t="shared" si="0"/>
        <v>-13</v>
      </c>
      <c r="E24" s="2"/>
      <c r="F24" s="2"/>
      <c r="G24" s="2"/>
      <c r="H24" s="2"/>
      <c r="I24" s="2"/>
      <c r="J24" s="2"/>
      <c r="K24" s="19" t="s">
        <v>355</v>
      </c>
    </row>
    <row r="25" spans="1:12" ht="25.5" customHeight="1" x14ac:dyDescent="0.25">
      <c r="A25" s="17">
        <v>43427</v>
      </c>
      <c r="B25" s="18">
        <v>0</v>
      </c>
      <c r="C25" s="18">
        <v>2</v>
      </c>
      <c r="D25" s="2">
        <f t="shared" si="0"/>
        <v>-2</v>
      </c>
      <c r="E25" s="2"/>
      <c r="F25" s="2"/>
      <c r="G25" s="2"/>
      <c r="H25" s="2"/>
      <c r="I25" s="2"/>
      <c r="J25" s="2"/>
      <c r="K25" s="19" t="s">
        <v>356</v>
      </c>
      <c r="L25" s="27" t="s">
        <v>298</v>
      </c>
    </row>
    <row r="26" spans="1:12" ht="15" customHeight="1" x14ac:dyDescent="0.25">
      <c r="A26" s="17">
        <v>43427</v>
      </c>
      <c r="B26" s="18">
        <v>0</v>
      </c>
      <c r="C26" s="18">
        <v>4</v>
      </c>
      <c r="D26" s="2">
        <f t="shared" si="0"/>
        <v>-4</v>
      </c>
      <c r="E26" s="2"/>
      <c r="F26" s="2"/>
      <c r="G26" s="2"/>
      <c r="H26" s="2"/>
      <c r="I26" s="2"/>
      <c r="J26" s="2"/>
      <c r="K26" s="20" t="s">
        <v>357</v>
      </c>
      <c r="L26" s="27" t="s">
        <v>291</v>
      </c>
    </row>
    <row r="27" spans="1:12" ht="45" x14ac:dyDescent="0.25">
      <c r="A27" s="17">
        <v>43431</v>
      </c>
      <c r="B27" s="18">
        <v>0</v>
      </c>
      <c r="C27" s="18">
        <v>14</v>
      </c>
      <c r="D27" s="2">
        <f t="shared" si="0"/>
        <v>-14</v>
      </c>
      <c r="E27" s="2"/>
      <c r="F27" s="2"/>
      <c r="G27" s="2"/>
      <c r="H27" s="2"/>
      <c r="I27" s="2"/>
      <c r="J27" s="2"/>
      <c r="K27" s="19" t="s">
        <v>358</v>
      </c>
      <c r="L27" s="27" t="s">
        <v>291</v>
      </c>
    </row>
    <row r="28" spans="1:12" ht="72" customHeight="1" x14ac:dyDescent="0.25">
      <c r="A28" s="17">
        <v>43431</v>
      </c>
      <c r="B28" s="18">
        <v>32</v>
      </c>
      <c r="C28" s="18">
        <v>0</v>
      </c>
      <c r="D28" s="2">
        <f t="shared" si="0"/>
        <v>32</v>
      </c>
      <c r="E28" s="2"/>
      <c r="F28" s="2"/>
      <c r="G28" s="2"/>
      <c r="H28" s="2"/>
      <c r="I28" s="2"/>
      <c r="J28" s="2"/>
      <c r="K28" s="19" t="s">
        <v>359</v>
      </c>
    </row>
    <row r="29" spans="1:12" x14ac:dyDescent="0.25">
      <c r="A29" s="17">
        <v>43432</v>
      </c>
      <c r="B29" s="18">
        <v>0</v>
      </c>
      <c r="C29" s="18">
        <v>1</v>
      </c>
      <c r="D29" s="2">
        <f t="shared" si="0"/>
        <v>-1</v>
      </c>
      <c r="E29" s="2"/>
      <c r="F29" s="2"/>
      <c r="G29" s="2"/>
      <c r="H29" s="2"/>
      <c r="I29" s="2"/>
      <c r="J29" s="2"/>
      <c r="K29" s="19">
        <v>513488</v>
      </c>
      <c r="L29" s="27" t="s">
        <v>298</v>
      </c>
    </row>
    <row r="30" spans="1:12" ht="84.75" customHeight="1" x14ac:dyDescent="0.25">
      <c r="A30" s="17">
        <v>43432</v>
      </c>
      <c r="B30" s="18">
        <v>43</v>
      </c>
      <c r="C30" s="18">
        <v>0</v>
      </c>
      <c r="D30" s="2">
        <f t="shared" si="0"/>
        <v>43</v>
      </c>
      <c r="E30" s="2"/>
      <c r="F30" s="2"/>
      <c r="G30" s="2"/>
      <c r="H30" s="2"/>
      <c r="I30" s="2"/>
      <c r="J30" s="2"/>
      <c r="K30" s="19" t="s">
        <v>360</v>
      </c>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IofPSQr6jbKP0GKJ8sBfF/0MASvfv0rmEq0obb0pCP8FP7yZaShGZhd/uskWdKffjyZg3aJlPNONiBIKbucRdw==" saltValue="LqBKHPSlPI0WLgAlKW3eUg==" spinCount="100000" sheet="1" objects="1" scenarios="1" selectLockedCells="1" selectUnlockedCells="1"/>
  <customSheetViews>
    <customSheetView guid="{E5A7B818-645B-417C-A128-9FE559D9B124}" fitToPage="1">
      <pane ySplit="6" topLeftCell="A22" activePane="bottomLeft" state="frozen"/>
      <selection pane="bottomLeft" activeCell="B18" sqref="B1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87" priority="1" operator="lessThan">
      <formula>0</formula>
    </cfRule>
    <cfRule type="cellIs" dxfId="18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7">
    <pageSetUpPr fitToPage="1"/>
  </sheetPr>
  <dimension ref="A1:L44"/>
  <sheetViews>
    <sheetView workbookViewId="0">
      <pane ySplit="6" topLeftCell="A7"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113</v>
      </c>
    </row>
    <row r="3" spans="1:12" ht="15.75" thickBot="1" x14ac:dyDescent="0.3">
      <c r="A3" s="5"/>
      <c r="B3" s="2"/>
      <c r="C3" s="2"/>
      <c r="D3" s="2"/>
      <c r="E3" s="2"/>
      <c r="F3" s="2">
        <f>'11.18'!F6</f>
        <v>502</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481</v>
      </c>
      <c r="G6" s="30">
        <f>SUM(B:B)</f>
        <v>41</v>
      </c>
      <c r="H6" s="30">
        <f>SUM(C:C)</f>
        <v>62</v>
      </c>
      <c r="I6" s="30"/>
      <c r="J6" s="33">
        <f>SUM(G6:H6)+SUM(E:E)</f>
        <v>552</v>
      </c>
      <c r="K6" s="34"/>
      <c r="L6" s="50">
        <f>J6/K1</f>
        <v>0.92929292929292928</v>
      </c>
    </row>
    <row r="7" spans="1:12" ht="34.5" customHeight="1" x14ac:dyDescent="0.25">
      <c r="A7" s="17">
        <v>43437</v>
      </c>
      <c r="B7" s="18">
        <v>0</v>
      </c>
      <c r="C7" s="18">
        <v>16</v>
      </c>
      <c r="D7" s="2">
        <f t="shared" ref="D7:D44" si="0">B7-C7</f>
        <v>-16</v>
      </c>
      <c r="E7" s="2"/>
      <c r="F7" s="2"/>
      <c r="G7" s="2"/>
      <c r="H7" s="2"/>
      <c r="I7" s="2"/>
      <c r="J7" s="2"/>
      <c r="K7" s="19" t="s">
        <v>361</v>
      </c>
    </row>
    <row r="8" spans="1:12" ht="21" customHeight="1" x14ac:dyDescent="0.25">
      <c r="A8" s="17">
        <v>43438</v>
      </c>
      <c r="B8" s="18">
        <v>0</v>
      </c>
      <c r="C8" s="18">
        <v>1</v>
      </c>
      <c r="D8" s="2">
        <f t="shared" si="0"/>
        <v>-1</v>
      </c>
      <c r="E8" s="2"/>
      <c r="F8" s="2"/>
      <c r="G8" s="2"/>
      <c r="H8" s="2"/>
      <c r="I8" s="2"/>
      <c r="J8" s="2"/>
      <c r="K8" s="19">
        <v>516636</v>
      </c>
      <c r="L8" s="27" t="s">
        <v>298</v>
      </c>
    </row>
    <row r="9" spans="1:12" ht="39.75" customHeight="1" x14ac:dyDescent="0.25">
      <c r="A9" s="17">
        <v>43438</v>
      </c>
      <c r="B9" s="18">
        <v>12</v>
      </c>
      <c r="C9" s="18">
        <v>0</v>
      </c>
      <c r="D9" s="2">
        <f t="shared" si="0"/>
        <v>12</v>
      </c>
      <c r="E9" s="2"/>
      <c r="F9" s="2"/>
      <c r="G9" s="2"/>
      <c r="H9" s="2"/>
      <c r="I9" s="2"/>
      <c r="J9" s="2"/>
      <c r="K9" s="19" t="s">
        <v>362</v>
      </c>
    </row>
    <row r="10" spans="1:12" ht="38.25" customHeight="1" x14ac:dyDescent="0.3">
      <c r="A10" s="17">
        <v>43441</v>
      </c>
      <c r="B10" s="18">
        <v>0</v>
      </c>
      <c r="C10" s="18">
        <v>17</v>
      </c>
      <c r="D10" s="2">
        <f t="shared" si="0"/>
        <v>-17</v>
      </c>
      <c r="E10" s="2"/>
      <c r="F10" s="2"/>
      <c r="G10" s="2"/>
      <c r="H10" s="2"/>
      <c r="I10" s="2"/>
      <c r="J10" s="2"/>
      <c r="K10" s="19" t="s">
        <v>363</v>
      </c>
      <c r="L10" s="38"/>
    </row>
    <row r="11" spans="1:12" ht="40.5" customHeight="1" x14ac:dyDescent="0.3">
      <c r="A11" s="17">
        <v>43441</v>
      </c>
      <c r="B11" s="18">
        <v>12</v>
      </c>
      <c r="C11" s="18">
        <v>0</v>
      </c>
      <c r="D11" s="2">
        <f t="shared" si="0"/>
        <v>12</v>
      </c>
      <c r="E11" s="2"/>
      <c r="F11" s="2"/>
      <c r="G11" s="2"/>
      <c r="H11" s="2"/>
      <c r="I11" s="2"/>
      <c r="J11" s="2"/>
      <c r="K11" s="19" t="s">
        <v>364</v>
      </c>
      <c r="L11" s="38"/>
    </row>
    <row r="12" spans="1:12" ht="15" customHeight="1" x14ac:dyDescent="0.25">
      <c r="A12" s="17">
        <v>43441</v>
      </c>
      <c r="B12" s="18">
        <v>0</v>
      </c>
      <c r="C12" s="18">
        <v>0</v>
      </c>
      <c r="D12" s="2">
        <f t="shared" si="0"/>
        <v>0</v>
      </c>
      <c r="E12" s="2">
        <v>449</v>
      </c>
      <c r="F12" s="2"/>
      <c r="G12" s="2"/>
      <c r="H12" s="2"/>
      <c r="I12" s="2"/>
      <c r="J12" s="2"/>
      <c r="K12" s="19" t="s">
        <v>365</v>
      </c>
    </row>
    <row r="13" spans="1:12" ht="15" customHeight="1" x14ac:dyDescent="0.25">
      <c r="A13" s="17">
        <v>43448</v>
      </c>
      <c r="B13" s="18">
        <v>0</v>
      </c>
      <c r="C13" s="18">
        <v>5</v>
      </c>
      <c r="D13" s="2">
        <f t="shared" si="0"/>
        <v>-5</v>
      </c>
      <c r="E13" s="2"/>
      <c r="F13" s="2"/>
      <c r="G13" s="2"/>
      <c r="H13" s="2"/>
      <c r="I13" s="2"/>
      <c r="J13" s="2"/>
      <c r="K13" s="19" t="s">
        <v>366</v>
      </c>
      <c r="L13" s="27" t="s">
        <v>291</v>
      </c>
    </row>
    <row r="14" spans="1:12" ht="15" customHeight="1" x14ac:dyDescent="0.25">
      <c r="A14" s="17">
        <v>43448</v>
      </c>
      <c r="B14" s="18">
        <v>0</v>
      </c>
      <c r="C14" s="18">
        <v>6</v>
      </c>
      <c r="D14" s="2">
        <f t="shared" si="0"/>
        <v>-6</v>
      </c>
      <c r="E14" s="2"/>
      <c r="F14" s="2"/>
      <c r="G14" s="2"/>
      <c r="H14" s="2"/>
      <c r="I14" s="2"/>
      <c r="J14" s="2"/>
      <c r="K14" s="19" t="s">
        <v>367</v>
      </c>
    </row>
    <row r="15" spans="1:12" ht="15" customHeight="1" x14ac:dyDescent="0.25">
      <c r="A15" s="17">
        <v>43448</v>
      </c>
      <c r="B15" s="18">
        <v>3</v>
      </c>
      <c r="C15" s="18">
        <v>0</v>
      </c>
      <c r="D15" s="2">
        <f t="shared" si="0"/>
        <v>3</v>
      </c>
      <c r="E15" s="2"/>
      <c r="F15" s="2"/>
      <c r="G15" s="2"/>
      <c r="H15" s="2"/>
      <c r="I15" s="2"/>
      <c r="J15" s="2"/>
      <c r="K15" s="20" t="s">
        <v>368</v>
      </c>
    </row>
    <row r="16" spans="1:12" ht="15" customHeight="1" x14ac:dyDescent="0.25">
      <c r="A16" s="17">
        <v>43452</v>
      </c>
      <c r="B16" s="18">
        <v>0</v>
      </c>
      <c r="C16" s="18">
        <v>8</v>
      </c>
      <c r="D16" s="2">
        <f t="shared" si="0"/>
        <v>-8</v>
      </c>
      <c r="E16" s="2"/>
      <c r="F16" s="2"/>
      <c r="G16" s="2"/>
      <c r="H16" s="2"/>
      <c r="I16" s="2"/>
      <c r="J16" s="2"/>
      <c r="K16" s="19" t="s">
        <v>369</v>
      </c>
    </row>
    <row r="17" spans="1:11" ht="15" customHeight="1" x14ac:dyDescent="0.25">
      <c r="A17" s="17">
        <v>43455</v>
      </c>
      <c r="B17" s="18">
        <v>0</v>
      </c>
      <c r="C17" s="18">
        <v>9</v>
      </c>
      <c r="D17" s="2">
        <f t="shared" si="0"/>
        <v>-9</v>
      </c>
      <c r="E17" s="2"/>
      <c r="F17" s="2"/>
      <c r="G17" s="2"/>
      <c r="H17" s="2"/>
      <c r="I17" s="2"/>
      <c r="J17" s="2"/>
      <c r="K17" s="19" t="s">
        <v>370</v>
      </c>
    </row>
    <row r="18" spans="1:11" ht="37.5" customHeight="1" x14ac:dyDescent="0.25">
      <c r="A18" s="17">
        <v>43462</v>
      </c>
      <c r="B18" s="18">
        <v>14</v>
      </c>
      <c r="C18" s="18">
        <v>0</v>
      </c>
      <c r="D18" s="2">
        <f t="shared" si="0"/>
        <v>14</v>
      </c>
      <c r="E18" s="2"/>
      <c r="F18" s="2"/>
      <c r="G18" s="2"/>
      <c r="H18" s="2"/>
      <c r="I18" s="2"/>
      <c r="J18" s="2"/>
      <c r="K18" s="19" t="s">
        <v>371</v>
      </c>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5"/>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51wkRyto5ggippkmf9VsIzqU5Hlj/338Ysf0ASOyTkT6myE+PN59srajBGh3yrIIWr2DQVMfdILusttJqLdvwg==" saltValue="bcFTWP8THgO7PKqqRwAFRQ==" spinCount="100000" sheet="1" objects="1" scenarios="1" selectLockedCells="1" selectUnlockedCells="1"/>
  <customSheetViews>
    <customSheetView guid="{E5A7B818-645B-417C-A128-9FE559D9B124}" fitToPage="1">
      <pane ySplit="6" topLeftCell="A7"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85" priority="1" operator="lessThan">
      <formula>0</formula>
    </cfRule>
    <cfRule type="cellIs" dxfId="18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8">
    <pageSetUpPr fitToPage="1"/>
  </sheetPr>
  <dimension ref="A1:L44"/>
  <sheetViews>
    <sheetView workbookViewId="0">
      <pane ySplit="6" topLeftCell="A7" activePane="bottomLeft" state="frozen"/>
      <selection pane="bottomLeft" activeCell="L16" sqref="L1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130</v>
      </c>
    </row>
    <row r="3" spans="1:12" ht="15.75" thickBot="1" x14ac:dyDescent="0.3">
      <c r="A3" s="5"/>
      <c r="B3" s="2"/>
      <c r="C3" s="2"/>
      <c r="D3" s="2"/>
      <c r="E3" s="2"/>
      <c r="F3" s="2">
        <f>'12.18'!F6</f>
        <v>481</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464</v>
      </c>
      <c r="G6" s="30">
        <f>SUM(B:B)</f>
        <v>4</v>
      </c>
      <c r="H6" s="30">
        <f>SUM(C:C)</f>
        <v>21</v>
      </c>
      <c r="I6" s="30"/>
      <c r="J6" s="33">
        <f>SUM(G6:H6)+SUM(E:E)</f>
        <v>29</v>
      </c>
      <c r="K6" s="34"/>
      <c r="L6" s="50">
        <f>J6/K1</f>
        <v>4.8821548821548821E-2</v>
      </c>
    </row>
    <row r="7" spans="1:12" ht="15" customHeight="1" x14ac:dyDescent="0.25">
      <c r="A7" s="17">
        <v>43475</v>
      </c>
      <c r="B7" s="18">
        <v>1</v>
      </c>
      <c r="C7" s="18">
        <v>1</v>
      </c>
      <c r="D7" s="2">
        <f t="shared" ref="D7:D44" si="0">B7-C7</f>
        <v>0</v>
      </c>
      <c r="E7" s="2">
        <v>1</v>
      </c>
      <c r="F7" s="2"/>
      <c r="G7" s="2"/>
      <c r="H7" s="2"/>
      <c r="I7" s="2"/>
      <c r="J7" s="2"/>
      <c r="K7" s="19" t="s">
        <v>372</v>
      </c>
      <c r="L7" s="27" t="s">
        <v>373</v>
      </c>
    </row>
    <row r="8" spans="1:12" ht="15" customHeight="1" x14ac:dyDescent="0.25">
      <c r="A8" s="17">
        <v>43476</v>
      </c>
      <c r="B8" s="18">
        <v>3</v>
      </c>
      <c r="C8" s="18">
        <v>3</v>
      </c>
      <c r="D8" s="2">
        <f t="shared" si="0"/>
        <v>0</v>
      </c>
      <c r="E8" s="2">
        <v>3</v>
      </c>
      <c r="F8" s="2"/>
      <c r="G8" s="2"/>
      <c r="H8" s="2"/>
      <c r="I8" s="2"/>
      <c r="J8" s="2"/>
      <c r="K8" s="19" t="s">
        <v>374</v>
      </c>
      <c r="L8" s="27" t="s">
        <v>375</v>
      </c>
    </row>
    <row r="9" spans="1:12" ht="15" customHeight="1" x14ac:dyDescent="0.25">
      <c r="A9" s="17">
        <v>43483</v>
      </c>
      <c r="B9" s="18">
        <v>0</v>
      </c>
      <c r="C9" s="18">
        <v>10</v>
      </c>
      <c r="D9" s="2">
        <f t="shared" si="0"/>
        <v>-10</v>
      </c>
      <c r="E9" s="2"/>
      <c r="F9" s="2"/>
      <c r="G9" s="2"/>
      <c r="H9" s="2"/>
      <c r="I9" s="2"/>
      <c r="J9" s="2"/>
      <c r="K9" s="20" t="s">
        <v>376</v>
      </c>
      <c r="L9" s="27" t="s">
        <v>377</v>
      </c>
    </row>
    <row r="10" spans="1:12" ht="15" customHeight="1" x14ac:dyDescent="0.25">
      <c r="A10" s="17">
        <v>43494</v>
      </c>
      <c r="B10" s="18">
        <v>0</v>
      </c>
      <c r="C10" s="18">
        <v>5</v>
      </c>
      <c r="D10" s="2">
        <f t="shared" si="0"/>
        <v>-5</v>
      </c>
      <c r="E10" s="2"/>
      <c r="F10" s="2"/>
      <c r="G10" s="2"/>
      <c r="H10" s="2"/>
      <c r="I10" s="2"/>
      <c r="J10" s="2"/>
      <c r="K10" s="19" t="s">
        <v>378</v>
      </c>
      <c r="L10" s="27" t="s">
        <v>379</v>
      </c>
    </row>
    <row r="11" spans="1:12" ht="15" customHeight="1" x14ac:dyDescent="0.25">
      <c r="A11" s="17">
        <v>43496</v>
      </c>
      <c r="B11" s="18">
        <v>0</v>
      </c>
      <c r="C11" s="18">
        <v>2</v>
      </c>
      <c r="D11" s="2">
        <f t="shared" si="0"/>
        <v>-2</v>
      </c>
      <c r="E11" s="2"/>
      <c r="F11" s="2"/>
      <c r="G11" s="2"/>
      <c r="H11" s="2"/>
      <c r="I11" s="2"/>
      <c r="J11" s="2"/>
      <c r="K11" s="19" t="s">
        <v>380</v>
      </c>
      <c r="L11" s="27" t="s">
        <v>379</v>
      </c>
    </row>
    <row r="12" spans="1:12" ht="15" customHeight="1" x14ac:dyDescent="0.25">
      <c r="A12" s="17"/>
      <c r="B12" s="18"/>
      <c r="C12" s="18"/>
      <c r="D12" s="2"/>
      <c r="E12" s="2"/>
      <c r="F12" s="2"/>
      <c r="G12" s="2"/>
      <c r="H12" s="2"/>
      <c r="I12" s="2"/>
      <c r="J12" s="2"/>
      <c r="K12" s="19"/>
      <c r="L12" s="27" t="s">
        <v>379</v>
      </c>
    </row>
    <row r="13" spans="1:12" ht="15" customHeight="1" x14ac:dyDescent="0.25">
      <c r="A13" s="17"/>
      <c r="B13" s="18"/>
      <c r="C13" s="18"/>
      <c r="D13" s="2">
        <f t="shared" si="0"/>
        <v>0</v>
      </c>
      <c r="E13" s="2"/>
      <c r="F13" s="2"/>
      <c r="G13" s="2"/>
      <c r="H13" s="2"/>
      <c r="I13" s="2"/>
      <c r="J13" s="2"/>
      <c r="K13" s="19"/>
      <c r="L13" s="27" t="s">
        <v>379</v>
      </c>
    </row>
    <row r="14" spans="1:12" ht="15" customHeight="1" x14ac:dyDescent="0.25">
      <c r="A14" s="17"/>
      <c r="B14" s="18"/>
      <c r="C14" s="18"/>
      <c r="D14" s="2">
        <f t="shared" si="0"/>
        <v>0</v>
      </c>
      <c r="E14" s="2"/>
      <c r="F14" s="2"/>
      <c r="G14" s="2"/>
      <c r="H14" s="2"/>
      <c r="I14" s="2"/>
      <c r="J14" s="2"/>
      <c r="K14" s="19"/>
      <c r="L14" s="27" t="s">
        <v>379</v>
      </c>
    </row>
    <row r="15" spans="1:12" ht="15" customHeight="1" x14ac:dyDescent="0.25">
      <c r="A15" s="17"/>
      <c r="B15" s="18"/>
      <c r="C15" s="18"/>
      <c r="D15" s="2">
        <f t="shared" si="0"/>
        <v>0</v>
      </c>
      <c r="E15" s="2"/>
      <c r="F15" s="2"/>
      <c r="G15" s="2"/>
      <c r="H15" s="2"/>
      <c r="I15" s="2"/>
      <c r="J15" s="2"/>
      <c r="K15" s="20"/>
      <c r="L15" s="27" t="s">
        <v>379</v>
      </c>
    </row>
    <row r="16" spans="1:12" ht="15" customHeight="1" x14ac:dyDescent="0.25">
      <c r="A16" s="17"/>
      <c r="B16" s="18"/>
      <c r="C16" s="18"/>
      <c r="D16" s="2">
        <f t="shared" si="0"/>
        <v>0</v>
      </c>
      <c r="E16" s="2"/>
      <c r="F16" s="2"/>
      <c r="G16" s="2"/>
      <c r="H16" s="2"/>
      <c r="I16" s="2"/>
      <c r="J16" s="2"/>
      <c r="K16" s="19"/>
      <c r="L16" s="27" t="s">
        <v>379</v>
      </c>
    </row>
    <row r="17" spans="1:12" ht="15" customHeight="1" x14ac:dyDescent="0.25">
      <c r="A17" s="17"/>
      <c r="B17" s="18"/>
      <c r="C17" s="18"/>
      <c r="D17" s="2">
        <f t="shared" si="0"/>
        <v>0</v>
      </c>
      <c r="E17" s="2"/>
      <c r="F17" s="2"/>
      <c r="G17" s="2"/>
      <c r="H17" s="2"/>
      <c r="I17" s="2"/>
      <c r="J17" s="2"/>
      <c r="K17" s="19"/>
      <c r="L17" s="27" t="s">
        <v>379</v>
      </c>
    </row>
    <row r="18" spans="1:12" ht="15" customHeight="1" x14ac:dyDescent="0.25">
      <c r="A18" s="17"/>
      <c r="B18" s="18"/>
      <c r="C18" s="18"/>
      <c r="D18" s="2">
        <f t="shared" si="0"/>
        <v>0</v>
      </c>
      <c r="E18" s="2"/>
      <c r="F18" s="2"/>
      <c r="G18" s="2"/>
      <c r="H18" s="2"/>
      <c r="I18" s="2"/>
      <c r="J18" s="2"/>
      <c r="K18" s="19"/>
      <c r="L18" s="27" t="s">
        <v>379</v>
      </c>
    </row>
    <row r="19" spans="1:12" ht="15" customHeight="1" x14ac:dyDescent="0.25">
      <c r="A19" s="17"/>
      <c r="B19" s="18"/>
      <c r="C19" s="18"/>
      <c r="D19" s="2">
        <f t="shared" si="0"/>
        <v>0</v>
      </c>
      <c r="E19" s="2"/>
      <c r="F19" s="2"/>
      <c r="G19" s="2"/>
      <c r="H19" s="2"/>
      <c r="I19" s="2"/>
      <c r="J19" s="2"/>
      <c r="K19" s="19"/>
      <c r="L19" s="27" t="s">
        <v>379</v>
      </c>
    </row>
    <row r="20" spans="1:12" ht="15" customHeight="1" x14ac:dyDescent="0.25">
      <c r="A20" s="17"/>
      <c r="B20" s="18"/>
      <c r="C20" s="18"/>
      <c r="D20" s="2">
        <f t="shared" si="0"/>
        <v>0</v>
      </c>
      <c r="E20" s="2"/>
      <c r="F20" s="2"/>
      <c r="G20" s="2"/>
      <c r="H20" s="2"/>
      <c r="I20" s="2"/>
      <c r="J20" s="2"/>
      <c r="K20" s="19"/>
      <c r="L20" s="27" t="s">
        <v>379</v>
      </c>
    </row>
    <row r="21" spans="1:12" ht="15" customHeight="1" x14ac:dyDescent="0.25">
      <c r="A21" s="21"/>
      <c r="B21" s="22"/>
      <c r="C21" s="22"/>
      <c r="D21" s="2">
        <f t="shared" si="0"/>
        <v>0</v>
      </c>
      <c r="E21" s="23"/>
      <c r="F21" s="23"/>
      <c r="G21" s="23"/>
      <c r="H21" s="23"/>
      <c r="I21" s="23"/>
      <c r="J21" s="23"/>
      <c r="K21" s="25"/>
      <c r="L21" s="27" t="s">
        <v>379</v>
      </c>
    </row>
    <row r="22" spans="1:12" ht="15" customHeight="1" x14ac:dyDescent="0.25">
      <c r="A22" s="17"/>
      <c r="B22" s="18"/>
      <c r="C22" s="18"/>
      <c r="D22" s="2">
        <f t="shared" si="0"/>
        <v>0</v>
      </c>
      <c r="E22" s="2"/>
      <c r="F22" s="2"/>
      <c r="G22" s="2"/>
      <c r="H22" s="2"/>
      <c r="I22" s="2"/>
      <c r="J22" s="2"/>
      <c r="K22" s="19"/>
      <c r="L22" s="27" t="s">
        <v>379</v>
      </c>
    </row>
    <row r="23" spans="1:12" ht="15" customHeight="1" x14ac:dyDescent="0.25">
      <c r="A23" s="17"/>
      <c r="B23" s="18"/>
      <c r="C23" s="18"/>
      <c r="D23" s="2">
        <f t="shared" si="0"/>
        <v>0</v>
      </c>
      <c r="E23" s="2"/>
      <c r="F23" s="2"/>
      <c r="G23" s="2"/>
      <c r="H23" s="2"/>
      <c r="I23" s="2"/>
      <c r="J23" s="2"/>
      <c r="K23" s="45"/>
      <c r="L23" s="27" t="s">
        <v>379</v>
      </c>
    </row>
    <row r="24" spans="1:12" ht="15" customHeight="1" x14ac:dyDescent="0.25">
      <c r="A24" s="17"/>
      <c r="B24" s="18"/>
      <c r="C24" s="18"/>
      <c r="D24" s="2">
        <f t="shared" si="0"/>
        <v>0</v>
      </c>
      <c r="E24" s="2"/>
      <c r="F24" s="2"/>
      <c r="G24" s="2"/>
      <c r="H24" s="2"/>
      <c r="I24" s="2"/>
      <c r="J24" s="2"/>
      <c r="K24" s="19"/>
      <c r="L24" s="27" t="s">
        <v>379</v>
      </c>
    </row>
    <row r="25" spans="1:12" ht="15" customHeight="1" x14ac:dyDescent="0.25">
      <c r="A25" s="17"/>
      <c r="B25" s="18"/>
      <c r="C25" s="18"/>
      <c r="D25" s="2">
        <f t="shared" si="0"/>
        <v>0</v>
      </c>
      <c r="E25" s="2"/>
      <c r="F25" s="2"/>
      <c r="G25" s="2"/>
      <c r="H25" s="2"/>
      <c r="I25" s="2"/>
      <c r="J25" s="2"/>
      <c r="K25" s="19"/>
      <c r="L25" s="27" t="s">
        <v>379</v>
      </c>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mIZDVqTvc4cEVc5p75fxnOwW/GpSX8zrkLqUUjmUZn8yzkIG0OhCvX365fY9IhgZOF2WwmVAPFF2usYxoh3btw==" saltValue="x7mKPBkOO/RRyZLsOQfiKA==" spinCount="100000" sheet="1" objects="1" scenarios="1" selectLockedCells="1" selectUnlockedCells="1"/>
  <customSheetViews>
    <customSheetView guid="{E5A7B818-645B-417C-A128-9FE559D9B124}" fitToPage="1">
      <pane ySplit="6" topLeftCell="A7" activePane="bottomLeft" state="frozen"/>
      <selection pane="bottomLeft" activeCell="L16" sqref="L1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83" priority="1" operator="lessThan">
      <formula>0</formula>
    </cfRule>
    <cfRule type="cellIs" dxfId="18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30">
    <pageSetUpPr fitToPage="1"/>
  </sheetPr>
  <dimension ref="A1:L44"/>
  <sheetViews>
    <sheetView workbookViewId="0">
      <pane ySplit="6" topLeftCell="A7"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103</v>
      </c>
    </row>
    <row r="3" spans="1:12" ht="15.75" thickBot="1" x14ac:dyDescent="0.3">
      <c r="A3" s="5"/>
      <c r="B3" s="2"/>
      <c r="C3" s="2"/>
      <c r="D3" s="2"/>
      <c r="E3" s="2"/>
      <c r="F3" s="2">
        <f>'01.19'!F6</f>
        <v>464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491</v>
      </c>
      <c r="G6" s="30">
        <f>SUM(B:B)</f>
        <v>63</v>
      </c>
      <c r="H6" s="30">
        <f>SUM(C:C)</f>
        <v>36</v>
      </c>
      <c r="I6" s="30"/>
      <c r="J6" s="33">
        <f>SUM(G6:H6)+SUM(E:E)</f>
        <v>99</v>
      </c>
      <c r="K6" s="34"/>
      <c r="L6" s="50">
        <f>J6/K1</f>
        <v>0.16666666666666666</v>
      </c>
    </row>
    <row r="7" spans="1:12" ht="15" customHeight="1" x14ac:dyDescent="0.25">
      <c r="A7" s="17">
        <v>43496</v>
      </c>
      <c r="B7" s="18">
        <v>8</v>
      </c>
      <c r="C7" s="18">
        <v>0</v>
      </c>
      <c r="D7" s="2">
        <f t="shared" ref="D7:D44" si="0">B7-C7</f>
        <v>8</v>
      </c>
      <c r="E7" s="2"/>
      <c r="F7" s="2"/>
      <c r="G7" s="2"/>
      <c r="H7" s="2"/>
      <c r="I7" s="2"/>
      <c r="J7" s="2"/>
      <c r="K7" s="19" t="s">
        <v>381</v>
      </c>
    </row>
    <row r="8" spans="1:12" ht="15" customHeight="1" x14ac:dyDescent="0.25">
      <c r="A8" s="17">
        <v>43501</v>
      </c>
      <c r="B8" s="18">
        <v>0</v>
      </c>
      <c r="C8" s="18">
        <v>6</v>
      </c>
      <c r="D8" s="2">
        <f t="shared" si="0"/>
        <v>-6</v>
      </c>
      <c r="E8" s="2"/>
      <c r="F8" s="2"/>
      <c r="G8" s="2"/>
      <c r="H8" s="2"/>
      <c r="I8" s="2"/>
      <c r="J8" s="2"/>
      <c r="K8" s="19" t="s">
        <v>382</v>
      </c>
    </row>
    <row r="9" spans="1:12" ht="15" customHeight="1" x14ac:dyDescent="0.25">
      <c r="A9" s="17">
        <v>43504</v>
      </c>
      <c r="B9" s="18">
        <v>0</v>
      </c>
      <c r="C9" s="18">
        <v>10</v>
      </c>
      <c r="D9" s="2">
        <f t="shared" si="0"/>
        <v>-10</v>
      </c>
      <c r="E9" s="2"/>
      <c r="F9" s="2"/>
      <c r="G9" s="2"/>
      <c r="H9" s="2"/>
      <c r="I9" s="2"/>
      <c r="J9" s="2"/>
      <c r="K9" s="20" t="s">
        <v>383</v>
      </c>
    </row>
    <row r="10" spans="1:12" ht="39.75" customHeight="1" x14ac:dyDescent="0.3">
      <c r="A10" s="17">
        <v>43504</v>
      </c>
      <c r="B10" s="18">
        <v>16</v>
      </c>
      <c r="C10" s="18">
        <v>0</v>
      </c>
      <c r="D10" s="2">
        <f t="shared" si="0"/>
        <v>16</v>
      </c>
      <c r="E10" s="2"/>
      <c r="F10" s="2"/>
      <c r="G10" s="2"/>
      <c r="H10" s="2"/>
      <c r="I10" s="2"/>
      <c r="J10" s="2"/>
      <c r="K10" s="19" t="s">
        <v>384</v>
      </c>
      <c r="L10" s="38"/>
    </row>
    <row r="11" spans="1:12" ht="15" customHeight="1" x14ac:dyDescent="0.3">
      <c r="A11" s="17">
        <v>43511</v>
      </c>
      <c r="B11" s="18">
        <v>0</v>
      </c>
      <c r="C11" s="18">
        <v>2</v>
      </c>
      <c r="D11" s="2">
        <f t="shared" si="0"/>
        <v>-2</v>
      </c>
      <c r="E11" s="2"/>
      <c r="F11" s="2"/>
      <c r="G11" s="2"/>
      <c r="H11" s="2"/>
      <c r="I11" s="2"/>
      <c r="J11" s="2"/>
      <c r="K11" s="19" t="s">
        <v>385</v>
      </c>
      <c r="L11" s="38"/>
    </row>
    <row r="12" spans="1:12" ht="15" customHeight="1" x14ac:dyDescent="0.25">
      <c r="A12" s="17">
        <v>43511</v>
      </c>
      <c r="B12" s="18">
        <v>10</v>
      </c>
      <c r="C12" s="18">
        <v>0</v>
      </c>
      <c r="D12" s="2">
        <f t="shared" si="0"/>
        <v>10</v>
      </c>
      <c r="E12" s="2"/>
      <c r="F12" s="2"/>
      <c r="G12" s="2"/>
      <c r="H12" s="2"/>
      <c r="I12" s="2"/>
      <c r="J12" s="2"/>
      <c r="K12" s="19" t="s">
        <v>386</v>
      </c>
    </row>
    <row r="13" spans="1:12" ht="15" customHeight="1" x14ac:dyDescent="0.25">
      <c r="A13" s="17">
        <v>43511</v>
      </c>
      <c r="B13" s="18">
        <v>5</v>
      </c>
      <c r="C13" s="18">
        <v>0</v>
      </c>
      <c r="D13" s="2">
        <f t="shared" si="0"/>
        <v>5</v>
      </c>
      <c r="E13" s="2"/>
      <c r="F13" s="2"/>
      <c r="G13" s="2"/>
      <c r="H13" s="2"/>
      <c r="I13" s="2"/>
      <c r="J13" s="2"/>
      <c r="K13" s="19" t="s">
        <v>387</v>
      </c>
    </row>
    <row r="14" spans="1:12" ht="36" customHeight="1" x14ac:dyDescent="0.25">
      <c r="A14" s="17">
        <v>43516</v>
      </c>
      <c r="B14" s="18">
        <v>14</v>
      </c>
      <c r="C14" s="18">
        <v>0</v>
      </c>
      <c r="D14" s="2">
        <f t="shared" si="0"/>
        <v>14</v>
      </c>
      <c r="E14" s="2"/>
      <c r="F14" s="2"/>
      <c r="G14" s="2"/>
      <c r="H14" s="2"/>
      <c r="I14" s="2"/>
      <c r="J14" s="2"/>
      <c r="K14" s="19" t="s">
        <v>388</v>
      </c>
    </row>
    <row r="15" spans="1:12" ht="37.5" customHeight="1" x14ac:dyDescent="0.25">
      <c r="A15" s="17">
        <v>43522</v>
      </c>
      <c r="B15" s="18">
        <v>0</v>
      </c>
      <c r="C15" s="18">
        <v>18</v>
      </c>
      <c r="D15" s="2">
        <f t="shared" si="0"/>
        <v>-18</v>
      </c>
      <c r="E15" s="2"/>
      <c r="F15" s="2"/>
      <c r="G15" s="2"/>
      <c r="H15" s="2"/>
      <c r="I15" s="2"/>
      <c r="J15" s="2"/>
      <c r="K15" s="19" t="s">
        <v>389</v>
      </c>
    </row>
    <row r="16" spans="1:12" ht="22.5" customHeight="1" x14ac:dyDescent="0.25">
      <c r="A16" s="17">
        <v>43522</v>
      </c>
      <c r="B16" s="18">
        <v>10</v>
      </c>
      <c r="C16" s="18">
        <v>0</v>
      </c>
      <c r="D16" s="2">
        <f t="shared" si="0"/>
        <v>10</v>
      </c>
      <c r="E16" s="2"/>
      <c r="F16" s="2"/>
      <c r="G16" s="2"/>
      <c r="H16" s="2"/>
      <c r="I16" s="2"/>
      <c r="J16" s="2"/>
      <c r="K16" s="19" t="s">
        <v>390</v>
      </c>
    </row>
    <row r="17" spans="1:11" ht="15" customHeight="1" x14ac:dyDescent="0.25">
      <c r="A17" s="17"/>
      <c r="B17" s="18"/>
      <c r="C17" s="18"/>
      <c r="D17" s="2">
        <f t="shared" si="0"/>
        <v>0</v>
      </c>
      <c r="E17" s="2"/>
      <c r="F17" s="2"/>
      <c r="G17" s="2"/>
      <c r="H17" s="2"/>
      <c r="I17" s="2"/>
      <c r="J17" s="2"/>
      <c r="K17" s="19"/>
    </row>
    <row r="18" spans="1:11" ht="15" customHeight="1" x14ac:dyDescent="0.25">
      <c r="A18" s="17"/>
      <c r="B18" s="18"/>
      <c r="C18" s="18"/>
      <c r="D18" s="2">
        <f t="shared" si="0"/>
        <v>0</v>
      </c>
      <c r="E18" s="2"/>
      <c r="F18" s="2"/>
      <c r="G18" s="2"/>
      <c r="H18" s="2"/>
      <c r="I18" s="2"/>
      <c r="J18" s="2"/>
      <c r="K18" s="19"/>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5"/>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yeXKvVZYcAerq5MK2LBl9hYO8RsDFKuLZogtW4mWrleBvXhTxnmUWj4wlcL/PZb9h4Lc87c9ovr+Wn44wBmesQ==" saltValue="Y6mc1lcpQhUlovK7LL6c9A==" spinCount="100000" sheet="1" objects="1" scenarios="1" selectLockedCells="1" selectUnlockedCells="1"/>
  <customSheetViews>
    <customSheetView guid="{E5A7B818-645B-417C-A128-9FE559D9B124}" fitToPage="1">
      <pane ySplit="6" topLeftCell="A7"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81" priority="1" operator="lessThan">
      <formula>0</formula>
    </cfRule>
    <cfRule type="cellIs" dxfId="18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31">
    <pageSetUpPr fitToPage="1"/>
  </sheetPr>
  <dimension ref="A1:L44"/>
  <sheetViews>
    <sheetView workbookViewId="0">
      <pane ySplit="6" topLeftCell="A19"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141</v>
      </c>
    </row>
    <row r="3" spans="1:12" ht="15.75" thickBot="1" x14ac:dyDescent="0.3">
      <c r="A3" s="5"/>
      <c r="B3" s="2"/>
      <c r="C3" s="2"/>
      <c r="D3" s="2"/>
      <c r="E3" s="2"/>
      <c r="F3" s="2">
        <f>'02.19'!F6</f>
        <v>491</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453</v>
      </c>
      <c r="G6" s="30">
        <f>SUM(B:B)</f>
        <v>67</v>
      </c>
      <c r="H6" s="30">
        <f>SUM(C:C)</f>
        <v>105</v>
      </c>
      <c r="I6" s="30"/>
      <c r="J6" s="33">
        <f>SUM(G6:H6)+SUM(E:E)</f>
        <v>172</v>
      </c>
      <c r="K6" s="34"/>
      <c r="L6" s="50">
        <f>J6/K1</f>
        <v>0.28956228956228958</v>
      </c>
    </row>
    <row r="7" spans="1:12" ht="29.25" customHeight="1" x14ac:dyDescent="0.25">
      <c r="A7" s="17">
        <v>43525</v>
      </c>
      <c r="B7" s="18">
        <v>0</v>
      </c>
      <c r="C7" s="18">
        <v>15</v>
      </c>
      <c r="D7" s="2">
        <f t="shared" ref="D7:D44" si="0">B7-C7</f>
        <v>-15</v>
      </c>
      <c r="E7" s="2"/>
      <c r="F7" s="2"/>
      <c r="G7" s="2"/>
      <c r="H7" s="2"/>
      <c r="I7" s="2"/>
      <c r="J7" s="2"/>
      <c r="K7" s="19" t="s">
        <v>391</v>
      </c>
    </row>
    <row r="8" spans="1:12" ht="22.5" customHeight="1" x14ac:dyDescent="0.25">
      <c r="A8" s="17">
        <v>43525</v>
      </c>
      <c r="B8" s="18">
        <v>0</v>
      </c>
      <c r="C8" s="18">
        <v>4</v>
      </c>
      <c r="D8" s="2">
        <f t="shared" si="0"/>
        <v>-4</v>
      </c>
      <c r="E8" s="2"/>
      <c r="F8" s="2"/>
      <c r="G8" s="2"/>
      <c r="H8" s="2"/>
      <c r="I8" s="2"/>
      <c r="J8" s="2"/>
      <c r="K8" s="19" t="s">
        <v>392</v>
      </c>
      <c r="L8" s="27" t="s">
        <v>291</v>
      </c>
    </row>
    <row r="9" spans="1:12" ht="15" customHeight="1" x14ac:dyDescent="0.25">
      <c r="A9" s="17">
        <v>43525</v>
      </c>
      <c r="B9" s="18">
        <v>8</v>
      </c>
      <c r="C9" s="18">
        <v>0</v>
      </c>
      <c r="D9" s="2">
        <f t="shared" si="0"/>
        <v>8</v>
      </c>
      <c r="E9" s="2"/>
      <c r="F9" s="2"/>
      <c r="G9" s="2"/>
      <c r="H9" s="2"/>
      <c r="I9" s="2"/>
      <c r="J9" s="2"/>
      <c r="K9" s="20" t="s">
        <v>393</v>
      </c>
    </row>
    <row r="10" spans="1:12" ht="53.25" customHeight="1" x14ac:dyDescent="0.3">
      <c r="A10" s="17">
        <v>43531</v>
      </c>
      <c r="B10" s="18">
        <v>25</v>
      </c>
      <c r="C10" s="18">
        <v>0</v>
      </c>
      <c r="D10" s="2">
        <f t="shared" si="0"/>
        <v>25</v>
      </c>
      <c r="E10" s="2"/>
      <c r="F10" s="2"/>
      <c r="G10" s="2"/>
      <c r="H10" s="2"/>
      <c r="I10" s="2"/>
      <c r="J10" s="2"/>
      <c r="K10" s="19" t="s">
        <v>394</v>
      </c>
      <c r="L10" s="38"/>
    </row>
    <row r="11" spans="1:12" ht="15" customHeight="1" x14ac:dyDescent="0.3">
      <c r="A11" s="17">
        <v>43535</v>
      </c>
      <c r="B11" s="18">
        <v>9</v>
      </c>
      <c r="C11" s="18">
        <v>0</v>
      </c>
      <c r="D11" s="2">
        <f t="shared" si="0"/>
        <v>9</v>
      </c>
      <c r="E11" s="2"/>
      <c r="F11" s="2"/>
      <c r="G11" s="2"/>
      <c r="H11" s="2"/>
      <c r="I11" s="2"/>
      <c r="J11" s="2"/>
      <c r="K11" s="19" t="s">
        <v>395</v>
      </c>
      <c r="L11" s="38"/>
    </row>
    <row r="12" spans="1:12" ht="15" customHeight="1" x14ac:dyDescent="0.25">
      <c r="A12" s="17">
        <v>43536</v>
      </c>
      <c r="B12" s="18">
        <v>0</v>
      </c>
      <c r="C12" s="18">
        <v>4</v>
      </c>
      <c r="D12" s="2">
        <f t="shared" si="0"/>
        <v>-4</v>
      </c>
      <c r="E12" s="2"/>
      <c r="F12" s="2"/>
      <c r="G12" s="2"/>
      <c r="H12" s="2"/>
      <c r="I12" s="2"/>
      <c r="J12" s="2"/>
      <c r="K12" s="19" t="s">
        <v>396</v>
      </c>
    </row>
    <row r="13" spans="1:12" ht="39" customHeight="1" x14ac:dyDescent="0.25">
      <c r="A13" s="17">
        <v>43536</v>
      </c>
      <c r="B13" s="18">
        <v>19</v>
      </c>
      <c r="C13" s="18">
        <v>0</v>
      </c>
      <c r="D13" s="2">
        <f t="shared" si="0"/>
        <v>19</v>
      </c>
      <c r="E13" s="2"/>
      <c r="F13" s="2"/>
      <c r="G13" s="2"/>
      <c r="H13" s="2"/>
      <c r="I13" s="2"/>
      <c r="J13" s="2"/>
      <c r="K13" s="19" t="s">
        <v>397</v>
      </c>
    </row>
    <row r="14" spans="1:12" ht="15" customHeight="1" x14ac:dyDescent="0.25">
      <c r="A14" s="17">
        <v>43538</v>
      </c>
      <c r="B14" s="18">
        <v>0</v>
      </c>
      <c r="C14" s="18">
        <v>3</v>
      </c>
      <c r="D14" s="2">
        <f t="shared" si="0"/>
        <v>-3</v>
      </c>
      <c r="E14" s="2"/>
      <c r="F14" s="2"/>
      <c r="G14" s="2"/>
      <c r="H14" s="2"/>
      <c r="I14" s="2"/>
      <c r="J14" s="2"/>
      <c r="K14" s="19" t="s">
        <v>398</v>
      </c>
      <c r="L14" s="27" t="s">
        <v>298</v>
      </c>
    </row>
    <row r="15" spans="1:12" ht="57.75" customHeight="1" x14ac:dyDescent="0.25">
      <c r="A15" s="17">
        <v>43539</v>
      </c>
      <c r="B15" s="18">
        <v>0</v>
      </c>
      <c r="C15" s="18">
        <v>25</v>
      </c>
      <c r="D15" s="2">
        <f t="shared" si="0"/>
        <v>-25</v>
      </c>
      <c r="E15" s="2"/>
      <c r="F15" s="2"/>
      <c r="G15" s="2"/>
      <c r="H15" s="2"/>
      <c r="I15" s="2"/>
      <c r="J15" s="2"/>
      <c r="K15" s="19" t="s">
        <v>399</v>
      </c>
    </row>
    <row r="16" spans="1:12" ht="15" customHeight="1" x14ac:dyDescent="0.25">
      <c r="A16" s="17">
        <v>43543</v>
      </c>
      <c r="B16" s="18">
        <v>5</v>
      </c>
      <c r="C16" s="18">
        <v>5</v>
      </c>
      <c r="D16" s="2">
        <f t="shared" si="0"/>
        <v>0</v>
      </c>
      <c r="E16" s="2"/>
      <c r="F16" s="2"/>
      <c r="G16" s="2"/>
      <c r="H16" s="2"/>
      <c r="I16" s="2"/>
      <c r="J16" s="2"/>
      <c r="K16" s="19" t="s">
        <v>400</v>
      </c>
      <c r="L16" s="27" t="s">
        <v>401</v>
      </c>
    </row>
    <row r="17" spans="1:12" ht="15" customHeight="1" x14ac:dyDescent="0.25">
      <c r="A17" s="17">
        <v>43543</v>
      </c>
      <c r="B17" s="18">
        <v>0</v>
      </c>
      <c r="C17" s="18">
        <v>1</v>
      </c>
      <c r="D17" s="2">
        <f t="shared" si="0"/>
        <v>-1</v>
      </c>
      <c r="E17" s="2"/>
      <c r="F17" s="2"/>
      <c r="G17" s="2"/>
      <c r="H17" s="2"/>
      <c r="I17" s="2"/>
      <c r="J17" s="2"/>
      <c r="K17" s="19">
        <v>508996</v>
      </c>
      <c r="L17" s="27" t="s">
        <v>402</v>
      </c>
    </row>
    <row r="18" spans="1:12" ht="15" customHeight="1" x14ac:dyDescent="0.25">
      <c r="A18" s="17">
        <v>43543</v>
      </c>
      <c r="B18" s="18">
        <v>1</v>
      </c>
      <c r="C18" s="18">
        <v>0</v>
      </c>
      <c r="D18" s="2">
        <f t="shared" si="0"/>
        <v>1</v>
      </c>
      <c r="E18" s="2"/>
      <c r="F18" s="2"/>
      <c r="G18" s="2"/>
      <c r="H18" s="2"/>
      <c r="I18" s="2"/>
      <c r="J18" s="2"/>
      <c r="K18" s="19">
        <v>523541</v>
      </c>
    </row>
    <row r="19" spans="1:12" ht="15" customHeight="1" x14ac:dyDescent="0.25">
      <c r="A19" s="17">
        <v>43545</v>
      </c>
      <c r="B19" s="18">
        <v>0</v>
      </c>
      <c r="C19" s="18">
        <v>3</v>
      </c>
      <c r="D19" s="2">
        <f t="shared" si="0"/>
        <v>-3</v>
      </c>
      <c r="E19" s="2"/>
      <c r="F19" s="2"/>
      <c r="G19" s="2"/>
      <c r="H19" s="2"/>
      <c r="I19" s="2"/>
      <c r="J19" s="2"/>
      <c r="K19" s="19" t="s">
        <v>403</v>
      </c>
    </row>
    <row r="20" spans="1:12" ht="36.75" customHeight="1" x14ac:dyDescent="0.25">
      <c r="A20" s="17">
        <v>43546</v>
      </c>
      <c r="B20" s="18">
        <v>0</v>
      </c>
      <c r="C20" s="18">
        <v>17</v>
      </c>
      <c r="D20" s="2">
        <f t="shared" si="0"/>
        <v>-17</v>
      </c>
      <c r="E20" s="2"/>
      <c r="F20" s="2"/>
      <c r="G20" s="2"/>
      <c r="H20" s="2"/>
      <c r="I20" s="2"/>
      <c r="J20" s="2"/>
      <c r="K20" s="19" t="s">
        <v>404</v>
      </c>
    </row>
    <row r="21" spans="1:12" ht="39" customHeight="1" x14ac:dyDescent="0.25">
      <c r="A21" s="21">
        <v>43549</v>
      </c>
      <c r="B21" s="22">
        <v>0</v>
      </c>
      <c r="C21" s="22">
        <v>16</v>
      </c>
      <c r="D21" s="2">
        <f t="shared" si="0"/>
        <v>-16</v>
      </c>
      <c r="E21" s="23"/>
      <c r="F21" s="23"/>
      <c r="G21" s="23"/>
      <c r="H21" s="23"/>
      <c r="I21" s="23"/>
      <c r="J21" s="23"/>
      <c r="K21" s="25" t="s">
        <v>405</v>
      </c>
    </row>
    <row r="22" spans="1:12" ht="39" customHeight="1" x14ac:dyDescent="0.25">
      <c r="A22" s="17">
        <v>43550</v>
      </c>
      <c r="B22" s="18">
        <v>0</v>
      </c>
      <c r="C22" s="18">
        <v>12</v>
      </c>
      <c r="D22" s="2">
        <f t="shared" si="0"/>
        <v>-12</v>
      </c>
      <c r="E22" s="2"/>
      <c r="F22" s="2"/>
      <c r="G22" s="2"/>
      <c r="H22" s="2"/>
      <c r="I22" s="2"/>
      <c r="J22" s="2"/>
      <c r="K22" s="19" t="s">
        <v>406</v>
      </c>
      <c r="L22" s="27" t="s">
        <v>291</v>
      </c>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9VP8nnItkQjNZu36t21JiUMGsgd1EWjHDoDJgL3+ggCuuLy5Wlu1HzUKH3Z1e+8l5HLfrtDzik5gYAbvWMifSA==" saltValue="j3RTRY1NKk/ZfaHoVmZLHg==" spinCount="100000" sheet="1" objects="1" scenarios="1" selectLockedCells="1" selectUnlockedCells="1"/>
  <customSheetViews>
    <customSheetView guid="{E5A7B818-645B-417C-A128-9FE559D9B124}" fitToPage="1">
      <pane ySplit="6" topLeftCell="A19"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79" priority="1" operator="lessThan">
      <formula>0</formula>
    </cfRule>
    <cfRule type="cellIs" dxfId="17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32">
    <pageSetUpPr fitToPage="1"/>
  </sheetPr>
  <dimension ref="A1:L44"/>
  <sheetViews>
    <sheetView workbookViewId="0">
      <pane ySplit="6" topLeftCell="A7" activePane="bottomLeft" state="frozen"/>
      <selection pane="bottomLeft" activeCell="K7"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154</v>
      </c>
    </row>
    <row r="3" spans="1:12" ht="15.75" thickBot="1" x14ac:dyDescent="0.3">
      <c r="A3" s="5"/>
      <c r="B3" s="2"/>
      <c r="C3" s="2"/>
      <c r="D3" s="2"/>
      <c r="E3" s="2"/>
      <c r="F3" s="2">
        <f>'03.19'!F6</f>
        <v>453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440</v>
      </c>
      <c r="G6" s="30">
        <f>SUM(B:B)</f>
        <v>60</v>
      </c>
      <c r="H6" s="30">
        <f>SUM(C:C)</f>
        <v>73</v>
      </c>
      <c r="I6" s="30"/>
      <c r="J6" s="33">
        <f>SUM(G6:H6)+SUM(E:E)</f>
        <v>159</v>
      </c>
      <c r="K6" s="34"/>
      <c r="L6" s="50">
        <f>J6/K1</f>
        <v>0.26767676767676768</v>
      </c>
    </row>
    <row r="7" spans="1:12" ht="63.75" customHeight="1" x14ac:dyDescent="0.25">
      <c r="A7" s="17">
        <v>43557</v>
      </c>
      <c r="B7" s="18">
        <v>0</v>
      </c>
      <c r="C7" s="18">
        <v>31</v>
      </c>
      <c r="D7" s="2">
        <f t="shared" ref="D7:D44" si="0">B7-C7</f>
        <v>-31</v>
      </c>
      <c r="E7" s="2"/>
      <c r="F7" s="2"/>
      <c r="G7" s="2"/>
      <c r="H7" s="2"/>
      <c r="I7" s="2"/>
      <c r="J7" s="2"/>
      <c r="K7" s="19" t="s">
        <v>407</v>
      </c>
    </row>
    <row r="8" spans="1:12" ht="15" customHeight="1" x14ac:dyDescent="0.25">
      <c r="A8" s="17">
        <v>43557</v>
      </c>
      <c r="B8" s="18">
        <v>2</v>
      </c>
      <c r="C8" s="18">
        <v>0</v>
      </c>
      <c r="D8" s="2">
        <f t="shared" si="0"/>
        <v>2</v>
      </c>
      <c r="E8" s="2"/>
      <c r="F8" s="2"/>
      <c r="G8" s="2"/>
      <c r="H8" s="2"/>
      <c r="I8" s="2"/>
      <c r="J8" s="2"/>
      <c r="K8" s="19" t="s">
        <v>408</v>
      </c>
    </row>
    <row r="9" spans="1:12" ht="38.25" customHeight="1" x14ac:dyDescent="0.25">
      <c r="A9" s="17">
        <v>43558</v>
      </c>
      <c r="B9" s="18">
        <v>13</v>
      </c>
      <c r="C9" s="18">
        <v>0</v>
      </c>
      <c r="D9" s="2">
        <f t="shared" si="0"/>
        <v>13</v>
      </c>
      <c r="E9" s="2"/>
      <c r="F9" s="2"/>
      <c r="G9" s="2"/>
      <c r="H9" s="2"/>
      <c r="I9" s="2"/>
      <c r="J9" s="2"/>
      <c r="K9" s="19" t="s">
        <v>409</v>
      </c>
    </row>
    <row r="10" spans="1:12" ht="36.75" customHeight="1" x14ac:dyDescent="0.3">
      <c r="A10" s="17">
        <v>43564</v>
      </c>
      <c r="B10" s="18">
        <v>0</v>
      </c>
      <c r="C10" s="18">
        <v>15</v>
      </c>
      <c r="D10" s="2">
        <f t="shared" si="0"/>
        <v>-15</v>
      </c>
      <c r="E10" s="2"/>
      <c r="F10" s="2"/>
      <c r="G10" s="2"/>
      <c r="H10" s="2"/>
      <c r="I10" s="2"/>
      <c r="J10" s="2"/>
      <c r="K10" s="19" t="s">
        <v>410</v>
      </c>
      <c r="L10" s="38" t="s">
        <v>231</v>
      </c>
    </row>
    <row r="11" spans="1:12" ht="37.5" customHeight="1" x14ac:dyDescent="0.3">
      <c r="A11" s="17">
        <v>43564</v>
      </c>
      <c r="B11" s="18">
        <v>14</v>
      </c>
      <c r="C11" s="18">
        <v>0</v>
      </c>
      <c r="D11" s="2">
        <f t="shared" si="0"/>
        <v>14</v>
      </c>
      <c r="E11" s="2"/>
      <c r="F11" s="2"/>
      <c r="G11" s="2"/>
      <c r="H11" s="2"/>
      <c r="I11" s="2"/>
      <c r="J11" s="2"/>
      <c r="K11" s="19" t="s">
        <v>411</v>
      </c>
      <c r="L11" s="38"/>
    </row>
    <row r="12" spans="1:12" ht="15" customHeight="1" x14ac:dyDescent="0.25">
      <c r="A12" s="17">
        <v>43570</v>
      </c>
      <c r="B12" s="18">
        <v>0</v>
      </c>
      <c r="C12" s="18">
        <v>0</v>
      </c>
      <c r="D12" s="2">
        <f t="shared" si="0"/>
        <v>0</v>
      </c>
      <c r="E12" s="2">
        <v>26</v>
      </c>
      <c r="F12" s="2"/>
      <c r="G12" s="2"/>
      <c r="H12" s="2"/>
      <c r="I12" s="2"/>
      <c r="J12" s="2"/>
      <c r="K12" s="19" t="s">
        <v>107</v>
      </c>
      <c r="L12" s="27" t="s">
        <v>341</v>
      </c>
    </row>
    <row r="13" spans="1:12" ht="54" customHeight="1" x14ac:dyDescent="0.25">
      <c r="A13" s="17">
        <v>43570</v>
      </c>
      <c r="B13" s="18">
        <v>26</v>
      </c>
      <c r="C13" s="18">
        <v>0</v>
      </c>
      <c r="D13" s="2">
        <f t="shared" si="0"/>
        <v>26</v>
      </c>
      <c r="E13" s="2"/>
      <c r="F13" s="2"/>
      <c r="G13" s="2"/>
      <c r="H13" s="2"/>
      <c r="I13" s="2"/>
      <c r="J13" s="2"/>
      <c r="K13" s="19" t="s">
        <v>412</v>
      </c>
      <c r="L13" s="27" t="s">
        <v>413</v>
      </c>
    </row>
    <row r="14" spans="1:12" ht="39" customHeight="1" x14ac:dyDescent="0.25">
      <c r="A14" s="17">
        <v>43571</v>
      </c>
      <c r="B14" s="18">
        <v>0</v>
      </c>
      <c r="C14" s="18">
        <v>12</v>
      </c>
      <c r="D14" s="2">
        <f t="shared" si="0"/>
        <v>-12</v>
      </c>
      <c r="E14" s="2"/>
      <c r="F14" s="2"/>
      <c r="G14" s="2"/>
      <c r="H14" s="2"/>
      <c r="I14" s="2"/>
      <c r="J14" s="2"/>
      <c r="K14" s="19" t="s">
        <v>414</v>
      </c>
    </row>
    <row r="15" spans="1:12" ht="24" customHeight="1" x14ac:dyDescent="0.25">
      <c r="A15" s="17">
        <v>43571</v>
      </c>
      <c r="B15" s="18">
        <v>5</v>
      </c>
      <c r="C15" s="18">
        <v>0</v>
      </c>
      <c r="D15" s="2">
        <f t="shared" si="0"/>
        <v>5</v>
      </c>
      <c r="E15" s="2"/>
      <c r="F15" s="2"/>
      <c r="G15" s="2"/>
      <c r="H15" s="2"/>
      <c r="I15" s="2"/>
      <c r="J15" s="2"/>
      <c r="K15" s="20" t="s">
        <v>415</v>
      </c>
    </row>
    <row r="16" spans="1:12" ht="38.25" customHeight="1" x14ac:dyDescent="0.25">
      <c r="A16" s="17">
        <v>43573</v>
      </c>
      <c r="B16" s="18">
        <v>0</v>
      </c>
      <c r="C16" s="18">
        <v>12</v>
      </c>
      <c r="D16" s="2">
        <f t="shared" si="0"/>
        <v>-12</v>
      </c>
      <c r="E16" s="2"/>
      <c r="F16" s="2"/>
      <c r="G16" s="2"/>
      <c r="H16" s="2"/>
      <c r="I16" s="2"/>
      <c r="J16" s="2"/>
      <c r="K16" s="19" t="s">
        <v>416</v>
      </c>
    </row>
    <row r="17" spans="1:11" ht="15" customHeight="1" x14ac:dyDescent="0.25">
      <c r="A17" s="17">
        <v>43581</v>
      </c>
      <c r="B17" s="18">
        <v>0</v>
      </c>
      <c r="C17" s="18">
        <v>3</v>
      </c>
      <c r="D17" s="2">
        <f t="shared" si="0"/>
        <v>-3</v>
      </c>
      <c r="E17" s="2"/>
      <c r="F17" s="2"/>
      <c r="G17" s="2"/>
      <c r="H17" s="2"/>
      <c r="I17" s="2"/>
      <c r="J17" s="2"/>
      <c r="K17" s="19" t="s">
        <v>417</v>
      </c>
    </row>
    <row r="18" spans="1:11" ht="15" customHeight="1" x14ac:dyDescent="0.25">
      <c r="A18" s="17"/>
      <c r="B18" s="18"/>
      <c r="C18" s="18"/>
      <c r="D18" s="2">
        <f t="shared" si="0"/>
        <v>0</v>
      </c>
      <c r="E18" s="2"/>
      <c r="F18" s="2"/>
      <c r="G18" s="2"/>
      <c r="H18" s="2"/>
      <c r="I18" s="2"/>
      <c r="J18" s="2"/>
      <c r="K18" s="19"/>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5"/>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heet="1" objects="1" scenarios="1" selectLockedCells="1" selectUnlockedCells="1"/>
  <customSheetViews>
    <customSheetView guid="{E5A7B818-645B-417C-A128-9FE559D9B124}" fitToPage="1">
      <pane ySplit="6" topLeftCell="A10"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77" priority="1" operator="lessThan">
      <formula>0</formula>
    </cfRule>
    <cfRule type="cellIs" dxfId="17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33">
    <pageSetUpPr fitToPage="1"/>
  </sheetPr>
  <dimension ref="A1:L44"/>
  <sheetViews>
    <sheetView workbookViewId="0">
      <pane ySplit="6" topLeftCell="A10" activePane="bottomLeft" state="frozen"/>
      <selection pane="bottomLeft" activeCell="K12" sqref="K12"/>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114</v>
      </c>
    </row>
    <row r="3" spans="1:12" ht="15.75" thickBot="1" x14ac:dyDescent="0.3">
      <c r="A3" s="5"/>
      <c r="B3" s="2"/>
      <c r="C3" s="2"/>
      <c r="D3" s="2"/>
      <c r="E3" s="2"/>
      <c r="F3" s="2">
        <f>'04.19'!F6</f>
        <v>440</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480</v>
      </c>
      <c r="G6" s="30">
        <f>SUM(B:B)</f>
        <v>114</v>
      </c>
      <c r="H6" s="30">
        <f>SUM(C:C)</f>
        <v>74</v>
      </c>
      <c r="I6" s="30"/>
      <c r="J6" s="33">
        <f>SUM(G6:H6)+SUM(E:E)</f>
        <v>209</v>
      </c>
      <c r="K6" s="34"/>
      <c r="L6" s="50">
        <f>J6/K1</f>
        <v>0.35185185185185186</v>
      </c>
    </row>
    <row r="7" spans="1:12" ht="36.75" customHeight="1" x14ac:dyDescent="0.25">
      <c r="A7" s="17">
        <v>43592</v>
      </c>
      <c r="B7" s="18">
        <v>0</v>
      </c>
      <c r="C7" s="18">
        <v>17</v>
      </c>
      <c r="D7" s="2">
        <f t="shared" ref="D7:D44" si="0">B7-C7</f>
        <v>-17</v>
      </c>
      <c r="E7" s="2"/>
      <c r="F7" s="2"/>
      <c r="G7" s="2"/>
      <c r="H7" s="2"/>
      <c r="I7" s="2"/>
      <c r="J7" s="2"/>
      <c r="K7" s="19" t="s">
        <v>418</v>
      </c>
    </row>
    <row r="8" spans="1:12" ht="15" customHeight="1" x14ac:dyDescent="0.25">
      <c r="A8" s="17">
        <v>43592</v>
      </c>
      <c r="B8" s="18">
        <v>9</v>
      </c>
      <c r="C8" s="18">
        <v>0</v>
      </c>
      <c r="D8" s="2">
        <f t="shared" si="0"/>
        <v>9</v>
      </c>
      <c r="E8" s="2"/>
      <c r="F8" s="2"/>
      <c r="G8" s="2"/>
      <c r="H8" s="2"/>
      <c r="I8" s="2"/>
      <c r="J8" s="2"/>
      <c r="K8" s="19" t="s">
        <v>419</v>
      </c>
    </row>
    <row r="9" spans="1:12" ht="15" customHeight="1" x14ac:dyDescent="0.25">
      <c r="A9" s="17">
        <v>43593</v>
      </c>
      <c r="B9" s="18">
        <v>1</v>
      </c>
      <c r="C9" s="18">
        <v>1</v>
      </c>
      <c r="D9" s="2">
        <f t="shared" si="0"/>
        <v>0</v>
      </c>
      <c r="E9" s="2">
        <v>1</v>
      </c>
      <c r="F9" s="2"/>
      <c r="G9" s="2"/>
      <c r="H9" s="2"/>
      <c r="I9" s="2"/>
      <c r="J9" s="2"/>
      <c r="K9" s="20" t="s">
        <v>420</v>
      </c>
    </row>
    <row r="10" spans="1:12" ht="38.25" customHeight="1" x14ac:dyDescent="0.3">
      <c r="A10" s="17">
        <v>43593</v>
      </c>
      <c r="B10" s="18">
        <v>15</v>
      </c>
      <c r="C10" s="18">
        <v>0</v>
      </c>
      <c r="D10" s="2">
        <f t="shared" si="0"/>
        <v>15</v>
      </c>
      <c r="E10" s="2"/>
      <c r="F10" s="2"/>
      <c r="G10" s="2"/>
      <c r="H10" s="2"/>
      <c r="I10" s="2"/>
      <c r="J10" s="2"/>
      <c r="K10" s="19" t="s">
        <v>421</v>
      </c>
      <c r="L10" s="38"/>
    </row>
    <row r="11" spans="1:12" ht="15" customHeight="1" x14ac:dyDescent="0.25">
      <c r="A11" s="17">
        <v>43598</v>
      </c>
      <c r="B11" s="18">
        <v>0</v>
      </c>
      <c r="C11" s="18">
        <v>0</v>
      </c>
      <c r="D11" s="2">
        <f t="shared" si="0"/>
        <v>0</v>
      </c>
      <c r="E11" s="2">
        <v>20</v>
      </c>
      <c r="F11" s="2"/>
      <c r="G11" s="2"/>
      <c r="H11" s="2"/>
      <c r="I11" s="2"/>
      <c r="J11" s="2"/>
      <c r="K11" s="19" t="s">
        <v>107</v>
      </c>
      <c r="L11" s="27" t="s">
        <v>341</v>
      </c>
    </row>
    <row r="12" spans="1:12" ht="39.75" customHeight="1" x14ac:dyDescent="0.25">
      <c r="A12" s="17">
        <v>43599</v>
      </c>
      <c r="B12" s="18">
        <v>20</v>
      </c>
      <c r="C12" s="18">
        <v>0</v>
      </c>
      <c r="D12" s="2">
        <f t="shared" si="0"/>
        <v>20</v>
      </c>
      <c r="E12" s="2"/>
      <c r="F12" s="2"/>
      <c r="G12" s="2"/>
      <c r="H12" s="2"/>
      <c r="I12" s="2"/>
      <c r="J12" s="2"/>
      <c r="K12" s="19" t="s">
        <v>616</v>
      </c>
      <c r="L12" s="27" t="s">
        <v>413</v>
      </c>
    </row>
    <row r="13" spans="1:12" ht="39.75" customHeight="1" x14ac:dyDescent="0.25">
      <c r="A13" s="17">
        <v>43602</v>
      </c>
      <c r="B13" s="18">
        <v>0</v>
      </c>
      <c r="C13" s="18">
        <v>20</v>
      </c>
      <c r="D13" s="2">
        <f t="shared" si="0"/>
        <v>-20</v>
      </c>
      <c r="E13" s="2"/>
      <c r="F13" s="2"/>
      <c r="G13" s="2"/>
      <c r="H13" s="2"/>
      <c r="I13" s="2"/>
      <c r="J13" s="2"/>
      <c r="K13" s="19" t="s">
        <v>422</v>
      </c>
    </row>
    <row r="14" spans="1:12" ht="70.5" customHeight="1" x14ac:dyDescent="0.25">
      <c r="A14" s="17">
        <v>43602</v>
      </c>
      <c r="B14" s="18">
        <v>34</v>
      </c>
      <c r="C14" s="18">
        <v>0</v>
      </c>
      <c r="D14" s="2">
        <f t="shared" si="0"/>
        <v>34</v>
      </c>
      <c r="E14" s="2"/>
      <c r="F14" s="2"/>
      <c r="G14" s="2"/>
      <c r="H14" s="2"/>
      <c r="I14" s="2"/>
      <c r="J14" s="2"/>
      <c r="K14" s="19" t="s">
        <v>423</v>
      </c>
    </row>
    <row r="15" spans="1:12" ht="53.25" customHeight="1" x14ac:dyDescent="0.25">
      <c r="A15" s="17">
        <v>43606</v>
      </c>
      <c r="B15" s="18">
        <v>24</v>
      </c>
      <c r="C15" s="18">
        <v>0</v>
      </c>
      <c r="D15" s="2">
        <f t="shared" si="0"/>
        <v>24</v>
      </c>
      <c r="E15" s="2"/>
      <c r="F15" s="2"/>
      <c r="G15" s="2"/>
      <c r="H15" s="2"/>
      <c r="I15" s="2"/>
      <c r="J15" s="2"/>
      <c r="K15" s="19" t="s">
        <v>424</v>
      </c>
    </row>
    <row r="16" spans="1:12" ht="38.25" customHeight="1" x14ac:dyDescent="0.25">
      <c r="A16" s="17">
        <v>43608</v>
      </c>
      <c r="B16" s="18">
        <v>0</v>
      </c>
      <c r="C16" s="18">
        <v>12</v>
      </c>
      <c r="D16" s="2">
        <f t="shared" si="0"/>
        <v>-12</v>
      </c>
      <c r="E16" s="2"/>
      <c r="F16" s="2"/>
      <c r="G16" s="2"/>
      <c r="H16" s="2"/>
      <c r="I16" s="2"/>
      <c r="J16" s="2"/>
      <c r="K16" s="19" t="s">
        <v>425</v>
      </c>
    </row>
    <row r="17" spans="1:12" ht="15" customHeight="1" x14ac:dyDescent="0.25">
      <c r="A17" s="17">
        <v>43609</v>
      </c>
      <c r="B17" s="18">
        <v>0</v>
      </c>
      <c r="C17" s="18">
        <v>6</v>
      </c>
      <c r="D17" s="2">
        <f t="shared" si="0"/>
        <v>-6</v>
      </c>
      <c r="E17" s="2"/>
      <c r="F17" s="2"/>
      <c r="G17" s="2"/>
      <c r="H17" s="2"/>
      <c r="I17" s="2"/>
      <c r="J17" s="2"/>
      <c r="K17" s="19" t="s">
        <v>426</v>
      </c>
      <c r="L17" s="27" t="s">
        <v>291</v>
      </c>
    </row>
    <row r="18" spans="1:12" ht="35.25" customHeight="1" x14ac:dyDescent="0.25">
      <c r="A18" s="17">
        <v>43616</v>
      </c>
      <c r="B18" s="18">
        <v>0</v>
      </c>
      <c r="C18" s="18">
        <v>18</v>
      </c>
      <c r="D18" s="2">
        <f t="shared" si="0"/>
        <v>-18</v>
      </c>
      <c r="E18" s="2"/>
      <c r="F18" s="2"/>
      <c r="G18" s="2"/>
      <c r="H18" s="2"/>
      <c r="I18" s="2"/>
      <c r="J18" s="2"/>
      <c r="K18" s="19" t="s">
        <v>427</v>
      </c>
    </row>
    <row r="19" spans="1:12" ht="37.5" customHeight="1" x14ac:dyDescent="0.25">
      <c r="A19" s="17">
        <v>43616</v>
      </c>
      <c r="B19" s="18">
        <v>11</v>
      </c>
      <c r="C19" s="18">
        <v>0</v>
      </c>
      <c r="D19" s="2">
        <f t="shared" si="0"/>
        <v>11</v>
      </c>
      <c r="E19" s="2"/>
      <c r="F19" s="2"/>
      <c r="G19" s="2"/>
      <c r="H19" s="2"/>
      <c r="I19" s="2"/>
      <c r="J19" s="2"/>
      <c r="K19" s="19" t="s">
        <v>428</v>
      </c>
    </row>
    <row r="20" spans="1:12" ht="15" customHeight="1" x14ac:dyDescent="0.25">
      <c r="A20" s="17"/>
      <c r="B20" s="18"/>
      <c r="C20" s="18"/>
      <c r="D20" s="2">
        <f t="shared" si="0"/>
        <v>0</v>
      </c>
      <c r="E20" s="2"/>
      <c r="F20" s="2"/>
      <c r="G20" s="2"/>
      <c r="H20" s="2"/>
      <c r="I20" s="2"/>
      <c r="J20" s="2"/>
      <c r="K20" s="19"/>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XZsW21jIplAUPz7UvvqonQSq5yFCRudjZzxa6ljkUwgxDhFmlA1VUx6RbmqDG3K+FQw6O29OjWS0ldPWHTOe2g==" saltValue="u6KvAY1vH4YnDQkhPiCBYg==" spinCount="100000" sheet="1" objects="1" scenarios="1" selectLockedCells="1" selectUnlockedCells="1"/>
  <customSheetViews>
    <customSheetView guid="{E5A7B818-645B-417C-A128-9FE559D9B124}" fitToPage="1">
      <pane ySplit="6" topLeftCell="A10" activePane="bottomLeft" state="frozen"/>
      <selection pane="bottomLeft" activeCell="K12" sqref="K12"/>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75" priority="1" operator="lessThan">
      <formula>0</formula>
    </cfRule>
    <cfRule type="cellIs" dxfId="17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34">
    <pageSetUpPr fitToPage="1"/>
  </sheetPr>
  <dimension ref="A1:L44"/>
  <sheetViews>
    <sheetView workbookViewId="0">
      <pane ySplit="6" topLeftCell="A19"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109</v>
      </c>
    </row>
    <row r="3" spans="1:12" ht="15.75" thickBot="1" x14ac:dyDescent="0.3">
      <c r="A3" s="5"/>
      <c r="B3" s="2"/>
      <c r="C3" s="2"/>
      <c r="D3" s="2"/>
      <c r="E3" s="2"/>
      <c r="F3" s="2">
        <f>'05.19'!F6</f>
        <v>480</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485</v>
      </c>
      <c r="G6" s="30">
        <f>SUM(B:B)</f>
        <v>105</v>
      </c>
      <c r="H6" s="30">
        <f>SUM(C:C)</f>
        <v>100</v>
      </c>
      <c r="I6" s="30"/>
      <c r="J6" s="33">
        <f>SUM(G6:H6)+SUM(E:E)</f>
        <v>205</v>
      </c>
      <c r="K6" s="34"/>
      <c r="L6" s="50">
        <f>J6/K1</f>
        <v>0.3451178451178451</v>
      </c>
    </row>
    <row r="7" spans="1:12" ht="15" customHeight="1" x14ac:dyDescent="0.25">
      <c r="A7" s="17">
        <v>43620</v>
      </c>
      <c r="B7" s="18">
        <v>0</v>
      </c>
      <c r="C7" s="18">
        <v>8</v>
      </c>
      <c r="D7" s="2">
        <f t="shared" ref="D7:D44" si="0">B7-C7</f>
        <v>-8</v>
      </c>
      <c r="E7" s="2"/>
      <c r="F7" s="2"/>
      <c r="G7" s="2"/>
      <c r="H7" s="2"/>
      <c r="I7" s="2"/>
      <c r="J7" s="2"/>
      <c r="K7" s="19" t="s">
        <v>429</v>
      </c>
    </row>
    <row r="8" spans="1:12" ht="39.75" customHeight="1" x14ac:dyDescent="0.25">
      <c r="A8" s="17">
        <v>43620</v>
      </c>
      <c r="B8" s="18">
        <v>15</v>
      </c>
      <c r="C8" s="18">
        <v>0</v>
      </c>
      <c r="D8" s="2">
        <f t="shared" si="0"/>
        <v>15</v>
      </c>
      <c r="E8" s="2"/>
      <c r="F8" s="2"/>
      <c r="G8" s="2"/>
      <c r="H8" s="2"/>
      <c r="I8" s="2"/>
      <c r="J8" s="2"/>
      <c r="K8" s="19" t="s">
        <v>430</v>
      </c>
    </row>
    <row r="9" spans="1:12" ht="15" customHeight="1" x14ac:dyDescent="0.25">
      <c r="A9" s="17">
        <v>43621</v>
      </c>
      <c r="B9" s="18">
        <v>0</v>
      </c>
      <c r="C9" s="18">
        <v>6</v>
      </c>
      <c r="D9" s="2">
        <f t="shared" si="0"/>
        <v>-6</v>
      </c>
      <c r="E9" s="2"/>
      <c r="F9" s="2"/>
      <c r="G9" s="2"/>
      <c r="H9" s="2"/>
      <c r="I9" s="2"/>
      <c r="J9" s="2"/>
      <c r="K9" s="20" t="s">
        <v>431</v>
      </c>
      <c r="L9" s="27" t="s">
        <v>432</v>
      </c>
    </row>
    <row r="10" spans="1:12" ht="15" customHeight="1" x14ac:dyDescent="0.25">
      <c r="A10" s="17">
        <v>43622</v>
      </c>
      <c r="B10" s="18">
        <v>0</v>
      </c>
      <c r="C10" s="18">
        <v>6</v>
      </c>
      <c r="D10" s="2">
        <f t="shared" si="0"/>
        <v>-6</v>
      </c>
      <c r="E10" s="2"/>
      <c r="F10" s="2"/>
      <c r="G10" s="2"/>
      <c r="H10" s="2"/>
      <c r="I10" s="2"/>
      <c r="J10" s="2"/>
      <c r="K10" s="19" t="s">
        <v>433</v>
      </c>
      <c r="L10" s="27" t="s">
        <v>434</v>
      </c>
    </row>
    <row r="11" spans="1:12" ht="39" customHeight="1" x14ac:dyDescent="0.3">
      <c r="A11" s="17">
        <v>43623</v>
      </c>
      <c r="B11" s="18">
        <v>0</v>
      </c>
      <c r="C11" s="18">
        <v>17</v>
      </c>
      <c r="D11" s="2">
        <f t="shared" si="0"/>
        <v>-17</v>
      </c>
      <c r="E11" s="2"/>
      <c r="F11" s="2"/>
      <c r="G11" s="2"/>
      <c r="H11" s="2"/>
      <c r="I11" s="2"/>
      <c r="J11" s="2"/>
      <c r="K11" s="19" t="s">
        <v>435</v>
      </c>
      <c r="L11" s="38"/>
    </row>
    <row r="12" spans="1:12" ht="36.75" customHeight="1" x14ac:dyDescent="0.25">
      <c r="A12" s="17">
        <v>43630</v>
      </c>
      <c r="B12" s="18">
        <v>0</v>
      </c>
      <c r="C12" s="18">
        <v>14</v>
      </c>
      <c r="D12" s="2">
        <f t="shared" si="0"/>
        <v>-14</v>
      </c>
      <c r="E12" s="2"/>
      <c r="F12" s="2"/>
      <c r="G12" s="2"/>
      <c r="H12" s="2"/>
      <c r="I12" s="2"/>
      <c r="J12" s="2"/>
      <c r="K12" s="19" t="s">
        <v>436</v>
      </c>
    </row>
    <row r="13" spans="1:12" ht="21.75" customHeight="1" x14ac:dyDescent="0.25">
      <c r="A13" s="17">
        <v>43630</v>
      </c>
      <c r="B13" s="18">
        <v>9</v>
      </c>
      <c r="C13" s="18">
        <v>0</v>
      </c>
      <c r="D13" s="2">
        <f t="shared" si="0"/>
        <v>9</v>
      </c>
      <c r="E13" s="2"/>
      <c r="F13" s="2"/>
      <c r="G13" s="2"/>
      <c r="H13" s="2"/>
      <c r="I13" s="2"/>
      <c r="J13" s="2"/>
      <c r="K13" s="19" t="s">
        <v>437</v>
      </c>
    </row>
    <row r="14" spans="1:12" ht="51" customHeight="1" x14ac:dyDescent="0.25">
      <c r="A14" s="17">
        <v>43635</v>
      </c>
      <c r="B14" s="18">
        <v>25</v>
      </c>
      <c r="C14" s="18">
        <v>0</v>
      </c>
      <c r="D14" s="2">
        <f t="shared" si="0"/>
        <v>25</v>
      </c>
      <c r="E14" s="2"/>
      <c r="F14" s="2"/>
      <c r="G14" s="2"/>
      <c r="H14" s="2"/>
      <c r="I14" s="2"/>
      <c r="J14" s="2"/>
      <c r="K14" s="19" t="s">
        <v>438</v>
      </c>
    </row>
    <row r="15" spans="1:12" ht="23.25" customHeight="1" x14ac:dyDescent="0.25">
      <c r="A15" s="17">
        <v>43635</v>
      </c>
      <c r="B15" s="18">
        <v>0</v>
      </c>
      <c r="C15" s="18">
        <v>1</v>
      </c>
      <c r="D15" s="2">
        <f t="shared" si="0"/>
        <v>-1</v>
      </c>
      <c r="E15" s="2"/>
      <c r="F15" s="2"/>
      <c r="G15" s="2"/>
      <c r="H15" s="2"/>
      <c r="I15" s="2"/>
      <c r="J15" s="2"/>
      <c r="K15" s="20">
        <v>497763</v>
      </c>
      <c r="L15" s="27" t="s">
        <v>439</v>
      </c>
    </row>
    <row r="16" spans="1:12" ht="41.25" customHeight="1" x14ac:dyDescent="0.25">
      <c r="A16" s="17">
        <v>43636</v>
      </c>
      <c r="B16" s="18">
        <v>0</v>
      </c>
      <c r="C16" s="18">
        <v>16</v>
      </c>
      <c r="D16" s="2">
        <f t="shared" si="0"/>
        <v>-16</v>
      </c>
      <c r="E16" s="2"/>
      <c r="F16" s="2"/>
      <c r="G16" s="2"/>
      <c r="H16" s="2"/>
      <c r="I16" s="2"/>
      <c r="J16" s="2"/>
      <c r="K16" s="19" t="s">
        <v>440</v>
      </c>
      <c r="L16" s="27" t="s">
        <v>441</v>
      </c>
    </row>
    <row r="17" spans="1:12" ht="15" customHeight="1" x14ac:dyDescent="0.25">
      <c r="A17" s="17">
        <v>43640</v>
      </c>
      <c r="B17" s="18">
        <v>0</v>
      </c>
      <c r="C17" s="18">
        <v>9</v>
      </c>
      <c r="D17" s="2">
        <f t="shared" si="0"/>
        <v>-9</v>
      </c>
      <c r="E17" s="2"/>
      <c r="F17" s="2"/>
      <c r="G17" s="2"/>
      <c r="H17" s="2"/>
      <c r="I17" s="2"/>
      <c r="J17" s="2"/>
      <c r="K17" s="19" t="s">
        <v>442</v>
      </c>
      <c r="L17" s="27" t="s">
        <v>443</v>
      </c>
    </row>
    <row r="18" spans="1:12" ht="39" customHeight="1" x14ac:dyDescent="0.25">
      <c r="A18" s="17">
        <v>43640</v>
      </c>
      <c r="B18" s="18">
        <v>15</v>
      </c>
      <c r="C18" s="18">
        <v>0</v>
      </c>
      <c r="D18" s="2">
        <f t="shared" si="0"/>
        <v>15</v>
      </c>
      <c r="E18" s="2"/>
      <c r="F18" s="2"/>
      <c r="G18" s="2"/>
      <c r="H18" s="2"/>
      <c r="I18" s="2"/>
      <c r="J18" s="2"/>
      <c r="K18" s="19" t="s">
        <v>444</v>
      </c>
    </row>
    <row r="19" spans="1:12" ht="37.5" customHeight="1" x14ac:dyDescent="0.25">
      <c r="A19" s="17">
        <v>43641</v>
      </c>
      <c r="B19" s="18">
        <v>16</v>
      </c>
      <c r="C19" s="18">
        <v>0</v>
      </c>
      <c r="D19" s="2">
        <f t="shared" si="0"/>
        <v>16</v>
      </c>
      <c r="E19" s="2"/>
      <c r="F19" s="2"/>
      <c r="G19" s="2"/>
      <c r="H19" s="2"/>
      <c r="I19" s="2"/>
      <c r="J19" s="2"/>
      <c r="K19" s="19" t="s">
        <v>445</v>
      </c>
    </row>
    <row r="20" spans="1:12" ht="55.5" customHeight="1" x14ac:dyDescent="0.25">
      <c r="A20" s="17">
        <v>43642</v>
      </c>
      <c r="B20" s="18">
        <v>23</v>
      </c>
      <c r="C20" s="18">
        <v>0</v>
      </c>
      <c r="D20" s="2">
        <f t="shared" si="0"/>
        <v>23</v>
      </c>
      <c r="E20" s="2"/>
      <c r="F20" s="2"/>
      <c r="G20" s="2"/>
      <c r="H20" s="2"/>
      <c r="I20" s="2"/>
      <c r="J20" s="2"/>
      <c r="K20" s="19" t="s">
        <v>446</v>
      </c>
    </row>
    <row r="21" spans="1:12" ht="48" customHeight="1" x14ac:dyDescent="0.25">
      <c r="A21" s="21">
        <v>43643</v>
      </c>
      <c r="B21" s="22">
        <v>0</v>
      </c>
      <c r="C21" s="22">
        <v>17</v>
      </c>
      <c r="D21" s="2">
        <f t="shared" si="0"/>
        <v>-17</v>
      </c>
      <c r="E21" s="23"/>
      <c r="F21" s="23"/>
      <c r="G21" s="23"/>
      <c r="H21" s="23"/>
      <c r="I21" s="23"/>
      <c r="J21" s="23"/>
      <c r="K21" s="25" t="s">
        <v>447</v>
      </c>
      <c r="L21" s="27" t="s">
        <v>448</v>
      </c>
    </row>
    <row r="22" spans="1:12" ht="15" customHeight="1" x14ac:dyDescent="0.25">
      <c r="A22" s="17">
        <v>43643</v>
      </c>
      <c r="B22" s="18">
        <v>2</v>
      </c>
      <c r="C22" s="18">
        <v>2</v>
      </c>
      <c r="D22" s="2">
        <f t="shared" si="0"/>
        <v>0</v>
      </c>
      <c r="E22" s="2"/>
      <c r="F22" s="2"/>
      <c r="G22" s="2"/>
      <c r="H22" s="2"/>
      <c r="I22" s="2"/>
      <c r="J22" s="2"/>
      <c r="K22" s="19" t="s">
        <v>449</v>
      </c>
    </row>
    <row r="23" spans="1:12" ht="15" customHeight="1" x14ac:dyDescent="0.25">
      <c r="A23" s="17">
        <v>43644</v>
      </c>
      <c r="B23" s="18">
        <v>0</v>
      </c>
      <c r="C23" s="18">
        <v>4</v>
      </c>
      <c r="D23" s="2">
        <f t="shared" si="0"/>
        <v>-4</v>
      </c>
      <c r="E23" s="2"/>
      <c r="F23" s="2"/>
      <c r="G23" s="2"/>
      <c r="H23" s="2"/>
      <c r="I23" s="2"/>
      <c r="J23" s="2"/>
      <c r="K23" s="45" t="s">
        <v>450</v>
      </c>
      <c r="L23" s="27" t="s">
        <v>451</v>
      </c>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3cFP2OmQkkYWE0qXc40EIOl4sHupP2sjCUAd0GNSXSOyn4abK0zegejJbge+jjwtVpTcqRmEqKK1G7P8JITI6Q==" saltValue="tSNsbu/5/E7toZ8nAaE2bw==" spinCount="100000" sheet="1" objects="1" scenarios="1" selectLockedCells="1" selectUnlockedCells="1"/>
  <customSheetViews>
    <customSheetView guid="{E5A7B818-645B-417C-A128-9FE559D9B124}" fitToPage="1">
      <pane ySplit="6" topLeftCell="A19"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73" priority="1" operator="lessThan">
      <formula>0</formula>
    </cfRule>
    <cfRule type="cellIs" dxfId="17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abelle35">
    <pageSetUpPr fitToPage="1"/>
  </sheetPr>
  <dimension ref="A1:L44"/>
  <sheetViews>
    <sheetView workbookViewId="0">
      <pane ySplit="6" topLeftCell="A7" activePane="bottomLeft" state="frozen"/>
      <selection pane="bottomLeft" activeCell="E22" sqref="E22"/>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120</v>
      </c>
    </row>
    <row r="3" spans="1:12" ht="15.75" thickBot="1" x14ac:dyDescent="0.3">
      <c r="A3" s="5"/>
      <c r="B3" s="2"/>
      <c r="C3" s="2"/>
      <c r="D3" s="2"/>
      <c r="E3" s="2"/>
      <c r="F3" s="2">
        <f>'06.19'!F6</f>
        <v>485</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474</v>
      </c>
      <c r="G6" s="30">
        <f>SUM(B:B)</f>
        <v>68</v>
      </c>
      <c r="H6" s="30">
        <f>SUM(C:C)</f>
        <v>79</v>
      </c>
      <c r="I6" s="30"/>
      <c r="J6" s="33">
        <f>SUM(G6:H6)+SUM(E:E)</f>
        <v>175</v>
      </c>
      <c r="K6" s="34"/>
      <c r="L6" s="55">
        <f>J6/K1</f>
        <v>0.2946127946127946</v>
      </c>
    </row>
    <row r="7" spans="1:12" ht="30" customHeight="1" x14ac:dyDescent="0.25">
      <c r="A7" s="5">
        <v>43648</v>
      </c>
      <c r="B7" s="2">
        <v>0</v>
      </c>
      <c r="C7" s="2">
        <v>20</v>
      </c>
      <c r="D7" s="2">
        <f t="shared" ref="D7:D44" si="0">B7-C7</f>
        <v>-20</v>
      </c>
      <c r="E7" s="2"/>
      <c r="F7" s="2"/>
      <c r="G7" s="2"/>
      <c r="H7" s="2"/>
      <c r="I7" s="2"/>
      <c r="J7" s="2"/>
      <c r="K7" s="59" t="s">
        <v>452</v>
      </c>
    </row>
    <row r="8" spans="1:12" ht="15" customHeight="1" x14ac:dyDescent="0.25">
      <c r="A8" s="5">
        <v>43649</v>
      </c>
      <c r="B8" s="2">
        <v>0</v>
      </c>
      <c r="C8" s="2">
        <v>3</v>
      </c>
      <c r="D8" s="2">
        <f t="shared" si="0"/>
        <v>-3</v>
      </c>
      <c r="E8" s="2"/>
      <c r="F8" s="2"/>
      <c r="G8" s="2"/>
      <c r="H8" s="2"/>
      <c r="I8" s="2"/>
      <c r="J8" s="2"/>
      <c r="K8" s="59" t="s">
        <v>453</v>
      </c>
    </row>
    <row r="9" spans="1:12" ht="53.25" customHeight="1" x14ac:dyDescent="0.25">
      <c r="A9" s="5">
        <v>43651</v>
      </c>
      <c r="B9" s="2">
        <v>0</v>
      </c>
      <c r="C9" s="2">
        <v>27</v>
      </c>
      <c r="D9" s="2">
        <f t="shared" si="0"/>
        <v>-27</v>
      </c>
      <c r="E9" s="2"/>
      <c r="F9" s="2"/>
      <c r="G9" s="2"/>
      <c r="H9" s="2"/>
      <c r="I9" s="2"/>
      <c r="J9" s="2"/>
      <c r="K9" s="59" t="s">
        <v>454</v>
      </c>
    </row>
    <row r="10" spans="1:12" ht="15" customHeight="1" x14ac:dyDescent="0.25">
      <c r="A10" s="5">
        <v>43651</v>
      </c>
      <c r="B10" s="2">
        <v>8</v>
      </c>
      <c r="C10" s="2">
        <v>0</v>
      </c>
      <c r="D10" s="2">
        <f t="shared" si="0"/>
        <v>8</v>
      </c>
      <c r="E10" s="2"/>
      <c r="F10" s="2"/>
      <c r="G10" s="2"/>
      <c r="H10" s="2"/>
      <c r="I10" s="2"/>
      <c r="J10" s="2"/>
      <c r="K10" s="59" t="s">
        <v>455</v>
      </c>
    </row>
    <row r="11" spans="1:12" ht="15" customHeight="1" x14ac:dyDescent="0.25">
      <c r="A11" s="5">
        <v>43654</v>
      </c>
      <c r="B11" s="2">
        <v>0</v>
      </c>
      <c r="C11" s="2">
        <v>1</v>
      </c>
      <c r="D11" s="2">
        <f t="shared" si="0"/>
        <v>-1</v>
      </c>
      <c r="E11" s="2"/>
      <c r="F11" s="2"/>
      <c r="G11" s="2"/>
      <c r="H11" s="2"/>
      <c r="I11" s="2"/>
      <c r="J11" s="2"/>
      <c r="K11" s="59">
        <v>525949</v>
      </c>
      <c r="L11" s="53" t="s">
        <v>456</v>
      </c>
    </row>
    <row r="12" spans="1:12" ht="15" customHeight="1" x14ac:dyDescent="0.25">
      <c r="A12" s="5">
        <v>43654</v>
      </c>
      <c r="B12" s="2">
        <v>6</v>
      </c>
      <c r="C12" s="2">
        <v>0</v>
      </c>
      <c r="D12" s="2">
        <f t="shared" si="0"/>
        <v>6</v>
      </c>
      <c r="E12" s="2"/>
      <c r="F12" s="2"/>
      <c r="G12" s="2"/>
      <c r="H12" s="2"/>
      <c r="I12" s="2"/>
      <c r="J12" s="2"/>
      <c r="K12" s="59" t="s">
        <v>457</v>
      </c>
    </row>
    <row r="13" spans="1:12" ht="36" customHeight="1" x14ac:dyDescent="0.25">
      <c r="A13" s="5">
        <v>43657</v>
      </c>
      <c r="B13" s="2">
        <v>0</v>
      </c>
      <c r="C13" s="2">
        <v>15</v>
      </c>
      <c r="D13" s="2">
        <f t="shared" si="0"/>
        <v>-15</v>
      </c>
      <c r="E13" s="2"/>
      <c r="F13" s="2"/>
      <c r="G13" s="2"/>
      <c r="H13" s="2"/>
      <c r="I13" s="2"/>
      <c r="J13" s="2"/>
      <c r="K13" s="59" t="s">
        <v>458</v>
      </c>
      <c r="L13" s="53" t="s">
        <v>459</v>
      </c>
    </row>
    <row r="14" spans="1:12" ht="15" customHeight="1" x14ac:dyDescent="0.25">
      <c r="A14" s="5">
        <v>43662</v>
      </c>
      <c r="B14" s="2">
        <v>0</v>
      </c>
      <c r="C14" s="2">
        <v>2</v>
      </c>
      <c r="D14" s="2">
        <f t="shared" si="0"/>
        <v>-2</v>
      </c>
      <c r="E14" s="2"/>
      <c r="F14" s="2"/>
      <c r="G14" s="2"/>
      <c r="H14" s="2"/>
      <c r="I14" s="2"/>
      <c r="J14" s="2"/>
      <c r="K14" s="59" t="s">
        <v>460</v>
      </c>
    </row>
    <row r="15" spans="1:12" ht="38.25" customHeight="1" x14ac:dyDescent="0.25">
      <c r="A15" s="5">
        <v>43662</v>
      </c>
      <c r="B15" s="2">
        <v>11</v>
      </c>
      <c r="C15" s="2">
        <v>0</v>
      </c>
      <c r="D15" s="2">
        <f t="shared" si="0"/>
        <v>11</v>
      </c>
      <c r="E15" s="2"/>
      <c r="F15" s="2"/>
      <c r="G15" s="2"/>
      <c r="H15" s="2"/>
      <c r="I15" s="2"/>
      <c r="J15" s="2"/>
      <c r="K15" s="59" t="s">
        <v>461</v>
      </c>
    </row>
    <row r="16" spans="1:12" ht="15" customHeight="1" x14ac:dyDescent="0.25">
      <c r="A16" s="5">
        <v>43664</v>
      </c>
      <c r="B16" s="2">
        <v>0</v>
      </c>
      <c r="C16" s="2">
        <v>2</v>
      </c>
      <c r="D16" s="2">
        <f t="shared" si="0"/>
        <v>-2</v>
      </c>
      <c r="E16" s="2"/>
      <c r="F16" s="2"/>
      <c r="G16" s="2"/>
      <c r="H16" s="2"/>
      <c r="I16" s="2"/>
      <c r="J16" s="2"/>
      <c r="K16" s="59" t="s">
        <v>462</v>
      </c>
      <c r="L16" s="53" t="s">
        <v>463</v>
      </c>
    </row>
    <row r="17" spans="1:12" ht="15" customHeight="1" x14ac:dyDescent="0.25">
      <c r="A17" s="5">
        <v>43664</v>
      </c>
      <c r="B17" s="2">
        <v>2</v>
      </c>
      <c r="C17" s="2">
        <v>0</v>
      </c>
      <c r="D17" s="2">
        <f t="shared" si="0"/>
        <v>2</v>
      </c>
      <c r="E17" s="2"/>
      <c r="F17" s="2"/>
      <c r="G17" s="2"/>
      <c r="H17" s="2"/>
      <c r="I17" s="2"/>
      <c r="J17" s="2"/>
      <c r="K17" s="59" t="s">
        <v>464</v>
      </c>
    </row>
    <row r="18" spans="1:12" ht="15" customHeight="1" x14ac:dyDescent="0.25">
      <c r="A18" s="5">
        <v>43665</v>
      </c>
      <c r="B18" s="2">
        <v>0</v>
      </c>
      <c r="C18" s="2">
        <v>6</v>
      </c>
      <c r="D18" s="2">
        <f t="shared" si="0"/>
        <v>-6</v>
      </c>
      <c r="E18" s="2"/>
      <c r="F18" s="2"/>
      <c r="G18" s="2"/>
      <c r="H18" s="2"/>
      <c r="I18" s="2"/>
      <c r="J18" s="2"/>
      <c r="K18" s="59" t="s">
        <v>465</v>
      </c>
      <c r="L18" s="53" t="s">
        <v>466</v>
      </c>
    </row>
    <row r="19" spans="1:12" ht="15" customHeight="1" x14ac:dyDescent="0.25">
      <c r="A19" s="5">
        <v>43665</v>
      </c>
      <c r="B19" s="2">
        <v>4</v>
      </c>
      <c r="C19" s="2">
        <v>0</v>
      </c>
      <c r="D19" s="2">
        <f t="shared" si="0"/>
        <v>4</v>
      </c>
      <c r="E19" s="2"/>
      <c r="F19" s="2"/>
      <c r="G19" s="2"/>
      <c r="H19" s="2"/>
      <c r="I19" s="2"/>
      <c r="J19" s="2"/>
      <c r="K19" s="59" t="s">
        <v>467</v>
      </c>
    </row>
    <row r="20" spans="1:12" ht="15" customHeight="1" x14ac:dyDescent="0.25">
      <c r="A20" s="5">
        <v>43670</v>
      </c>
      <c r="B20" s="2">
        <v>0</v>
      </c>
      <c r="C20" s="2">
        <v>3</v>
      </c>
      <c r="D20" s="2">
        <f t="shared" si="0"/>
        <v>-3</v>
      </c>
      <c r="E20" s="2"/>
      <c r="F20" s="2"/>
      <c r="G20" s="2"/>
      <c r="H20" s="2"/>
      <c r="I20" s="2"/>
      <c r="J20" s="2"/>
      <c r="K20" s="59" t="s">
        <v>468</v>
      </c>
      <c r="L20" s="53" t="s">
        <v>469</v>
      </c>
    </row>
    <row r="21" spans="1:12" ht="15" customHeight="1" x14ac:dyDescent="0.25">
      <c r="A21" s="60">
        <v>43675</v>
      </c>
      <c r="B21" s="23">
        <v>0</v>
      </c>
      <c r="C21" s="23">
        <v>0</v>
      </c>
      <c r="D21" s="2">
        <f t="shared" si="0"/>
        <v>0</v>
      </c>
      <c r="E21" s="23">
        <v>28</v>
      </c>
      <c r="F21" s="23"/>
      <c r="G21" s="23"/>
      <c r="H21" s="23"/>
      <c r="I21" s="23"/>
      <c r="J21" s="23"/>
      <c r="K21" s="61" t="s">
        <v>107</v>
      </c>
      <c r="L21" s="53" t="s">
        <v>341</v>
      </c>
    </row>
    <row r="22" spans="1:12" ht="61.5" customHeight="1" x14ac:dyDescent="0.25">
      <c r="A22" s="5">
        <v>43675</v>
      </c>
      <c r="B22" s="2">
        <v>28</v>
      </c>
      <c r="C22" s="2">
        <v>0</v>
      </c>
      <c r="D22" s="2">
        <f t="shared" si="0"/>
        <v>28</v>
      </c>
      <c r="E22" s="2"/>
      <c r="F22" s="2"/>
      <c r="G22" s="2"/>
      <c r="H22" s="2"/>
      <c r="I22" s="2"/>
      <c r="J22" s="2"/>
      <c r="K22" s="59" t="s">
        <v>470</v>
      </c>
      <c r="L22" s="53" t="s">
        <v>345</v>
      </c>
    </row>
    <row r="23" spans="1:12" ht="15" customHeight="1" x14ac:dyDescent="0.25">
      <c r="A23" s="5">
        <v>43675</v>
      </c>
      <c r="B23" s="2">
        <v>9</v>
      </c>
      <c r="C23" s="2">
        <v>0</v>
      </c>
      <c r="D23" s="2">
        <f t="shared" si="0"/>
        <v>9</v>
      </c>
      <c r="E23" s="2"/>
      <c r="F23" s="2"/>
      <c r="G23" s="2"/>
      <c r="H23" s="2"/>
      <c r="I23" s="2"/>
      <c r="J23" s="2"/>
      <c r="K23" s="36" t="s">
        <v>471</v>
      </c>
    </row>
    <row r="24" spans="1:12" ht="15" customHeight="1" x14ac:dyDescent="0.25">
      <c r="A24" s="5"/>
      <c r="B24" s="2"/>
      <c r="C24" s="2"/>
      <c r="D24" s="2">
        <f t="shared" si="0"/>
        <v>0</v>
      </c>
      <c r="E24" s="2"/>
      <c r="F24" s="2"/>
      <c r="G24" s="2"/>
      <c r="H24" s="2"/>
      <c r="I24" s="2"/>
      <c r="J24" s="2"/>
      <c r="K24" s="59"/>
    </row>
    <row r="25" spans="1:12" ht="15" customHeight="1" x14ac:dyDescent="0.25">
      <c r="A25" s="5"/>
      <c r="B25" s="2"/>
      <c r="C25" s="2"/>
      <c r="D25" s="2">
        <f t="shared" si="0"/>
        <v>0</v>
      </c>
      <c r="E25" s="2"/>
      <c r="F25" s="2"/>
      <c r="G25" s="2"/>
      <c r="H25" s="2"/>
      <c r="I25" s="2"/>
      <c r="J25" s="2"/>
      <c r="K25" s="59"/>
    </row>
    <row r="26" spans="1:12" ht="15" customHeight="1" x14ac:dyDescent="0.25">
      <c r="A26" s="5"/>
      <c r="B26" s="2"/>
      <c r="C26" s="2"/>
      <c r="D26" s="2">
        <f t="shared" si="0"/>
        <v>0</v>
      </c>
      <c r="E26" s="2"/>
      <c r="F26" s="2"/>
      <c r="G26" s="2"/>
      <c r="H26" s="2"/>
      <c r="I26" s="2"/>
      <c r="J26" s="2"/>
      <c r="K26" s="4"/>
    </row>
    <row r="27" spans="1:12" x14ac:dyDescent="0.25">
      <c r="A27" s="5"/>
      <c r="B27" s="2"/>
      <c r="C27" s="2"/>
      <c r="D27" s="2">
        <f t="shared" si="0"/>
        <v>0</v>
      </c>
      <c r="E27" s="2"/>
      <c r="F27" s="2"/>
      <c r="G27" s="2"/>
      <c r="H27" s="2"/>
      <c r="I27" s="2"/>
      <c r="J27" s="2"/>
      <c r="K27" s="4"/>
    </row>
    <row r="28" spans="1:12" x14ac:dyDescent="0.25">
      <c r="A28" s="5"/>
      <c r="B28" s="2"/>
      <c r="C28" s="2"/>
      <c r="D28" s="2">
        <f t="shared" si="0"/>
        <v>0</v>
      </c>
      <c r="E28" s="2"/>
      <c r="F28" s="2"/>
      <c r="G28" s="2"/>
      <c r="H28" s="2"/>
      <c r="I28" s="2"/>
      <c r="J28" s="2"/>
      <c r="K28" s="4"/>
    </row>
    <row r="29" spans="1:12" x14ac:dyDescent="0.25">
      <c r="A29" s="5"/>
      <c r="B29" s="2"/>
      <c r="C29" s="2"/>
      <c r="D29" s="2">
        <f t="shared" si="0"/>
        <v>0</v>
      </c>
      <c r="E29" s="2"/>
      <c r="F29" s="2"/>
      <c r="G29" s="2"/>
      <c r="H29" s="2"/>
      <c r="I29" s="2"/>
      <c r="J29" s="2"/>
      <c r="K29" s="59"/>
    </row>
    <row r="30" spans="1:12" x14ac:dyDescent="0.25">
      <c r="A30" s="5"/>
      <c r="B30" s="2"/>
      <c r="C30" s="2"/>
      <c r="D30" s="2">
        <f t="shared" si="0"/>
        <v>0</v>
      </c>
      <c r="E30" s="2"/>
      <c r="F30" s="2"/>
      <c r="G30" s="2"/>
      <c r="H30" s="2"/>
      <c r="I30" s="2"/>
      <c r="J30" s="2"/>
      <c r="K30" s="59"/>
    </row>
    <row r="31" spans="1:12" x14ac:dyDescent="0.25">
      <c r="A31" s="5"/>
      <c r="B31" s="2"/>
      <c r="C31" s="2"/>
      <c r="D31" s="2">
        <f t="shared" si="0"/>
        <v>0</v>
      </c>
      <c r="E31" s="2"/>
      <c r="F31" s="2"/>
      <c r="G31" s="2"/>
      <c r="H31" s="2"/>
      <c r="I31" s="2"/>
      <c r="J31" s="2"/>
      <c r="K31" s="4"/>
    </row>
    <row r="32" spans="1:12" x14ac:dyDescent="0.25">
      <c r="A32" s="5"/>
      <c r="B32" s="2"/>
      <c r="C32" s="2"/>
      <c r="D32" s="2">
        <f t="shared" si="0"/>
        <v>0</v>
      </c>
      <c r="E32" s="2"/>
      <c r="F32" s="2"/>
      <c r="G32" s="2"/>
      <c r="H32" s="2"/>
      <c r="I32" s="2"/>
      <c r="J32" s="2"/>
      <c r="K32" s="4"/>
    </row>
    <row r="33" spans="1:11" x14ac:dyDescent="0.25">
      <c r="A33" s="5"/>
      <c r="B33" s="2"/>
      <c r="C33" s="2"/>
      <c r="D33" s="2">
        <f t="shared" si="0"/>
        <v>0</v>
      </c>
      <c r="E33" s="2"/>
      <c r="F33" s="2"/>
      <c r="G33" s="2"/>
      <c r="H33" s="2"/>
      <c r="I33" s="2"/>
      <c r="J33" s="2"/>
      <c r="K33" s="59"/>
    </row>
    <row r="34" spans="1:11" x14ac:dyDescent="0.25">
      <c r="A34" s="5"/>
      <c r="B34" s="2"/>
      <c r="C34" s="2"/>
      <c r="D34" s="2">
        <f t="shared" si="0"/>
        <v>0</v>
      </c>
      <c r="E34" s="2"/>
      <c r="F34" s="2"/>
      <c r="G34" s="2"/>
      <c r="H34" s="2"/>
      <c r="I34" s="2"/>
      <c r="J34" s="2"/>
      <c r="K34" s="4"/>
    </row>
    <row r="35" spans="1:11" x14ac:dyDescent="0.25">
      <c r="A35" s="5"/>
      <c r="B35" s="2"/>
      <c r="C35" s="2"/>
      <c r="D35" s="2">
        <f t="shared" si="0"/>
        <v>0</v>
      </c>
      <c r="E35" s="2"/>
      <c r="F35" s="2"/>
      <c r="G35" s="2"/>
      <c r="H35" s="2"/>
      <c r="I35" s="2"/>
      <c r="J35" s="2"/>
      <c r="K35" s="4"/>
    </row>
    <row r="36" spans="1:11" x14ac:dyDescent="0.25">
      <c r="A36" s="5"/>
      <c r="B36" s="2"/>
      <c r="C36" s="2"/>
      <c r="D36" s="2">
        <f t="shared" si="0"/>
        <v>0</v>
      </c>
      <c r="E36" s="2"/>
      <c r="F36" s="2"/>
      <c r="G36" s="2"/>
      <c r="H36" s="2"/>
      <c r="I36" s="2"/>
      <c r="J36" s="2"/>
      <c r="K36" s="4"/>
    </row>
    <row r="37" spans="1:11" x14ac:dyDescent="0.25">
      <c r="A37" s="5"/>
      <c r="B37" s="2"/>
      <c r="C37" s="2"/>
      <c r="D37" s="2">
        <f t="shared" si="0"/>
        <v>0</v>
      </c>
      <c r="E37" s="2"/>
      <c r="F37" s="2"/>
      <c r="G37" s="2"/>
      <c r="H37" s="2"/>
      <c r="I37" s="2"/>
      <c r="J37" s="2"/>
      <c r="K37" s="4"/>
    </row>
    <row r="38" spans="1:11" x14ac:dyDescent="0.25">
      <c r="A38" s="5"/>
      <c r="B38" s="2"/>
      <c r="C38" s="2"/>
      <c r="D38" s="2">
        <f t="shared" si="0"/>
        <v>0</v>
      </c>
      <c r="E38" s="2"/>
      <c r="F38" s="2"/>
      <c r="G38" s="2"/>
      <c r="H38" s="2"/>
      <c r="I38" s="2"/>
      <c r="J38" s="2"/>
      <c r="K38" s="4"/>
    </row>
    <row r="39" spans="1:11" x14ac:dyDescent="0.25">
      <c r="A39" s="5"/>
      <c r="B39" s="2"/>
      <c r="C39" s="2"/>
      <c r="D39" s="2">
        <f t="shared" si="0"/>
        <v>0</v>
      </c>
      <c r="E39" s="2"/>
      <c r="F39" s="2"/>
      <c r="G39" s="2"/>
      <c r="H39" s="2"/>
      <c r="I39" s="2"/>
      <c r="J39" s="2"/>
      <c r="K39" s="4"/>
    </row>
    <row r="40" spans="1:11" x14ac:dyDescent="0.25">
      <c r="A40" s="5"/>
      <c r="B40" s="2"/>
      <c r="C40" s="2"/>
      <c r="D40" s="2">
        <f t="shared" si="0"/>
        <v>0</v>
      </c>
      <c r="E40" s="2"/>
      <c r="F40" s="2"/>
      <c r="G40" s="2"/>
      <c r="H40" s="2"/>
      <c r="I40" s="2"/>
      <c r="J40" s="2"/>
      <c r="K40" s="59"/>
    </row>
    <row r="41" spans="1:11" x14ac:dyDescent="0.25">
      <c r="A41" s="5"/>
      <c r="B41" s="2"/>
      <c r="C41" s="2"/>
      <c r="D41" s="2">
        <f t="shared" si="0"/>
        <v>0</v>
      </c>
      <c r="E41" s="2"/>
      <c r="F41" s="2"/>
      <c r="G41" s="2"/>
      <c r="H41" s="2"/>
      <c r="I41" s="2"/>
      <c r="J41" s="2"/>
      <c r="K41" s="4"/>
    </row>
    <row r="42" spans="1:11" x14ac:dyDescent="0.25">
      <c r="A42" s="5"/>
      <c r="B42" s="2"/>
      <c r="C42" s="2"/>
      <c r="D42" s="2">
        <f t="shared" si="0"/>
        <v>0</v>
      </c>
      <c r="E42" s="2"/>
      <c r="F42" s="2"/>
      <c r="G42" s="2"/>
      <c r="H42" s="2"/>
      <c r="I42" s="2"/>
      <c r="J42" s="2"/>
      <c r="K42" s="4"/>
    </row>
    <row r="43" spans="1:11" x14ac:dyDescent="0.25">
      <c r="A43" s="5"/>
      <c r="B43" s="2"/>
      <c r="C43" s="2"/>
      <c r="D43" s="2">
        <f t="shared" si="0"/>
        <v>0</v>
      </c>
      <c r="E43" s="2"/>
      <c r="F43" s="2"/>
      <c r="G43" s="2"/>
      <c r="H43" s="2"/>
      <c r="I43" s="2"/>
      <c r="J43" s="2"/>
      <c r="K43" s="4"/>
    </row>
    <row r="44" spans="1:11" x14ac:dyDescent="0.25">
      <c r="A44" s="5"/>
      <c r="B44" s="2"/>
      <c r="C44" s="2"/>
      <c r="D44" s="2">
        <f t="shared" si="0"/>
        <v>0</v>
      </c>
      <c r="E44" s="2"/>
      <c r="F44" s="2"/>
      <c r="G44" s="2"/>
      <c r="H44" s="2"/>
      <c r="I44" s="2"/>
      <c r="J44" s="2"/>
      <c r="K44" s="4"/>
    </row>
  </sheetData>
  <sheetProtection algorithmName="SHA-512" hashValue="z1ayRkg7UBU02XpjYBZVW5u186FiuRvPo5ZDDO/HQb5l/jxhGHMzkEVUQs28YzR+vySJO0cdo8ZN3XFOa2gAfA==" saltValue="xDQddI2Q6ActRzOMLDc6Kw==" spinCount="100000" sheet="1" objects="1" scenarios="1" selectLockedCells="1" selectUnlockedCells="1"/>
  <customSheetViews>
    <customSheetView guid="{E5A7B818-645B-417C-A128-9FE559D9B124}" fitToPage="1">
      <pane ySplit="6" topLeftCell="A7" activePane="bottomLeft" state="frozen"/>
      <selection pane="bottomLeft" activeCell="E22" sqref="E22"/>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71" priority="1" operator="lessThan">
      <formula>0</formula>
    </cfRule>
    <cfRule type="cellIs" dxfId="17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Tabelle36">
    <pageSetUpPr fitToPage="1"/>
  </sheetPr>
  <dimension ref="A1:L44"/>
  <sheetViews>
    <sheetView workbookViewId="0">
      <selection activeCell="G15" sqref="G15"/>
    </sheetView>
  </sheetViews>
  <sheetFormatPr baseColWidth="10" defaultColWidth="11.42578125" defaultRowHeight="15" x14ac:dyDescent="0.25"/>
  <cols>
    <col min="1" max="4" width="11.42578125" style="66"/>
    <col min="5" max="5" width="11.42578125" style="84"/>
    <col min="6" max="6" width="12.85546875" style="66" customWidth="1"/>
    <col min="7" max="7" width="11.42578125" style="66"/>
    <col min="8" max="8" width="13.42578125" style="66" customWidth="1"/>
    <col min="9" max="9" width="11.42578125" style="66"/>
    <col min="10" max="10" width="13.42578125" style="66" customWidth="1"/>
    <col min="11" max="11" width="71.28515625" style="66" customWidth="1"/>
    <col min="12" max="12" width="73.42578125" style="66" customWidth="1"/>
    <col min="13" max="16384" width="11.42578125" style="66"/>
  </cols>
  <sheetData>
    <row r="1" spans="1:12" ht="26.25" x14ac:dyDescent="0.4">
      <c r="A1" s="62" t="s">
        <v>0</v>
      </c>
      <c r="B1" s="63"/>
      <c r="C1" s="63"/>
      <c r="D1" s="63"/>
      <c r="E1" s="18"/>
      <c r="F1" s="63"/>
      <c r="G1" s="63"/>
      <c r="H1" s="63"/>
      <c r="I1" s="63"/>
      <c r="J1" s="64" t="s">
        <v>37</v>
      </c>
      <c r="K1" s="65">
        <f>288+132+36+36+102</f>
        <v>594</v>
      </c>
    </row>
    <row r="2" spans="1:12" ht="19.5" thickBot="1" x14ac:dyDescent="0.35">
      <c r="A2" s="17"/>
      <c r="B2" s="18"/>
      <c r="C2" s="18"/>
      <c r="D2" s="18"/>
      <c r="E2" s="18"/>
      <c r="F2" s="67" t="s">
        <v>1</v>
      </c>
      <c r="G2" s="18"/>
      <c r="H2" s="18"/>
      <c r="I2" s="18"/>
      <c r="J2" s="68" t="s">
        <v>38</v>
      </c>
      <c r="K2" s="69">
        <f>K1-F6</f>
        <v>97</v>
      </c>
    </row>
    <row r="3" spans="1:12" ht="15.75" thickBot="1" x14ac:dyDescent="0.3">
      <c r="A3" s="17"/>
      <c r="B3" s="18"/>
      <c r="C3" s="18"/>
      <c r="D3" s="18"/>
      <c r="E3" s="18"/>
      <c r="F3" s="18">
        <f>'07.19'!F6</f>
        <v>474</v>
      </c>
      <c r="G3" s="18"/>
      <c r="H3" s="18"/>
      <c r="I3" s="18"/>
      <c r="J3" s="18"/>
      <c r="K3" s="20"/>
    </row>
    <row r="4" spans="1:12" ht="30" x14ac:dyDescent="0.25">
      <c r="A4" s="17" t="s">
        <v>2</v>
      </c>
      <c r="B4" s="70" t="s">
        <v>3</v>
      </c>
      <c r="C4" s="70" t="s">
        <v>4</v>
      </c>
      <c r="D4" s="70" t="s">
        <v>5</v>
      </c>
      <c r="E4" s="70" t="s">
        <v>91</v>
      </c>
      <c r="F4" s="71" t="s">
        <v>6</v>
      </c>
      <c r="G4" s="70" t="s">
        <v>7</v>
      </c>
      <c r="H4" s="70" t="s">
        <v>8</v>
      </c>
      <c r="I4" s="18"/>
      <c r="J4" s="72" t="s">
        <v>9</v>
      </c>
      <c r="K4" s="20" t="s">
        <v>10</v>
      </c>
    </row>
    <row r="5" spans="1:12" x14ac:dyDescent="0.25">
      <c r="A5" s="17"/>
      <c r="B5" s="18"/>
      <c r="C5" s="18"/>
      <c r="D5" s="18"/>
      <c r="E5" s="18"/>
      <c r="F5" s="73"/>
      <c r="G5" s="18"/>
      <c r="H5" s="18"/>
      <c r="I5" s="18"/>
      <c r="J5" s="74"/>
      <c r="K5" s="20"/>
      <c r="L5" s="75" t="s">
        <v>18</v>
      </c>
    </row>
    <row r="6" spans="1:12" s="82" customFormat="1" ht="15.75" thickBot="1" x14ac:dyDescent="0.3">
      <c r="A6" s="76"/>
      <c r="B6" s="77"/>
      <c r="C6" s="77"/>
      <c r="D6" s="77"/>
      <c r="E6" s="77"/>
      <c r="F6" s="78">
        <f>SUM(D:D)+F3</f>
        <v>497</v>
      </c>
      <c r="G6" s="77">
        <f>SUM(B:B)</f>
        <v>92</v>
      </c>
      <c r="H6" s="77">
        <f>SUM(C:C)</f>
        <v>69</v>
      </c>
      <c r="I6" s="77"/>
      <c r="J6" s="79">
        <f>SUM(G6:H6)+SUM(E:E)</f>
        <v>173</v>
      </c>
      <c r="K6" s="80"/>
      <c r="L6" s="81">
        <f>J6/K1</f>
        <v>0.29124579124579125</v>
      </c>
    </row>
    <row r="7" spans="1:12" ht="15" customHeight="1" x14ac:dyDescent="0.25">
      <c r="A7" s="17">
        <v>43692</v>
      </c>
      <c r="B7" s="18">
        <v>0</v>
      </c>
      <c r="C7" s="18">
        <v>10</v>
      </c>
      <c r="D7" s="18">
        <f t="shared" ref="D7:D19" si="0">B7-C7</f>
        <v>-10</v>
      </c>
      <c r="E7" s="18"/>
      <c r="F7" s="18"/>
      <c r="G7" s="18"/>
      <c r="H7" s="18"/>
      <c r="I7" s="18"/>
      <c r="J7" s="18"/>
      <c r="K7" s="19" t="s">
        <v>472</v>
      </c>
    </row>
    <row r="8" spans="1:12" ht="39" customHeight="1" x14ac:dyDescent="0.25">
      <c r="A8" s="17">
        <v>43692</v>
      </c>
      <c r="B8" s="18">
        <v>9</v>
      </c>
      <c r="C8" s="18">
        <v>9</v>
      </c>
      <c r="D8" s="18">
        <f t="shared" si="0"/>
        <v>0</v>
      </c>
      <c r="E8" s="18">
        <v>9</v>
      </c>
      <c r="F8" s="18"/>
      <c r="G8" s="18"/>
      <c r="H8" s="18"/>
      <c r="I8" s="18"/>
      <c r="J8" s="18"/>
      <c r="K8" s="19" t="s">
        <v>473</v>
      </c>
    </row>
    <row r="9" spans="1:12" ht="54.75" customHeight="1" x14ac:dyDescent="0.25">
      <c r="A9" s="17">
        <v>43692</v>
      </c>
      <c r="B9" s="18">
        <v>23</v>
      </c>
      <c r="C9" s="18">
        <v>0</v>
      </c>
      <c r="D9" s="18">
        <f t="shared" si="0"/>
        <v>23</v>
      </c>
      <c r="E9" s="18"/>
      <c r="F9" s="18"/>
      <c r="G9" s="18"/>
      <c r="H9" s="18"/>
      <c r="I9" s="18"/>
      <c r="J9" s="18"/>
      <c r="K9" s="19" t="s">
        <v>474</v>
      </c>
    </row>
    <row r="10" spans="1:12" ht="15" customHeight="1" x14ac:dyDescent="0.3">
      <c r="A10" s="17">
        <v>43693</v>
      </c>
      <c r="B10" s="18">
        <v>0</v>
      </c>
      <c r="C10" s="18">
        <v>3</v>
      </c>
      <c r="D10" s="18">
        <f t="shared" si="0"/>
        <v>-3</v>
      </c>
      <c r="E10" s="18"/>
      <c r="F10" s="18"/>
      <c r="G10" s="18"/>
      <c r="H10" s="18"/>
      <c r="I10" s="18"/>
      <c r="J10" s="18"/>
      <c r="K10" s="19" t="s">
        <v>475</v>
      </c>
      <c r="L10" s="83"/>
    </row>
    <row r="11" spans="1:12" ht="15" customHeight="1" x14ac:dyDescent="0.3">
      <c r="A11" s="17">
        <v>43696</v>
      </c>
      <c r="B11" s="18">
        <v>0</v>
      </c>
      <c r="C11" s="18">
        <v>7</v>
      </c>
      <c r="D11" s="18">
        <f t="shared" si="0"/>
        <v>-7</v>
      </c>
      <c r="E11" s="18"/>
      <c r="F11" s="18"/>
      <c r="G11" s="18"/>
      <c r="H11" s="18"/>
      <c r="I11" s="18"/>
      <c r="J11" s="18"/>
      <c r="K11" s="19" t="s">
        <v>476</v>
      </c>
      <c r="L11" s="83"/>
    </row>
    <row r="12" spans="1:12" ht="15" customHeight="1" x14ac:dyDescent="0.25">
      <c r="A12" s="17">
        <v>43699</v>
      </c>
      <c r="B12" s="18">
        <v>0</v>
      </c>
      <c r="C12" s="18">
        <v>4</v>
      </c>
      <c r="D12" s="18">
        <f t="shared" si="0"/>
        <v>-4</v>
      </c>
      <c r="E12" s="18"/>
      <c r="F12" s="18"/>
      <c r="G12" s="18"/>
      <c r="H12" s="18"/>
      <c r="I12" s="18"/>
      <c r="J12" s="18"/>
      <c r="K12" s="19" t="s">
        <v>477</v>
      </c>
      <c r="L12" s="66" t="s">
        <v>478</v>
      </c>
    </row>
    <row r="13" spans="1:12" ht="36.75" customHeight="1" x14ac:dyDescent="0.25">
      <c r="A13" s="17">
        <v>43699</v>
      </c>
      <c r="B13" s="18">
        <v>3</v>
      </c>
      <c r="C13" s="18">
        <v>3</v>
      </c>
      <c r="D13" s="18">
        <f t="shared" si="0"/>
        <v>0</v>
      </c>
      <c r="E13" s="18">
        <v>3</v>
      </c>
      <c r="F13" s="18"/>
      <c r="G13" s="18"/>
      <c r="H13" s="18"/>
      <c r="I13" s="18"/>
      <c r="J13" s="18"/>
      <c r="K13" s="19" t="s">
        <v>479</v>
      </c>
    </row>
    <row r="14" spans="1:12" ht="63.75" customHeight="1" x14ac:dyDescent="0.25">
      <c r="A14" s="17">
        <v>43699</v>
      </c>
      <c r="B14" s="18">
        <v>0</v>
      </c>
      <c r="C14" s="18">
        <v>25</v>
      </c>
      <c r="D14" s="18">
        <f t="shared" si="0"/>
        <v>-25</v>
      </c>
      <c r="E14" s="18"/>
      <c r="F14" s="18"/>
      <c r="G14" s="18"/>
      <c r="H14" s="18"/>
      <c r="I14" s="18"/>
      <c r="J14" s="18"/>
      <c r="K14" s="19" t="s">
        <v>480</v>
      </c>
    </row>
    <row r="15" spans="1:12" ht="67.5" customHeight="1" x14ac:dyDescent="0.25">
      <c r="A15" s="17">
        <v>43699</v>
      </c>
      <c r="B15" s="18">
        <v>37</v>
      </c>
      <c r="C15" s="18">
        <v>0</v>
      </c>
      <c r="D15" s="18">
        <f t="shared" si="0"/>
        <v>37</v>
      </c>
      <c r="E15" s="18"/>
      <c r="F15" s="18"/>
      <c r="G15" s="18"/>
      <c r="H15" s="18"/>
      <c r="I15" s="18"/>
      <c r="J15" s="18"/>
      <c r="K15" s="19" t="s">
        <v>481</v>
      </c>
    </row>
    <row r="16" spans="1:12" ht="15" customHeight="1" x14ac:dyDescent="0.25">
      <c r="A16" s="17">
        <v>43700</v>
      </c>
      <c r="B16" s="18">
        <v>0</v>
      </c>
      <c r="C16" s="18">
        <v>2</v>
      </c>
      <c r="D16" s="18">
        <f t="shared" si="0"/>
        <v>-2</v>
      </c>
      <c r="E16" s="18"/>
      <c r="F16" s="18"/>
      <c r="G16" s="18"/>
      <c r="H16" s="18"/>
      <c r="I16" s="18"/>
      <c r="J16" s="18"/>
      <c r="K16" s="19" t="s">
        <v>486</v>
      </c>
    </row>
    <row r="17" spans="1:11" ht="15" customHeight="1" x14ac:dyDescent="0.25">
      <c r="A17" s="17">
        <v>43704</v>
      </c>
      <c r="B17" s="18">
        <v>0</v>
      </c>
      <c r="C17" s="18">
        <v>6</v>
      </c>
      <c r="D17" s="18">
        <f t="shared" si="0"/>
        <v>-6</v>
      </c>
      <c r="E17" s="18"/>
      <c r="F17" s="18"/>
      <c r="G17" s="18"/>
      <c r="H17" s="18"/>
      <c r="I17" s="18"/>
      <c r="J17" s="18"/>
      <c r="K17" s="19" t="s">
        <v>483</v>
      </c>
    </row>
    <row r="18" spans="1:11" ht="37.5" customHeight="1" x14ac:dyDescent="0.25">
      <c r="A18" s="17">
        <v>43704</v>
      </c>
      <c r="B18" s="18">
        <v>8</v>
      </c>
      <c r="C18" s="18">
        <v>0</v>
      </c>
      <c r="D18" s="18">
        <f t="shared" si="0"/>
        <v>8</v>
      </c>
      <c r="E18" s="18"/>
      <c r="F18" s="18"/>
      <c r="G18" s="18"/>
      <c r="H18" s="18"/>
      <c r="I18" s="18"/>
      <c r="J18" s="18"/>
      <c r="K18" s="19" t="s">
        <v>484</v>
      </c>
    </row>
    <row r="19" spans="1:11" ht="15" customHeight="1" x14ac:dyDescent="0.25">
      <c r="A19" s="17">
        <v>43705</v>
      </c>
      <c r="B19" s="18">
        <v>12</v>
      </c>
      <c r="C19" s="18">
        <v>0</v>
      </c>
      <c r="D19" s="18">
        <f t="shared" si="0"/>
        <v>12</v>
      </c>
      <c r="E19" s="18"/>
      <c r="F19" s="18"/>
      <c r="G19" s="18"/>
      <c r="H19" s="18"/>
      <c r="I19" s="18"/>
      <c r="J19" s="18"/>
      <c r="K19" s="19" t="s">
        <v>485</v>
      </c>
    </row>
    <row r="20" spans="1:11" ht="15" customHeight="1" x14ac:dyDescent="0.25">
      <c r="A20" s="17"/>
      <c r="B20" s="18"/>
      <c r="C20" s="18"/>
      <c r="D20" s="18">
        <f t="shared" ref="D20:D44" si="1">B20-C20</f>
        <v>0</v>
      </c>
      <c r="E20" s="18"/>
      <c r="F20" s="18"/>
      <c r="G20" s="18"/>
      <c r="H20" s="18"/>
      <c r="I20" s="18"/>
      <c r="J20" s="18"/>
      <c r="K20" s="19"/>
    </row>
    <row r="21" spans="1:11" ht="15" customHeight="1" x14ac:dyDescent="0.25">
      <c r="A21" s="21"/>
      <c r="B21" s="22"/>
      <c r="C21" s="22"/>
      <c r="D21" s="18">
        <f t="shared" si="1"/>
        <v>0</v>
      </c>
      <c r="E21" s="22"/>
      <c r="F21" s="22"/>
      <c r="G21" s="22"/>
      <c r="H21" s="22"/>
      <c r="I21" s="22"/>
      <c r="J21" s="22"/>
      <c r="K21" s="25"/>
    </row>
    <row r="22" spans="1:11" ht="15" customHeight="1" x14ac:dyDescent="0.25">
      <c r="A22" s="17"/>
      <c r="B22" s="18"/>
      <c r="C22" s="18"/>
      <c r="D22" s="18">
        <f t="shared" si="1"/>
        <v>0</v>
      </c>
      <c r="E22" s="18"/>
      <c r="F22" s="18"/>
      <c r="G22" s="18"/>
      <c r="H22" s="18"/>
      <c r="I22" s="18"/>
      <c r="J22" s="18"/>
      <c r="K22" s="19"/>
    </row>
    <row r="23" spans="1:11" ht="15" customHeight="1" x14ac:dyDescent="0.25">
      <c r="A23" s="17"/>
      <c r="B23" s="18"/>
      <c r="C23" s="18"/>
      <c r="D23" s="18">
        <f t="shared" si="1"/>
        <v>0</v>
      </c>
      <c r="E23" s="18"/>
      <c r="F23" s="18"/>
      <c r="G23" s="18"/>
      <c r="H23" s="18"/>
      <c r="I23" s="18"/>
      <c r="J23" s="18"/>
      <c r="K23" s="75"/>
    </row>
    <row r="24" spans="1:11" ht="15" customHeight="1" x14ac:dyDescent="0.25">
      <c r="A24" s="17"/>
      <c r="B24" s="18"/>
      <c r="C24" s="18"/>
      <c r="D24" s="18">
        <f t="shared" si="1"/>
        <v>0</v>
      </c>
      <c r="E24" s="18"/>
      <c r="F24" s="18"/>
      <c r="G24" s="18"/>
      <c r="H24" s="18"/>
      <c r="I24" s="18"/>
      <c r="J24" s="18"/>
      <c r="K24" s="19"/>
    </row>
    <row r="25" spans="1:11" ht="15" customHeight="1" x14ac:dyDescent="0.25">
      <c r="A25" s="17"/>
      <c r="B25" s="18"/>
      <c r="C25" s="18"/>
      <c r="D25" s="18">
        <f t="shared" si="1"/>
        <v>0</v>
      </c>
      <c r="E25" s="18"/>
      <c r="F25" s="18"/>
      <c r="G25" s="18"/>
      <c r="H25" s="18"/>
      <c r="I25" s="18"/>
      <c r="J25" s="18"/>
      <c r="K25" s="19"/>
    </row>
    <row r="26" spans="1:11" ht="15" customHeight="1" x14ac:dyDescent="0.25">
      <c r="A26" s="17"/>
      <c r="B26" s="18"/>
      <c r="C26" s="18"/>
      <c r="D26" s="18">
        <f t="shared" si="1"/>
        <v>0</v>
      </c>
      <c r="E26" s="18"/>
      <c r="F26" s="18"/>
      <c r="G26" s="18"/>
      <c r="H26" s="18"/>
      <c r="I26" s="18"/>
      <c r="J26" s="18"/>
      <c r="K26" s="20"/>
    </row>
    <row r="27" spans="1:11" x14ac:dyDescent="0.25">
      <c r="A27" s="17"/>
      <c r="B27" s="18"/>
      <c r="C27" s="18"/>
      <c r="D27" s="18">
        <f t="shared" si="1"/>
        <v>0</v>
      </c>
      <c r="E27" s="18"/>
      <c r="F27" s="18"/>
      <c r="G27" s="18"/>
      <c r="H27" s="18"/>
      <c r="I27" s="18"/>
      <c r="J27" s="18"/>
      <c r="K27" s="20"/>
    </row>
    <row r="28" spans="1:11" x14ac:dyDescent="0.25">
      <c r="A28" s="17"/>
      <c r="B28" s="18"/>
      <c r="C28" s="18"/>
      <c r="D28" s="18">
        <f t="shared" si="1"/>
        <v>0</v>
      </c>
      <c r="E28" s="18"/>
      <c r="F28" s="18"/>
      <c r="G28" s="18"/>
      <c r="H28" s="18"/>
      <c r="I28" s="18"/>
      <c r="J28" s="18"/>
      <c r="K28" s="20"/>
    </row>
    <row r="29" spans="1:11" x14ac:dyDescent="0.25">
      <c r="A29" s="17"/>
      <c r="B29" s="18"/>
      <c r="C29" s="18"/>
      <c r="D29" s="18">
        <f t="shared" si="1"/>
        <v>0</v>
      </c>
      <c r="E29" s="18"/>
      <c r="F29" s="18"/>
      <c r="G29" s="18"/>
      <c r="H29" s="18"/>
      <c r="I29" s="18"/>
      <c r="J29" s="18"/>
      <c r="K29" s="19"/>
    </row>
    <row r="30" spans="1:11" x14ac:dyDescent="0.25">
      <c r="A30" s="17"/>
      <c r="B30" s="18"/>
      <c r="C30" s="18"/>
      <c r="D30" s="18">
        <f t="shared" si="1"/>
        <v>0</v>
      </c>
      <c r="E30" s="18"/>
      <c r="F30" s="18"/>
      <c r="G30" s="18"/>
      <c r="H30" s="18"/>
      <c r="I30" s="18"/>
      <c r="J30" s="18"/>
      <c r="K30" s="19"/>
    </row>
    <row r="31" spans="1:11" x14ac:dyDescent="0.25">
      <c r="A31" s="17"/>
      <c r="B31" s="18"/>
      <c r="C31" s="18"/>
      <c r="D31" s="18">
        <f t="shared" si="1"/>
        <v>0</v>
      </c>
      <c r="E31" s="18"/>
      <c r="F31" s="18"/>
      <c r="G31" s="18"/>
      <c r="H31" s="18"/>
      <c r="I31" s="18"/>
      <c r="J31" s="18"/>
      <c r="K31" s="20"/>
    </row>
    <row r="32" spans="1:11" x14ac:dyDescent="0.25">
      <c r="A32" s="17"/>
      <c r="B32" s="18"/>
      <c r="C32" s="18"/>
      <c r="D32" s="18">
        <f t="shared" si="1"/>
        <v>0</v>
      </c>
      <c r="E32" s="18"/>
      <c r="F32" s="18"/>
      <c r="G32" s="18"/>
      <c r="H32" s="18"/>
      <c r="I32" s="18"/>
      <c r="J32" s="18"/>
      <c r="K32" s="20"/>
    </row>
    <row r="33" spans="1:11" x14ac:dyDescent="0.25">
      <c r="A33" s="17"/>
      <c r="B33" s="18"/>
      <c r="C33" s="18"/>
      <c r="D33" s="18">
        <f t="shared" si="1"/>
        <v>0</v>
      </c>
      <c r="E33" s="18"/>
      <c r="F33" s="18"/>
      <c r="G33" s="18"/>
      <c r="H33" s="18"/>
      <c r="I33" s="18"/>
      <c r="J33" s="18"/>
      <c r="K33" s="19"/>
    </row>
    <row r="34" spans="1:11" x14ac:dyDescent="0.25">
      <c r="A34" s="17"/>
      <c r="B34" s="18"/>
      <c r="C34" s="18"/>
      <c r="D34" s="18">
        <f t="shared" si="1"/>
        <v>0</v>
      </c>
      <c r="E34" s="18"/>
      <c r="F34" s="18"/>
      <c r="G34" s="18"/>
      <c r="H34" s="18"/>
      <c r="I34" s="18"/>
      <c r="J34" s="18"/>
      <c r="K34" s="20"/>
    </row>
    <row r="35" spans="1:11" x14ac:dyDescent="0.25">
      <c r="A35" s="17"/>
      <c r="B35" s="18"/>
      <c r="C35" s="18"/>
      <c r="D35" s="18">
        <f t="shared" si="1"/>
        <v>0</v>
      </c>
      <c r="E35" s="18"/>
      <c r="F35" s="18"/>
      <c r="G35" s="18"/>
      <c r="H35" s="18"/>
      <c r="I35" s="18"/>
      <c r="J35" s="18"/>
      <c r="K35" s="20"/>
    </row>
    <row r="36" spans="1:11" x14ac:dyDescent="0.25">
      <c r="A36" s="17"/>
      <c r="B36" s="18"/>
      <c r="C36" s="18"/>
      <c r="D36" s="18">
        <f t="shared" si="1"/>
        <v>0</v>
      </c>
      <c r="E36" s="18"/>
      <c r="F36" s="18"/>
      <c r="G36" s="18"/>
      <c r="H36" s="18"/>
      <c r="I36" s="18"/>
      <c r="J36" s="18"/>
      <c r="K36" s="20"/>
    </row>
    <row r="37" spans="1:11" x14ac:dyDescent="0.25">
      <c r="A37" s="17"/>
      <c r="B37" s="18"/>
      <c r="C37" s="18"/>
      <c r="D37" s="18">
        <f t="shared" si="1"/>
        <v>0</v>
      </c>
      <c r="E37" s="18"/>
      <c r="F37" s="18"/>
      <c r="G37" s="18"/>
      <c r="H37" s="18"/>
      <c r="I37" s="18"/>
      <c r="J37" s="18"/>
      <c r="K37" s="20"/>
    </row>
    <row r="38" spans="1:11" x14ac:dyDescent="0.25">
      <c r="A38" s="17"/>
      <c r="B38" s="18"/>
      <c r="C38" s="18"/>
      <c r="D38" s="18">
        <f t="shared" si="1"/>
        <v>0</v>
      </c>
      <c r="E38" s="18"/>
      <c r="F38" s="18"/>
      <c r="G38" s="18"/>
      <c r="H38" s="18"/>
      <c r="I38" s="18"/>
      <c r="J38" s="18"/>
      <c r="K38" s="20"/>
    </row>
    <row r="39" spans="1:11" x14ac:dyDescent="0.25">
      <c r="A39" s="17"/>
      <c r="B39" s="18"/>
      <c r="C39" s="18"/>
      <c r="D39" s="18">
        <f t="shared" si="1"/>
        <v>0</v>
      </c>
      <c r="E39" s="18"/>
      <c r="F39" s="18"/>
      <c r="G39" s="18"/>
      <c r="H39" s="18"/>
      <c r="I39" s="18"/>
      <c r="J39" s="18"/>
      <c r="K39" s="20"/>
    </row>
    <row r="40" spans="1:11" x14ac:dyDescent="0.25">
      <c r="A40" s="17"/>
      <c r="B40" s="18"/>
      <c r="C40" s="18"/>
      <c r="D40" s="18">
        <f t="shared" si="1"/>
        <v>0</v>
      </c>
      <c r="E40" s="18"/>
      <c r="F40" s="18"/>
      <c r="G40" s="18"/>
      <c r="H40" s="18"/>
      <c r="I40" s="18"/>
      <c r="J40" s="18"/>
      <c r="K40" s="19"/>
    </row>
    <row r="41" spans="1:11" x14ac:dyDescent="0.25">
      <c r="A41" s="17"/>
      <c r="B41" s="18"/>
      <c r="C41" s="18"/>
      <c r="D41" s="18">
        <f t="shared" si="1"/>
        <v>0</v>
      </c>
      <c r="E41" s="18"/>
      <c r="F41" s="18"/>
      <c r="G41" s="18"/>
      <c r="H41" s="18"/>
      <c r="I41" s="18"/>
      <c r="J41" s="18"/>
      <c r="K41" s="20"/>
    </row>
    <row r="42" spans="1:11" x14ac:dyDescent="0.25">
      <c r="A42" s="17"/>
      <c r="B42" s="18"/>
      <c r="C42" s="18"/>
      <c r="D42" s="18">
        <f t="shared" si="1"/>
        <v>0</v>
      </c>
      <c r="E42" s="18"/>
      <c r="F42" s="18"/>
      <c r="G42" s="18"/>
      <c r="H42" s="18"/>
      <c r="I42" s="18"/>
      <c r="J42" s="18"/>
      <c r="K42" s="20"/>
    </row>
    <row r="43" spans="1:11" x14ac:dyDescent="0.25">
      <c r="A43" s="17"/>
      <c r="B43" s="18"/>
      <c r="C43" s="18"/>
      <c r="D43" s="18">
        <f t="shared" si="1"/>
        <v>0</v>
      </c>
      <c r="E43" s="18"/>
      <c r="F43" s="18"/>
      <c r="G43" s="18"/>
      <c r="H43" s="18"/>
      <c r="I43" s="18"/>
      <c r="J43" s="18"/>
      <c r="K43" s="20"/>
    </row>
    <row r="44" spans="1:11" x14ac:dyDescent="0.25">
      <c r="A44" s="17"/>
      <c r="B44" s="18"/>
      <c r="C44" s="18"/>
      <c r="D44" s="18">
        <f t="shared" si="1"/>
        <v>0</v>
      </c>
      <c r="E44" s="18"/>
      <c r="F44" s="18"/>
      <c r="G44" s="18"/>
      <c r="H44" s="18"/>
      <c r="I44" s="18"/>
      <c r="J44" s="18"/>
      <c r="K44" s="20"/>
    </row>
  </sheetData>
  <sheetProtection algorithmName="SHA-512" hashValue="bLwX/swJyTcMevxGIrEJEljVl9TRr1OChnMNfe9jP5iWstnZqKn3UN92GftcRUmtaTlbdoabJ+RnjcBYk+AG6w==" saltValue="ZoLuX9tzxOfegvzMfhZhGQ==" spinCount="100000" sheet="1" objects="1" scenarios="1" selectLockedCells="1" selectUnlockedCells="1"/>
  <sortState xmlns:xlrd2="http://schemas.microsoft.com/office/spreadsheetml/2017/richdata2" ref="A7:L19">
    <sortCondition ref="A7"/>
  </sortState>
  <customSheetViews>
    <customSheetView guid="{E5A7B818-645B-417C-A128-9FE559D9B124}" fitToPage="1">
      <selection activeCell="G15" sqref="G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69" priority="1" operator="lessThan">
      <formula>0</formula>
    </cfRule>
    <cfRule type="cellIs" dxfId="16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Tabelle37">
    <pageSetUpPr fitToPage="1"/>
  </sheetPr>
  <dimension ref="A1:L44"/>
  <sheetViews>
    <sheetView workbookViewId="0">
      <pane ySplit="6" topLeftCell="A28" activePane="bottomLeft" state="frozen"/>
      <selection pane="bottomLeft" activeCell="L37" sqref="L37"/>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25</v>
      </c>
    </row>
    <row r="3" spans="1:12" ht="15.75" thickBot="1" x14ac:dyDescent="0.3">
      <c r="A3" s="5"/>
      <c r="B3" s="2"/>
      <c r="C3" s="2"/>
      <c r="D3" s="2"/>
      <c r="E3" s="2"/>
      <c r="F3" s="2">
        <f>'08.19'!F6</f>
        <v>497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569</v>
      </c>
      <c r="G6" s="30">
        <f>SUM(B:B)</f>
        <v>234</v>
      </c>
      <c r="H6" s="30">
        <f>SUM(C:C)</f>
        <v>162</v>
      </c>
      <c r="I6" s="30"/>
      <c r="J6" s="33">
        <f>SUM(G6:H6)+SUM(E:E)</f>
        <v>571</v>
      </c>
      <c r="K6" s="34"/>
      <c r="L6" s="50">
        <f>J6/K1</f>
        <v>0.96127946127946129</v>
      </c>
    </row>
    <row r="7" spans="1:12" ht="39" customHeight="1" x14ac:dyDescent="0.25">
      <c r="A7" s="17">
        <v>43711</v>
      </c>
      <c r="B7" s="18">
        <v>0</v>
      </c>
      <c r="C7" s="18">
        <v>13</v>
      </c>
      <c r="D7" s="2">
        <f t="shared" ref="D7:D44" si="0">B7-C7</f>
        <v>-13</v>
      </c>
      <c r="E7" s="2"/>
      <c r="F7" s="2"/>
      <c r="G7" s="2"/>
      <c r="H7" s="2"/>
      <c r="I7" s="2"/>
      <c r="J7" s="2"/>
      <c r="K7" s="19" t="s">
        <v>487</v>
      </c>
      <c r="L7" s="27" t="s">
        <v>489</v>
      </c>
    </row>
    <row r="8" spans="1:12" ht="15" customHeight="1" x14ac:dyDescent="0.25">
      <c r="A8" s="17">
        <v>43711</v>
      </c>
      <c r="B8" s="18">
        <v>5</v>
      </c>
      <c r="C8" s="18">
        <v>0</v>
      </c>
      <c r="D8" s="2">
        <f t="shared" si="0"/>
        <v>5</v>
      </c>
      <c r="E8" s="2"/>
      <c r="F8" s="2"/>
      <c r="G8" s="2"/>
      <c r="H8" s="2"/>
      <c r="I8" s="2"/>
      <c r="J8" s="2"/>
      <c r="K8" s="19" t="s">
        <v>488</v>
      </c>
    </row>
    <row r="9" spans="1:12" ht="15" customHeight="1" x14ac:dyDescent="0.25">
      <c r="A9" s="17">
        <v>43714</v>
      </c>
      <c r="B9" s="18">
        <v>0</v>
      </c>
      <c r="C9" s="18">
        <v>0</v>
      </c>
      <c r="D9" s="2">
        <f t="shared" si="0"/>
        <v>0</v>
      </c>
      <c r="E9" s="2">
        <v>39</v>
      </c>
      <c r="F9" s="2"/>
      <c r="G9" s="2"/>
      <c r="H9" s="2"/>
      <c r="I9" s="2"/>
      <c r="J9" s="2"/>
      <c r="K9" s="61" t="s">
        <v>107</v>
      </c>
      <c r="L9" s="53" t="s">
        <v>341</v>
      </c>
    </row>
    <row r="10" spans="1:12" ht="38.25" customHeight="1" x14ac:dyDescent="0.3">
      <c r="A10" s="17">
        <v>43714</v>
      </c>
      <c r="B10" s="18">
        <v>0</v>
      </c>
      <c r="C10" s="18">
        <v>11</v>
      </c>
      <c r="D10" s="2">
        <f t="shared" si="0"/>
        <v>-11</v>
      </c>
      <c r="E10" s="2"/>
      <c r="F10" s="2"/>
      <c r="G10" s="2"/>
      <c r="H10" s="2"/>
      <c r="I10" s="2"/>
      <c r="J10" s="2"/>
      <c r="K10" s="19" t="s">
        <v>490</v>
      </c>
      <c r="L10" s="38"/>
    </row>
    <row r="11" spans="1:12" ht="38.25" customHeight="1" x14ac:dyDescent="0.3">
      <c r="A11" s="17">
        <v>43714</v>
      </c>
      <c r="B11" s="18">
        <v>15</v>
      </c>
      <c r="C11" s="18">
        <v>0</v>
      </c>
      <c r="D11" s="2">
        <f t="shared" si="0"/>
        <v>15</v>
      </c>
      <c r="E11" s="2"/>
      <c r="F11" s="2"/>
      <c r="G11" s="2"/>
      <c r="H11" s="2"/>
      <c r="I11" s="2"/>
      <c r="J11" s="2"/>
      <c r="K11" s="19" t="s">
        <v>491</v>
      </c>
      <c r="L11" s="38"/>
    </row>
    <row r="12" spans="1:12" ht="67.5" customHeight="1" x14ac:dyDescent="0.25">
      <c r="A12" s="17">
        <v>43715</v>
      </c>
      <c r="B12" s="18">
        <v>36</v>
      </c>
      <c r="C12" s="18">
        <v>0</v>
      </c>
      <c r="D12" s="2">
        <f t="shared" si="0"/>
        <v>36</v>
      </c>
      <c r="E12" s="2"/>
      <c r="F12" s="2"/>
      <c r="G12" s="2"/>
      <c r="H12" s="2"/>
      <c r="I12" s="2"/>
      <c r="J12" s="2"/>
      <c r="K12" s="19" t="s">
        <v>492</v>
      </c>
      <c r="L12" s="27" t="s">
        <v>345</v>
      </c>
    </row>
    <row r="13" spans="1:12" ht="15" customHeight="1" x14ac:dyDescent="0.25">
      <c r="A13" s="17">
        <v>43717</v>
      </c>
      <c r="B13" s="18">
        <v>3</v>
      </c>
      <c r="C13" s="18">
        <v>0</v>
      </c>
      <c r="D13" s="2">
        <f t="shared" si="0"/>
        <v>3</v>
      </c>
      <c r="E13" s="2"/>
      <c r="F13" s="2"/>
      <c r="G13" s="2"/>
      <c r="H13" s="2"/>
      <c r="I13" s="2"/>
      <c r="J13" s="2"/>
      <c r="K13" s="19" t="s">
        <v>493</v>
      </c>
      <c r="L13" s="27" t="s">
        <v>345</v>
      </c>
    </row>
    <row r="14" spans="1:12" ht="15" customHeight="1" x14ac:dyDescent="0.25">
      <c r="A14" s="17">
        <v>43718</v>
      </c>
      <c r="B14" s="18">
        <v>0</v>
      </c>
      <c r="C14" s="18">
        <v>7</v>
      </c>
      <c r="D14" s="2">
        <f t="shared" si="0"/>
        <v>-7</v>
      </c>
      <c r="E14" s="2"/>
      <c r="F14" s="2"/>
      <c r="G14" s="2"/>
      <c r="H14" s="2"/>
      <c r="I14" s="2"/>
      <c r="J14" s="2"/>
      <c r="K14" s="19" t="s">
        <v>494</v>
      </c>
      <c r="L14" s="27" t="s">
        <v>495</v>
      </c>
    </row>
    <row r="15" spans="1:12" ht="37.5" customHeight="1" x14ac:dyDescent="0.25">
      <c r="A15" s="17">
        <v>43718</v>
      </c>
      <c r="B15" s="18">
        <v>8</v>
      </c>
      <c r="C15" s="18">
        <v>8</v>
      </c>
      <c r="D15" s="2">
        <f t="shared" si="0"/>
        <v>0</v>
      </c>
      <c r="E15" s="2">
        <v>8</v>
      </c>
      <c r="F15" s="2"/>
      <c r="G15" s="2"/>
      <c r="H15" s="2"/>
      <c r="I15" s="2"/>
      <c r="J15" s="2"/>
      <c r="K15" s="19" t="s">
        <v>496</v>
      </c>
    </row>
    <row r="16" spans="1:12" ht="15" customHeight="1" x14ac:dyDescent="0.25">
      <c r="A16" s="17">
        <v>43718</v>
      </c>
      <c r="B16" s="18">
        <v>1</v>
      </c>
      <c r="C16" s="18">
        <v>0</v>
      </c>
      <c r="D16" s="2">
        <f t="shared" si="0"/>
        <v>1</v>
      </c>
      <c r="E16" s="2"/>
      <c r="F16" s="2"/>
      <c r="G16" s="2"/>
      <c r="H16" s="2"/>
      <c r="I16" s="2"/>
      <c r="J16" s="2"/>
      <c r="K16" s="57" t="s">
        <v>497</v>
      </c>
    </row>
    <row r="17" spans="1:12" ht="33" customHeight="1" x14ac:dyDescent="0.25">
      <c r="A17" s="17">
        <v>43724</v>
      </c>
      <c r="B17" s="18">
        <v>0</v>
      </c>
      <c r="C17" s="18">
        <v>19</v>
      </c>
      <c r="D17" s="2">
        <f t="shared" si="0"/>
        <v>-19</v>
      </c>
      <c r="E17" s="2"/>
      <c r="F17" s="2"/>
      <c r="G17" s="2"/>
      <c r="H17" s="2"/>
      <c r="I17" s="2"/>
      <c r="J17" s="2"/>
      <c r="K17" s="19" t="s">
        <v>498</v>
      </c>
    </row>
    <row r="18" spans="1:12" ht="15" customHeight="1" x14ac:dyDescent="0.25">
      <c r="A18" s="17">
        <v>43724</v>
      </c>
      <c r="B18" s="18">
        <v>6</v>
      </c>
      <c r="C18" s="18">
        <v>0</v>
      </c>
      <c r="D18" s="2">
        <f t="shared" si="0"/>
        <v>6</v>
      </c>
      <c r="E18" s="2"/>
      <c r="F18" s="2"/>
      <c r="G18" s="2"/>
      <c r="H18" s="2"/>
      <c r="I18" s="2"/>
      <c r="J18" s="2"/>
      <c r="K18" s="19" t="s">
        <v>499</v>
      </c>
    </row>
    <row r="19" spans="1:12" ht="51" customHeight="1" x14ac:dyDescent="0.25">
      <c r="A19" s="17">
        <v>43724</v>
      </c>
      <c r="B19" s="18">
        <v>24</v>
      </c>
      <c r="C19" s="18">
        <v>0</v>
      </c>
      <c r="D19" s="2">
        <f t="shared" si="0"/>
        <v>24</v>
      </c>
      <c r="E19" s="2"/>
      <c r="F19" s="2"/>
      <c r="G19" s="2"/>
      <c r="H19" s="2"/>
      <c r="I19" s="2"/>
      <c r="J19" s="2"/>
      <c r="K19" s="19" t="s">
        <v>500</v>
      </c>
    </row>
    <row r="20" spans="1:12" ht="40.5" customHeight="1" x14ac:dyDescent="0.25">
      <c r="A20" s="17">
        <v>43724</v>
      </c>
      <c r="B20" s="18">
        <v>0</v>
      </c>
      <c r="C20" s="18">
        <v>15</v>
      </c>
      <c r="D20" s="2">
        <f t="shared" si="0"/>
        <v>-15</v>
      </c>
      <c r="E20" s="2"/>
      <c r="F20" s="2"/>
      <c r="G20" s="2"/>
      <c r="H20" s="2"/>
      <c r="I20" s="2"/>
      <c r="J20" s="2"/>
      <c r="K20" s="19" t="s">
        <v>501</v>
      </c>
      <c r="L20" s="27" t="s">
        <v>502</v>
      </c>
    </row>
    <row r="21" spans="1:12" ht="38.25" customHeight="1" x14ac:dyDescent="0.25">
      <c r="A21" s="21">
        <v>43724</v>
      </c>
      <c r="B21" s="22">
        <v>15</v>
      </c>
      <c r="C21" s="22">
        <v>0</v>
      </c>
      <c r="D21" s="2">
        <f t="shared" si="0"/>
        <v>15</v>
      </c>
      <c r="E21" s="23"/>
      <c r="F21" s="23"/>
      <c r="G21" s="23"/>
      <c r="H21" s="23"/>
      <c r="I21" s="23"/>
      <c r="J21" s="23"/>
      <c r="K21" s="25" t="s">
        <v>503</v>
      </c>
    </row>
    <row r="22" spans="1:12" ht="15" customHeight="1" x14ac:dyDescent="0.25">
      <c r="A22" s="17">
        <v>43725</v>
      </c>
      <c r="B22" s="18">
        <v>0</v>
      </c>
      <c r="C22" s="18">
        <v>4</v>
      </c>
      <c r="D22" s="2">
        <f t="shared" si="0"/>
        <v>-4</v>
      </c>
      <c r="E22" s="2"/>
      <c r="F22" s="2"/>
      <c r="G22" s="2"/>
      <c r="H22" s="2"/>
      <c r="I22" s="2"/>
      <c r="J22" s="2"/>
      <c r="K22" s="19" t="s">
        <v>504</v>
      </c>
    </row>
    <row r="23" spans="1:12" ht="54.75" customHeight="1" x14ac:dyDescent="0.25">
      <c r="A23" s="17">
        <v>43728</v>
      </c>
      <c r="B23" s="18">
        <v>0</v>
      </c>
      <c r="C23" s="18">
        <v>24</v>
      </c>
      <c r="D23" s="2">
        <f t="shared" si="0"/>
        <v>-24</v>
      </c>
      <c r="E23" s="2"/>
      <c r="F23" s="2"/>
      <c r="G23" s="2"/>
      <c r="H23" s="2"/>
      <c r="I23" s="2"/>
      <c r="J23" s="2"/>
      <c r="K23" s="49" t="s">
        <v>505</v>
      </c>
    </row>
    <row r="24" spans="1:12" ht="15" customHeight="1" x14ac:dyDescent="0.25">
      <c r="A24" s="17">
        <v>43728</v>
      </c>
      <c r="B24" s="18">
        <v>5</v>
      </c>
      <c r="C24" s="18">
        <v>0</v>
      </c>
      <c r="D24" s="2">
        <f t="shared" si="0"/>
        <v>5</v>
      </c>
      <c r="E24" s="2"/>
      <c r="F24" s="2"/>
      <c r="G24" s="2"/>
      <c r="H24" s="2"/>
      <c r="I24" s="2"/>
      <c r="J24" s="2"/>
      <c r="K24" s="19" t="s">
        <v>506</v>
      </c>
    </row>
    <row r="25" spans="1:12" ht="36.75" customHeight="1" x14ac:dyDescent="0.25">
      <c r="A25" s="17">
        <v>43731</v>
      </c>
      <c r="B25" s="18">
        <v>0</v>
      </c>
      <c r="C25" s="18">
        <v>12</v>
      </c>
      <c r="D25" s="2">
        <f t="shared" si="0"/>
        <v>-12</v>
      </c>
      <c r="E25" s="2"/>
      <c r="F25" s="2"/>
      <c r="G25" s="2"/>
      <c r="H25" s="2"/>
      <c r="I25" s="2"/>
      <c r="J25" s="2"/>
      <c r="K25" s="19" t="s">
        <v>510</v>
      </c>
      <c r="L25" s="27" t="s">
        <v>507</v>
      </c>
    </row>
    <row r="26" spans="1:12" ht="15" customHeight="1" x14ac:dyDescent="0.25">
      <c r="A26" s="17">
        <v>43731</v>
      </c>
      <c r="B26" s="18">
        <v>0</v>
      </c>
      <c r="C26" s="18">
        <v>0</v>
      </c>
      <c r="D26" s="2">
        <f t="shared" si="0"/>
        <v>0</v>
      </c>
      <c r="E26" s="2">
        <v>40</v>
      </c>
      <c r="F26" s="2"/>
      <c r="G26" s="2"/>
      <c r="H26" s="2"/>
      <c r="I26" s="2"/>
      <c r="J26" s="2"/>
      <c r="K26" s="61" t="s">
        <v>107</v>
      </c>
      <c r="L26" s="53" t="s">
        <v>341</v>
      </c>
    </row>
    <row r="27" spans="1:12" x14ac:dyDescent="0.25">
      <c r="A27" s="17">
        <v>43731</v>
      </c>
      <c r="B27" s="18">
        <v>0</v>
      </c>
      <c r="C27" s="18">
        <v>0</v>
      </c>
      <c r="D27" s="2">
        <f t="shared" si="0"/>
        <v>0</v>
      </c>
      <c r="E27" s="2">
        <v>4</v>
      </c>
      <c r="F27" s="2"/>
      <c r="G27" s="2"/>
      <c r="H27" s="2"/>
      <c r="I27" s="2"/>
      <c r="J27" s="2"/>
      <c r="K27" s="20" t="s">
        <v>508</v>
      </c>
      <c r="L27" s="27" t="s">
        <v>509</v>
      </c>
    </row>
    <row r="28" spans="1:12" x14ac:dyDescent="0.25">
      <c r="A28" s="17">
        <v>43731</v>
      </c>
      <c r="B28" s="18">
        <v>0</v>
      </c>
      <c r="C28" s="18">
        <v>4</v>
      </c>
      <c r="D28" s="2">
        <f t="shared" si="0"/>
        <v>-4</v>
      </c>
      <c r="E28" s="2"/>
      <c r="F28" s="2"/>
      <c r="G28" s="2"/>
      <c r="H28" s="2"/>
      <c r="I28" s="2"/>
      <c r="J28" s="2"/>
      <c r="K28" s="20" t="s">
        <v>511</v>
      </c>
      <c r="L28" s="27" t="s">
        <v>513</v>
      </c>
    </row>
    <row r="29" spans="1:12" ht="75" x14ac:dyDescent="0.25">
      <c r="A29" s="17">
        <v>43732</v>
      </c>
      <c r="B29" s="18">
        <v>40</v>
      </c>
      <c r="C29" s="18">
        <v>0</v>
      </c>
      <c r="D29" s="2">
        <f t="shared" si="0"/>
        <v>40</v>
      </c>
      <c r="E29" s="2"/>
      <c r="F29" s="2"/>
      <c r="G29" s="2"/>
      <c r="H29" s="2"/>
      <c r="I29" s="2"/>
      <c r="J29" s="2"/>
      <c r="K29" s="19" t="s">
        <v>512</v>
      </c>
      <c r="L29" s="27" t="s">
        <v>345</v>
      </c>
    </row>
    <row r="30" spans="1:12" x14ac:dyDescent="0.25">
      <c r="A30" s="17">
        <v>43732</v>
      </c>
      <c r="B30" s="18">
        <v>0</v>
      </c>
      <c r="C30" s="18">
        <v>4</v>
      </c>
      <c r="D30" s="2">
        <f t="shared" si="0"/>
        <v>-4</v>
      </c>
      <c r="E30" s="2"/>
      <c r="F30" s="2"/>
      <c r="G30" s="2"/>
      <c r="H30" s="2"/>
      <c r="I30" s="2"/>
      <c r="J30" s="2"/>
      <c r="K30" s="19" t="s">
        <v>514</v>
      </c>
    </row>
    <row r="31" spans="1:12" x14ac:dyDescent="0.25">
      <c r="A31" s="17">
        <v>43732</v>
      </c>
      <c r="B31" s="18">
        <v>0</v>
      </c>
      <c r="C31" s="18">
        <v>0</v>
      </c>
      <c r="D31" s="2">
        <f t="shared" si="0"/>
        <v>0</v>
      </c>
      <c r="E31" s="2">
        <v>52</v>
      </c>
      <c r="F31" s="2"/>
      <c r="G31" s="2"/>
      <c r="H31" s="2"/>
      <c r="I31" s="2"/>
      <c r="J31" s="2"/>
      <c r="K31" s="61" t="s">
        <v>107</v>
      </c>
      <c r="L31" s="53" t="s">
        <v>341</v>
      </c>
    </row>
    <row r="32" spans="1:12" x14ac:dyDescent="0.25">
      <c r="A32" s="17">
        <v>43732</v>
      </c>
      <c r="B32" s="18">
        <v>0</v>
      </c>
      <c r="C32" s="18">
        <v>0</v>
      </c>
      <c r="D32" s="2">
        <f t="shared" si="0"/>
        <v>0</v>
      </c>
      <c r="E32" s="2">
        <v>6</v>
      </c>
      <c r="F32" s="2"/>
      <c r="G32" s="2"/>
      <c r="H32" s="2"/>
      <c r="I32" s="2"/>
      <c r="J32" s="2"/>
      <c r="K32" s="20" t="s">
        <v>515</v>
      </c>
      <c r="L32" s="20" t="s">
        <v>515</v>
      </c>
    </row>
    <row r="33" spans="1:12" ht="45" x14ac:dyDescent="0.25">
      <c r="A33" s="17">
        <v>43734</v>
      </c>
      <c r="B33" s="18">
        <v>0</v>
      </c>
      <c r="C33" s="18">
        <v>18</v>
      </c>
      <c r="D33" s="2">
        <f t="shared" si="0"/>
        <v>-18</v>
      </c>
      <c r="E33" s="2"/>
      <c r="F33" s="2"/>
      <c r="G33" s="2"/>
      <c r="H33" s="2"/>
      <c r="I33" s="2"/>
      <c r="J33" s="2"/>
      <c r="K33" s="19" t="s">
        <v>516</v>
      </c>
    </row>
    <row r="34" spans="1:12" ht="45" x14ac:dyDescent="0.25">
      <c r="A34" s="17">
        <v>43734</v>
      </c>
      <c r="B34" s="18">
        <v>11</v>
      </c>
      <c r="C34" s="18">
        <v>0</v>
      </c>
      <c r="D34" s="2">
        <f t="shared" si="0"/>
        <v>11</v>
      </c>
      <c r="E34" s="2"/>
      <c r="F34" s="2"/>
      <c r="G34" s="2"/>
      <c r="H34" s="2"/>
      <c r="I34" s="2"/>
      <c r="J34" s="2"/>
      <c r="K34" s="19" t="s">
        <v>517</v>
      </c>
    </row>
    <row r="35" spans="1:12" ht="60" x14ac:dyDescent="0.25">
      <c r="A35" s="17">
        <v>43734</v>
      </c>
      <c r="B35" s="18">
        <v>13</v>
      </c>
      <c r="C35" s="18">
        <v>13</v>
      </c>
      <c r="D35" s="2">
        <f t="shared" si="0"/>
        <v>0</v>
      </c>
      <c r="E35" s="2">
        <f>2*13</f>
        <v>26</v>
      </c>
      <c r="F35" s="2"/>
      <c r="G35" s="2"/>
      <c r="H35" s="2"/>
      <c r="I35" s="2"/>
      <c r="J35" s="2"/>
      <c r="K35" s="19" t="s">
        <v>521</v>
      </c>
      <c r="L35" s="85" t="s">
        <v>535</v>
      </c>
    </row>
    <row r="36" spans="1:12" ht="106.5" customHeight="1" x14ac:dyDescent="0.25">
      <c r="A36" s="17">
        <v>43734</v>
      </c>
      <c r="B36" s="18">
        <v>52</v>
      </c>
      <c r="C36" s="18">
        <v>0</v>
      </c>
      <c r="D36" s="2">
        <f t="shared" si="0"/>
        <v>52</v>
      </c>
      <c r="E36" s="2"/>
      <c r="F36" s="2"/>
      <c r="G36" s="2"/>
      <c r="H36" s="2"/>
      <c r="I36" s="2"/>
      <c r="J36" s="2"/>
      <c r="K36" s="19" t="s">
        <v>518</v>
      </c>
      <c r="L36" s="27" t="s">
        <v>519</v>
      </c>
    </row>
    <row r="37" spans="1:12" x14ac:dyDescent="0.25">
      <c r="A37" s="17">
        <v>43738</v>
      </c>
      <c r="B37" s="18">
        <v>0</v>
      </c>
      <c r="C37" s="18">
        <v>10</v>
      </c>
      <c r="D37" s="2">
        <f t="shared" si="0"/>
        <v>-10</v>
      </c>
      <c r="E37" s="2"/>
      <c r="F37" s="2"/>
      <c r="G37" s="2"/>
      <c r="H37" s="2"/>
      <c r="I37" s="2"/>
      <c r="J37" s="2"/>
      <c r="K37" s="20" t="s">
        <v>520</v>
      </c>
    </row>
    <row r="38" spans="1:12" x14ac:dyDescent="0.25">
      <c r="A38" s="17"/>
      <c r="B38" s="18"/>
      <c r="C38" s="18"/>
      <c r="D38" s="2">
        <f t="shared" si="0"/>
        <v>0</v>
      </c>
      <c r="E38" s="2"/>
      <c r="F38" s="2"/>
      <c r="G38" s="2"/>
      <c r="H38" s="2"/>
      <c r="I38" s="2"/>
      <c r="J38" s="2"/>
      <c r="K38" s="20"/>
    </row>
    <row r="39" spans="1:12" x14ac:dyDescent="0.25">
      <c r="A39" s="17"/>
      <c r="B39" s="18"/>
      <c r="C39" s="18"/>
      <c r="D39" s="2">
        <f t="shared" si="0"/>
        <v>0</v>
      </c>
      <c r="E39" s="2"/>
      <c r="F39" s="2"/>
      <c r="G39" s="2"/>
      <c r="H39" s="2"/>
      <c r="I39" s="2"/>
      <c r="J39" s="2"/>
      <c r="K39" s="20"/>
    </row>
    <row r="40" spans="1:12" x14ac:dyDescent="0.25">
      <c r="A40" s="17"/>
      <c r="B40" s="18"/>
      <c r="C40" s="18"/>
      <c r="D40" s="2">
        <f t="shared" si="0"/>
        <v>0</v>
      </c>
      <c r="E40" s="2"/>
      <c r="F40" s="2"/>
      <c r="G40" s="2"/>
      <c r="H40" s="2"/>
      <c r="I40" s="2"/>
      <c r="J40" s="2"/>
      <c r="K40" s="19"/>
    </row>
    <row r="41" spans="1:12" x14ac:dyDescent="0.25">
      <c r="A41" s="17"/>
      <c r="B41" s="18"/>
      <c r="C41" s="18"/>
      <c r="D41" s="2">
        <f t="shared" si="0"/>
        <v>0</v>
      </c>
      <c r="E41" s="2"/>
      <c r="F41" s="2"/>
      <c r="G41" s="2"/>
      <c r="H41" s="2"/>
      <c r="I41" s="2"/>
      <c r="J41" s="2"/>
      <c r="K41" s="20"/>
    </row>
    <row r="42" spans="1:12" x14ac:dyDescent="0.25">
      <c r="A42" s="17"/>
      <c r="B42" s="18"/>
      <c r="C42" s="18"/>
      <c r="D42" s="2">
        <f t="shared" si="0"/>
        <v>0</v>
      </c>
      <c r="E42" s="2"/>
      <c r="F42" s="2"/>
      <c r="G42" s="2"/>
      <c r="H42" s="2"/>
      <c r="I42" s="2"/>
      <c r="J42" s="2"/>
      <c r="K42" s="20"/>
    </row>
    <row r="43" spans="1:12" x14ac:dyDescent="0.25">
      <c r="A43" s="17"/>
      <c r="B43" s="18"/>
      <c r="C43" s="18"/>
      <c r="D43" s="2">
        <f t="shared" si="0"/>
        <v>0</v>
      </c>
      <c r="E43" s="2"/>
      <c r="F43" s="2"/>
      <c r="G43" s="2"/>
      <c r="H43" s="2"/>
      <c r="I43" s="2"/>
      <c r="J43" s="2"/>
      <c r="K43" s="20"/>
    </row>
    <row r="44" spans="1:12" x14ac:dyDescent="0.25">
      <c r="A44" s="17"/>
      <c r="B44" s="18"/>
      <c r="C44" s="18"/>
      <c r="D44" s="2">
        <f t="shared" si="0"/>
        <v>0</v>
      </c>
      <c r="E44" s="2"/>
      <c r="F44" s="2"/>
      <c r="G44" s="2"/>
      <c r="H44" s="2"/>
      <c r="I44" s="2"/>
      <c r="J44" s="2"/>
      <c r="K44" s="20"/>
    </row>
  </sheetData>
  <sheetProtection algorithmName="SHA-512" hashValue="R+2ctHVsNAVxvuywkoypnM25Phd7ZmTzcDC9dr5LyUZ7DVWkkPg5RQElQ14JvaT8nsTVKjQ4s3oBOADPQJgZLw==" saltValue="mVVH10I6Ij+Gb6BTMYIyUQ==" spinCount="100000" sheet="1" objects="1" scenarios="1" selectLockedCells="1" selectUnlockedCells="1"/>
  <customSheetViews>
    <customSheetView guid="{E5A7B818-645B-417C-A128-9FE559D9B124}" fitToPage="1">
      <pane ySplit="6" topLeftCell="A28" activePane="bottomLeft" state="frozen"/>
      <selection pane="bottomLeft" activeCell="L37" sqref="L37"/>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67" priority="1" operator="lessThan">
      <formula>0</formula>
    </cfRule>
    <cfRule type="cellIs" dxfId="16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Tabelle38">
    <pageSetUpPr fitToPage="1"/>
  </sheetPr>
  <dimension ref="A1:L44"/>
  <sheetViews>
    <sheetView workbookViewId="0">
      <pane ySplit="6" topLeftCell="A19" activePane="bottomLeft" state="frozen"/>
      <selection pane="bottomLeft" activeCell="K18" sqref="K18"/>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45</v>
      </c>
    </row>
    <row r="3" spans="1:12" ht="15.75" thickBot="1" x14ac:dyDescent="0.3">
      <c r="A3" s="5"/>
      <c r="B3" s="2"/>
      <c r="C3" s="2"/>
      <c r="D3" s="2"/>
      <c r="E3" s="2"/>
      <c r="F3" s="2">
        <f>'09.19'!F6</f>
        <v>569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549</v>
      </c>
      <c r="G6" s="30">
        <f>SUM(B:B)</f>
        <v>110</v>
      </c>
      <c r="H6" s="30">
        <f>SUM(C:C)</f>
        <v>130</v>
      </c>
      <c r="I6" s="30"/>
      <c r="J6" s="33">
        <f>SUM(G6:H6)+SUM(E:E)</f>
        <v>288</v>
      </c>
      <c r="K6" s="34"/>
      <c r="L6" s="50">
        <f>J6/K1</f>
        <v>0.48484848484848486</v>
      </c>
    </row>
    <row r="7" spans="1:12" ht="15" customHeight="1" x14ac:dyDescent="0.25">
      <c r="A7" s="17">
        <v>43739</v>
      </c>
      <c r="B7" s="18">
        <v>0</v>
      </c>
      <c r="C7" s="18">
        <v>5</v>
      </c>
      <c r="D7" s="2">
        <f t="shared" ref="D7:D44" si="0">B7-C7</f>
        <v>-5</v>
      </c>
      <c r="E7" s="2"/>
      <c r="F7" s="2"/>
      <c r="G7" s="2"/>
      <c r="H7" s="2"/>
      <c r="I7" s="2"/>
      <c r="J7" s="2"/>
      <c r="K7" s="19" t="s">
        <v>522</v>
      </c>
    </row>
    <row r="8" spans="1:12" ht="39.75" customHeight="1" x14ac:dyDescent="0.25">
      <c r="A8" s="17">
        <v>43742</v>
      </c>
      <c r="B8" s="18">
        <v>0</v>
      </c>
      <c r="C8" s="18">
        <v>16</v>
      </c>
      <c r="D8" s="2">
        <f t="shared" si="0"/>
        <v>-16</v>
      </c>
      <c r="E8" s="2"/>
      <c r="F8" s="2"/>
      <c r="G8" s="2"/>
      <c r="H8" s="2"/>
      <c r="I8" s="2"/>
      <c r="J8" s="2"/>
      <c r="K8" s="19" t="s">
        <v>523</v>
      </c>
    </row>
    <row r="9" spans="1:12" ht="15" customHeight="1" x14ac:dyDescent="0.25">
      <c r="A9" s="17">
        <v>43742</v>
      </c>
      <c r="B9" s="18">
        <v>0</v>
      </c>
      <c r="C9" s="18">
        <v>8</v>
      </c>
      <c r="D9" s="2">
        <f t="shared" si="0"/>
        <v>-8</v>
      </c>
      <c r="E9" s="2"/>
      <c r="F9" s="2"/>
      <c r="G9" s="2"/>
      <c r="H9" s="2"/>
      <c r="I9" s="2"/>
      <c r="J9" s="2"/>
      <c r="K9" s="20" t="s">
        <v>524</v>
      </c>
      <c r="L9" s="27" t="s">
        <v>525</v>
      </c>
    </row>
    <row r="10" spans="1:12" ht="15" customHeight="1" x14ac:dyDescent="0.3">
      <c r="A10" s="17">
        <v>43742</v>
      </c>
      <c r="B10" s="18">
        <v>8</v>
      </c>
      <c r="C10" s="18">
        <v>0</v>
      </c>
      <c r="D10" s="2">
        <f t="shared" si="0"/>
        <v>8</v>
      </c>
      <c r="E10" s="2"/>
      <c r="F10" s="2"/>
      <c r="G10" s="2"/>
      <c r="H10" s="2"/>
      <c r="I10" s="2"/>
      <c r="J10" s="2"/>
      <c r="K10" s="19" t="s">
        <v>526</v>
      </c>
      <c r="L10" s="38"/>
    </row>
    <row r="11" spans="1:12" ht="37.5" customHeight="1" x14ac:dyDescent="0.3">
      <c r="A11" s="17">
        <v>43746</v>
      </c>
      <c r="B11" s="18">
        <v>0</v>
      </c>
      <c r="C11" s="18">
        <v>11</v>
      </c>
      <c r="D11" s="2">
        <f t="shared" si="0"/>
        <v>-11</v>
      </c>
      <c r="E11" s="2"/>
      <c r="F11" s="2"/>
      <c r="G11" s="2"/>
      <c r="H11" s="2"/>
      <c r="I11" s="2"/>
      <c r="J11" s="2"/>
      <c r="K11" s="19" t="s">
        <v>527</v>
      </c>
      <c r="L11" s="38"/>
    </row>
    <row r="12" spans="1:12" ht="37.5" customHeight="1" x14ac:dyDescent="0.25">
      <c r="A12" s="17">
        <v>43746</v>
      </c>
      <c r="B12" s="18">
        <v>11</v>
      </c>
      <c r="C12" s="18">
        <v>0</v>
      </c>
      <c r="D12" s="2">
        <f t="shared" si="0"/>
        <v>11</v>
      </c>
      <c r="E12" s="2"/>
      <c r="F12" s="2"/>
      <c r="G12" s="2"/>
      <c r="H12" s="2"/>
      <c r="I12" s="2"/>
      <c r="J12" s="2"/>
      <c r="K12" s="19" t="s">
        <v>528</v>
      </c>
    </row>
    <row r="13" spans="1:12" ht="38.25" customHeight="1" x14ac:dyDescent="0.25">
      <c r="A13" s="17">
        <v>43748</v>
      </c>
      <c r="B13" s="18">
        <v>0</v>
      </c>
      <c r="C13" s="18">
        <v>20</v>
      </c>
      <c r="D13" s="2">
        <f t="shared" si="0"/>
        <v>-20</v>
      </c>
      <c r="E13" s="2"/>
      <c r="F13" s="2"/>
      <c r="G13" s="2"/>
      <c r="H13" s="2"/>
      <c r="I13" s="2"/>
      <c r="J13" s="2"/>
      <c r="K13" s="19" t="s">
        <v>529</v>
      </c>
    </row>
    <row r="14" spans="1:12" ht="15" customHeight="1" x14ac:dyDescent="0.25">
      <c r="A14" s="17">
        <v>43749</v>
      </c>
      <c r="B14" s="18">
        <v>0</v>
      </c>
      <c r="C14" s="18">
        <v>1</v>
      </c>
      <c r="D14" s="2">
        <f t="shared" si="0"/>
        <v>-1</v>
      </c>
      <c r="E14" s="2"/>
      <c r="F14" s="2"/>
      <c r="G14" s="2"/>
      <c r="H14" s="2"/>
      <c r="I14" s="2"/>
      <c r="J14" s="2"/>
      <c r="K14" s="19">
        <v>524667</v>
      </c>
      <c r="L14" s="27" t="s">
        <v>530</v>
      </c>
    </row>
    <row r="15" spans="1:12" ht="15" customHeight="1" x14ac:dyDescent="0.25">
      <c r="A15" s="17">
        <v>43754</v>
      </c>
      <c r="B15" s="18">
        <v>0</v>
      </c>
      <c r="C15" s="18">
        <v>0</v>
      </c>
      <c r="D15" s="2">
        <f t="shared" si="0"/>
        <v>0</v>
      </c>
      <c r="E15" s="2">
        <v>32</v>
      </c>
      <c r="F15" s="2"/>
      <c r="G15" s="2"/>
      <c r="H15" s="2"/>
      <c r="I15" s="2"/>
      <c r="J15" s="2"/>
      <c r="K15" s="61" t="s">
        <v>107</v>
      </c>
      <c r="L15" s="53" t="s">
        <v>341</v>
      </c>
    </row>
    <row r="16" spans="1:12" ht="54" customHeight="1" x14ac:dyDescent="0.25">
      <c r="A16" s="17">
        <v>43754</v>
      </c>
      <c r="B16" s="18">
        <v>21</v>
      </c>
      <c r="C16" s="18">
        <v>0</v>
      </c>
      <c r="D16" s="2">
        <f t="shared" si="0"/>
        <v>21</v>
      </c>
      <c r="E16" s="2"/>
      <c r="F16" s="2"/>
      <c r="G16" s="2"/>
      <c r="H16" s="2"/>
      <c r="I16" s="2"/>
      <c r="J16" s="2"/>
      <c r="K16" s="19" t="s">
        <v>531</v>
      </c>
    </row>
    <row r="17" spans="1:12" ht="73.5" customHeight="1" x14ac:dyDescent="0.25">
      <c r="A17" s="17">
        <v>43754</v>
      </c>
      <c r="B17" s="18">
        <v>32</v>
      </c>
      <c r="C17" s="18">
        <v>0</v>
      </c>
      <c r="D17" s="2">
        <f t="shared" si="0"/>
        <v>32</v>
      </c>
      <c r="E17" s="2"/>
      <c r="F17" s="2"/>
      <c r="G17" s="2"/>
      <c r="H17" s="2"/>
      <c r="I17" s="2"/>
      <c r="J17" s="2"/>
      <c r="K17" s="19" t="s">
        <v>533</v>
      </c>
      <c r="L17" s="27" t="s">
        <v>532</v>
      </c>
    </row>
    <row r="18" spans="1:12" ht="66" customHeight="1" x14ac:dyDescent="0.25">
      <c r="A18" s="17">
        <v>43755</v>
      </c>
      <c r="B18" s="18">
        <v>8</v>
      </c>
      <c r="C18" s="18">
        <v>8</v>
      </c>
      <c r="D18" s="2">
        <f t="shared" si="0"/>
        <v>0</v>
      </c>
      <c r="E18" s="2">
        <v>16</v>
      </c>
      <c r="F18" s="2"/>
      <c r="G18" s="2"/>
      <c r="H18" s="2"/>
      <c r="I18" s="2"/>
      <c r="J18" s="2"/>
      <c r="K18" s="19" t="s">
        <v>536</v>
      </c>
      <c r="L18" s="85" t="s">
        <v>534</v>
      </c>
    </row>
    <row r="19" spans="1:12" ht="38.25" customHeight="1" x14ac:dyDescent="0.25">
      <c r="A19" s="17">
        <v>43755</v>
      </c>
      <c r="B19" s="18">
        <v>0</v>
      </c>
      <c r="C19" s="18">
        <v>15</v>
      </c>
      <c r="D19" s="2">
        <f t="shared" si="0"/>
        <v>-15</v>
      </c>
      <c r="E19" s="2"/>
      <c r="F19" s="2"/>
      <c r="G19" s="2"/>
      <c r="H19" s="2"/>
      <c r="I19" s="2"/>
      <c r="J19" s="2"/>
      <c r="K19" s="19" t="s">
        <v>537</v>
      </c>
      <c r="L19" s="27" t="s">
        <v>538</v>
      </c>
    </row>
    <row r="20" spans="1:12" ht="15" customHeight="1" x14ac:dyDescent="0.25">
      <c r="A20" s="17">
        <v>43759</v>
      </c>
      <c r="B20" s="18">
        <v>0</v>
      </c>
      <c r="C20" s="18">
        <v>6</v>
      </c>
      <c r="D20" s="2">
        <f t="shared" si="0"/>
        <v>-6</v>
      </c>
      <c r="E20" s="2"/>
      <c r="F20" s="2"/>
      <c r="G20" s="2"/>
      <c r="H20" s="2"/>
      <c r="I20" s="2"/>
      <c r="J20" s="2"/>
      <c r="K20" s="19" t="s">
        <v>539</v>
      </c>
      <c r="L20" s="27" t="s">
        <v>540</v>
      </c>
    </row>
    <row r="21" spans="1:12" ht="15" customHeight="1" x14ac:dyDescent="0.25">
      <c r="A21" s="21">
        <v>43759</v>
      </c>
      <c r="B21" s="22">
        <v>5</v>
      </c>
      <c r="C21" s="22">
        <v>0</v>
      </c>
      <c r="D21" s="2">
        <f t="shared" si="0"/>
        <v>5</v>
      </c>
      <c r="E21" s="23"/>
      <c r="F21" s="23"/>
      <c r="G21" s="23"/>
      <c r="H21" s="23"/>
      <c r="I21" s="23"/>
      <c r="J21" s="23"/>
      <c r="K21" s="25" t="s">
        <v>541</v>
      </c>
    </row>
    <row r="22" spans="1:12" ht="37.5" customHeight="1" x14ac:dyDescent="0.25">
      <c r="A22" s="17">
        <v>43761</v>
      </c>
      <c r="B22" s="18">
        <v>18</v>
      </c>
      <c r="C22" s="18">
        <v>0</v>
      </c>
      <c r="D22" s="2">
        <f t="shared" si="0"/>
        <v>18</v>
      </c>
      <c r="E22" s="2"/>
      <c r="F22" s="2"/>
      <c r="G22" s="2"/>
      <c r="H22" s="2"/>
      <c r="I22" s="2"/>
      <c r="J22" s="2"/>
      <c r="K22" s="19" t="s">
        <v>542</v>
      </c>
    </row>
    <row r="23" spans="1:12" ht="15" customHeight="1" x14ac:dyDescent="0.25">
      <c r="A23" s="17">
        <v>43762</v>
      </c>
      <c r="B23" s="18">
        <v>0</v>
      </c>
      <c r="C23" s="18">
        <v>8</v>
      </c>
      <c r="D23" s="2">
        <f t="shared" si="0"/>
        <v>-8</v>
      </c>
      <c r="E23" s="2"/>
      <c r="F23" s="2"/>
      <c r="G23" s="2"/>
      <c r="H23" s="2"/>
      <c r="I23" s="2"/>
      <c r="J23" s="2"/>
      <c r="K23" s="45" t="s">
        <v>543</v>
      </c>
    </row>
    <row r="24" spans="1:12" ht="38.25" customHeight="1" x14ac:dyDescent="0.25">
      <c r="A24" s="17">
        <v>43762</v>
      </c>
      <c r="B24" s="18">
        <v>0</v>
      </c>
      <c r="C24" s="18">
        <v>14</v>
      </c>
      <c r="D24" s="2">
        <f t="shared" si="0"/>
        <v>-14</v>
      </c>
      <c r="E24" s="2"/>
      <c r="F24" s="2"/>
      <c r="G24" s="2"/>
      <c r="H24" s="2"/>
      <c r="I24" s="2"/>
      <c r="J24" s="2"/>
      <c r="K24" s="19" t="s">
        <v>544</v>
      </c>
    </row>
    <row r="25" spans="1:12" ht="15" customHeight="1" x14ac:dyDescent="0.25">
      <c r="A25" s="17">
        <v>43762</v>
      </c>
      <c r="B25" s="18">
        <v>0</v>
      </c>
      <c r="C25" s="18">
        <v>1</v>
      </c>
      <c r="D25" s="2">
        <f t="shared" si="0"/>
        <v>-1</v>
      </c>
      <c r="E25" s="2"/>
      <c r="F25" s="2"/>
      <c r="G25" s="2"/>
      <c r="H25" s="2"/>
      <c r="I25" s="2"/>
      <c r="J25" s="2"/>
      <c r="K25" s="19">
        <v>531892</v>
      </c>
    </row>
    <row r="26" spans="1:12" ht="15" customHeight="1" x14ac:dyDescent="0.25">
      <c r="A26" s="17">
        <v>43762</v>
      </c>
      <c r="B26" s="18">
        <v>7</v>
      </c>
      <c r="C26" s="18">
        <v>0</v>
      </c>
      <c r="D26" s="2">
        <f t="shared" si="0"/>
        <v>7</v>
      </c>
      <c r="E26" s="2"/>
      <c r="F26" s="2"/>
      <c r="G26" s="2"/>
      <c r="H26" s="2"/>
      <c r="I26" s="2"/>
      <c r="J26" s="2"/>
      <c r="K26" s="20" t="s">
        <v>545</v>
      </c>
    </row>
    <row r="27" spans="1:12" x14ac:dyDescent="0.25">
      <c r="A27" s="17">
        <v>43767</v>
      </c>
      <c r="B27" s="18">
        <v>0</v>
      </c>
      <c r="C27" s="18">
        <v>4</v>
      </c>
      <c r="D27" s="2">
        <f t="shared" si="0"/>
        <v>-4</v>
      </c>
      <c r="E27" s="2"/>
      <c r="F27" s="2"/>
      <c r="G27" s="2"/>
      <c r="H27" s="2"/>
      <c r="I27" s="2"/>
      <c r="J27" s="2"/>
      <c r="K27" s="20" t="s">
        <v>546</v>
      </c>
      <c r="L27" s="27" t="s">
        <v>547</v>
      </c>
    </row>
    <row r="28" spans="1:12" ht="45" x14ac:dyDescent="0.25">
      <c r="A28" s="17">
        <v>43768</v>
      </c>
      <c r="B28" s="18">
        <v>0</v>
      </c>
      <c r="C28" s="18">
        <v>13</v>
      </c>
      <c r="D28" s="2">
        <f t="shared" si="0"/>
        <v>-13</v>
      </c>
      <c r="E28" s="2"/>
      <c r="F28" s="2"/>
      <c r="G28" s="2"/>
      <c r="H28" s="2"/>
      <c r="I28" s="2"/>
      <c r="J28" s="2"/>
      <c r="K28" s="19" t="s">
        <v>548</v>
      </c>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VveTyiENjhgVFHP+pgSvqCoFuByFf5K+RgYmhZ/XXTwLSh30s89AimNQtnWA5KV7CZyusov+IGsSXRfRXhlivw==" saltValue="SK85BS0LeKE+D2ixIjRwUg==" spinCount="100000" sheet="1" objects="1" scenarios="1" selectLockedCells="1" selectUnlockedCells="1"/>
  <customSheetViews>
    <customSheetView guid="{E5A7B818-645B-417C-A128-9FE559D9B124}" fitToPage="1">
      <pane ySplit="6" topLeftCell="A10" activePane="bottomLeft" state="frozen"/>
      <selection pane="bottomLeft" activeCell="K18" sqref="K1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65" priority="1" operator="lessThan">
      <formula>0</formula>
    </cfRule>
    <cfRule type="cellIs" dxfId="16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Tabelle39">
    <pageSetUpPr fitToPage="1"/>
  </sheetPr>
  <dimension ref="A1:L44"/>
  <sheetViews>
    <sheetView workbookViewId="0">
      <pane ySplit="6" topLeftCell="A7" activePane="bottomLeft" state="frozen"/>
      <selection pane="bottomLeft" activeCell="K18" sqref="K18"/>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41</v>
      </c>
    </row>
    <row r="3" spans="1:12" ht="15.75" thickBot="1" x14ac:dyDescent="0.3">
      <c r="A3" s="5"/>
      <c r="B3" s="2"/>
      <c r="C3" s="2"/>
      <c r="D3" s="2"/>
      <c r="E3" s="2"/>
      <c r="F3" s="2">
        <f>'10.19'!F6</f>
        <v>549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553</v>
      </c>
      <c r="G6" s="30">
        <f>SUM(B:B)</f>
        <v>81</v>
      </c>
      <c r="H6" s="30">
        <f>SUM(C:C)</f>
        <v>77</v>
      </c>
      <c r="I6" s="30"/>
      <c r="J6" s="33">
        <f>SUM(G6:H6)+SUM(E:E)</f>
        <v>158</v>
      </c>
      <c r="K6" s="34"/>
      <c r="L6" s="50">
        <f>J6/K1</f>
        <v>0.265993265993266</v>
      </c>
    </row>
    <row r="7" spans="1:12" ht="39.75" customHeight="1" x14ac:dyDescent="0.25">
      <c r="A7" s="17">
        <v>43774</v>
      </c>
      <c r="B7" s="18">
        <v>0</v>
      </c>
      <c r="C7" s="18">
        <v>13</v>
      </c>
      <c r="D7" s="2">
        <f t="shared" ref="D7:D44" si="0">B7-C7</f>
        <v>-13</v>
      </c>
      <c r="E7" s="2"/>
      <c r="F7" s="2"/>
      <c r="G7" s="2"/>
      <c r="H7" s="2"/>
      <c r="I7" s="2"/>
      <c r="J7" s="2"/>
      <c r="K7" s="19" t="s">
        <v>549</v>
      </c>
      <c r="L7" s="27" t="s">
        <v>550</v>
      </c>
    </row>
    <row r="8" spans="1:12" ht="53.25" customHeight="1" x14ac:dyDescent="0.25">
      <c r="A8" s="17">
        <v>43774</v>
      </c>
      <c r="B8" s="18">
        <v>24</v>
      </c>
      <c r="C8" s="18">
        <v>0</v>
      </c>
      <c r="D8" s="2">
        <f t="shared" si="0"/>
        <v>24</v>
      </c>
      <c r="E8" s="2"/>
      <c r="F8" s="2"/>
      <c r="G8" s="2"/>
      <c r="H8" s="2"/>
      <c r="I8" s="2"/>
      <c r="J8" s="2"/>
      <c r="K8" s="19" t="s">
        <v>551</v>
      </c>
    </row>
    <row r="9" spans="1:12" ht="15" customHeight="1" x14ac:dyDescent="0.25">
      <c r="A9" s="17">
        <v>43775</v>
      </c>
      <c r="B9" s="18">
        <v>0</v>
      </c>
      <c r="C9" s="18">
        <v>5</v>
      </c>
      <c r="D9" s="2">
        <f t="shared" si="0"/>
        <v>-5</v>
      </c>
      <c r="E9" s="2"/>
      <c r="F9" s="2"/>
      <c r="G9" s="2"/>
      <c r="H9" s="2"/>
      <c r="I9" s="2"/>
      <c r="J9" s="2"/>
      <c r="K9" s="20" t="s">
        <v>552</v>
      </c>
      <c r="L9" s="27" t="s">
        <v>553</v>
      </c>
    </row>
    <row r="10" spans="1:12" ht="15" customHeight="1" x14ac:dyDescent="0.25">
      <c r="A10" s="17">
        <v>43780</v>
      </c>
      <c r="B10" s="18">
        <v>0</v>
      </c>
      <c r="C10" s="18">
        <v>9</v>
      </c>
      <c r="D10" s="2">
        <f t="shared" si="0"/>
        <v>-9</v>
      </c>
      <c r="E10" s="2"/>
      <c r="F10" s="2"/>
      <c r="G10" s="2"/>
      <c r="H10" s="2"/>
      <c r="I10" s="2"/>
      <c r="J10" s="2"/>
      <c r="K10" s="19" t="s">
        <v>555</v>
      </c>
      <c r="L10" s="27" t="s">
        <v>554</v>
      </c>
    </row>
    <row r="11" spans="1:12" ht="15" customHeight="1" x14ac:dyDescent="0.3">
      <c r="A11" s="17">
        <v>43787</v>
      </c>
      <c r="B11" s="18">
        <v>0</v>
      </c>
      <c r="C11" s="18">
        <v>8</v>
      </c>
      <c r="D11" s="2">
        <f t="shared" si="0"/>
        <v>-8</v>
      </c>
      <c r="E11" s="2"/>
      <c r="F11" s="2"/>
      <c r="G11" s="2"/>
      <c r="H11" s="2"/>
      <c r="I11" s="2"/>
      <c r="J11" s="2"/>
      <c r="K11" s="19" t="s">
        <v>556</v>
      </c>
      <c r="L11" s="38"/>
    </row>
    <row r="12" spans="1:12" ht="15" customHeight="1" x14ac:dyDescent="0.25">
      <c r="A12" s="17">
        <v>43789</v>
      </c>
      <c r="B12" s="18">
        <v>0</v>
      </c>
      <c r="C12" s="18">
        <v>7</v>
      </c>
      <c r="D12" s="2">
        <f t="shared" si="0"/>
        <v>-7</v>
      </c>
      <c r="E12" s="2"/>
      <c r="F12" s="2"/>
      <c r="G12" s="2"/>
      <c r="H12" s="2"/>
      <c r="I12" s="2"/>
      <c r="J12" s="2"/>
      <c r="K12" s="19" t="s">
        <v>557</v>
      </c>
    </row>
    <row r="13" spans="1:12" ht="15" customHeight="1" x14ac:dyDescent="0.25">
      <c r="A13" s="17">
        <v>43789</v>
      </c>
      <c r="B13" s="18">
        <v>4</v>
      </c>
      <c r="C13" s="18">
        <v>0</v>
      </c>
      <c r="D13" s="2">
        <f t="shared" si="0"/>
        <v>4</v>
      </c>
      <c r="E13" s="2"/>
      <c r="F13" s="2"/>
      <c r="G13" s="2"/>
      <c r="H13" s="2"/>
      <c r="I13" s="2"/>
      <c r="J13" s="2"/>
      <c r="K13" s="19" t="s">
        <v>558</v>
      </c>
    </row>
    <row r="14" spans="1:12" ht="60" customHeight="1" x14ac:dyDescent="0.25">
      <c r="A14" s="17">
        <v>43789</v>
      </c>
      <c r="B14" s="18">
        <v>25</v>
      </c>
      <c r="C14" s="18">
        <v>0</v>
      </c>
      <c r="D14" s="2">
        <f t="shared" si="0"/>
        <v>25</v>
      </c>
      <c r="E14" s="2"/>
      <c r="F14" s="2"/>
      <c r="G14" s="2"/>
      <c r="H14" s="2"/>
      <c r="I14" s="2"/>
      <c r="J14" s="2"/>
      <c r="K14" s="19" t="s">
        <v>559</v>
      </c>
    </row>
    <row r="15" spans="1:12" ht="39" customHeight="1" x14ac:dyDescent="0.25">
      <c r="A15" s="17">
        <v>43794</v>
      </c>
      <c r="B15" s="18">
        <v>0</v>
      </c>
      <c r="C15" s="18">
        <v>17</v>
      </c>
      <c r="D15" s="2">
        <f t="shared" si="0"/>
        <v>-17</v>
      </c>
      <c r="E15" s="2"/>
      <c r="F15" s="2"/>
      <c r="G15" s="2"/>
      <c r="H15" s="2"/>
      <c r="I15" s="2"/>
      <c r="J15" s="2"/>
      <c r="K15" s="19" t="s">
        <v>560</v>
      </c>
    </row>
    <row r="16" spans="1:12" ht="15" customHeight="1" x14ac:dyDescent="0.25">
      <c r="A16" s="17">
        <v>43794</v>
      </c>
      <c r="B16" s="18">
        <v>0</v>
      </c>
      <c r="C16" s="18">
        <v>9</v>
      </c>
      <c r="D16" s="2">
        <f t="shared" si="0"/>
        <v>-9</v>
      </c>
      <c r="E16" s="2"/>
      <c r="F16" s="2"/>
      <c r="G16" s="2"/>
      <c r="H16" s="2"/>
      <c r="I16" s="2"/>
      <c r="J16" s="2"/>
      <c r="K16" s="19" t="s">
        <v>561</v>
      </c>
    </row>
    <row r="17" spans="1:12" ht="63.75" customHeight="1" x14ac:dyDescent="0.25">
      <c r="A17" s="17">
        <v>43794</v>
      </c>
      <c r="B17" s="18">
        <v>28</v>
      </c>
      <c r="C17" s="18">
        <v>0</v>
      </c>
      <c r="D17" s="2">
        <f t="shared" si="0"/>
        <v>28</v>
      </c>
      <c r="E17" s="2"/>
      <c r="F17" s="2"/>
      <c r="G17" s="2"/>
      <c r="H17" s="2"/>
      <c r="I17" s="2"/>
      <c r="J17" s="2"/>
      <c r="K17" s="19" t="s">
        <v>562</v>
      </c>
      <c r="L17" s="27" t="s">
        <v>563</v>
      </c>
    </row>
    <row r="18" spans="1:12" ht="15" customHeight="1" x14ac:dyDescent="0.25">
      <c r="A18" s="17">
        <v>43798</v>
      </c>
      <c r="B18" s="18">
        <v>0</v>
      </c>
      <c r="C18" s="18">
        <v>9</v>
      </c>
      <c r="D18" s="2">
        <f t="shared" si="0"/>
        <v>-9</v>
      </c>
      <c r="E18" s="2"/>
      <c r="F18" s="2"/>
      <c r="G18" s="2"/>
      <c r="H18" s="2"/>
      <c r="I18" s="2"/>
      <c r="J18" s="2"/>
      <c r="K18" s="19" t="s">
        <v>564</v>
      </c>
    </row>
    <row r="19" spans="1:12" ht="15" customHeight="1" x14ac:dyDescent="0.25">
      <c r="A19" s="17"/>
      <c r="B19" s="18"/>
      <c r="C19" s="18"/>
      <c r="D19" s="2">
        <f t="shared" si="0"/>
        <v>0</v>
      </c>
      <c r="E19" s="2"/>
      <c r="F19" s="2"/>
      <c r="G19" s="2"/>
      <c r="H19" s="2"/>
      <c r="I19" s="2"/>
      <c r="J19" s="2"/>
      <c r="K19" s="19"/>
    </row>
    <row r="20" spans="1:12" ht="15" customHeight="1" x14ac:dyDescent="0.25">
      <c r="A20" s="17"/>
      <c r="B20" s="18"/>
      <c r="C20" s="18"/>
      <c r="D20" s="2">
        <f t="shared" si="0"/>
        <v>0</v>
      </c>
      <c r="E20" s="2"/>
      <c r="F20" s="2"/>
      <c r="G20" s="2"/>
      <c r="H20" s="2"/>
      <c r="I20" s="2"/>
      <c r="J20" s="2"/>
      <c r="K20" s="19"/>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7" activePane="bottomLeft" state="frozen"/>
      <selection pane="bottomLeft" activeCell="L12" sqref="L12"/>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63" priority="1" operator="lessThan">
      <formula>0</formula>
    </cfRule>
    <cfRule type="cellIs" dxfId="16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Tabelle40">
    <pageSetUpPr fitToPage="1"/>
  </sheetPr>
  <dimension ref="A1:L44"/>
  <sheetViews>
    <sheetView workbookViewId="0">
      <pane ySplit="6" topLeftCell="A7" activePane="bottomLeft" state="frozen"/>
      <selection pane="bottomLeft" activeCell="F15" sqref="F1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0</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59</v>
      </c>
    </row>
    <row r="3" spans="1:12" ht="15.75" thickBot="1" x14ac:dyDescent="0.3">
      <c r="A3" s="5"/>
      <c r="B3" s="2"/>
      <c r="C3" s="2"/>
      <c r="D3" s="2"/>
      <c r="E3" s="2"/>
      <c r="F3" s="2">
        <f>'11.19'!F6</f>
        <v>553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535</v>
      </c>
      <c r="G6" s="30">
        <f>SUM(B:B)</f>
        <v>39</v>
      </c>
      <c r="H6" s="30">
        <f>SUM(C:C)</f>
        <v>57</v>
      </c>
      <c r="I6" s="30"/>
      <c r="J6" s="33">
        <f>SUM(G6:H6)+SUM(E:E)</f>
        <v>384</v>
      </c>
      <c r="K6" s="34"/>
      <c r="L6" s="50">
        <f>J6/K1</f>
        <v>0.64646464646464652</v>
      </c>
    </row>
    <row r="7" spans="1:12" ht="15" customHeight="1" x14ac:dyDescent="0.25">
      <c r="A7" s="17">
        <v>43804</v>
      </c>
      <c r="B7" s="18">
        <v>0</v>
      </c>
      <c r="C7" s="18">
        <v>8</v>
      </c>
      <c r="D7" s="2">
        <f t="shared" ref="D7:D44" si="0">B7-C7</f>
        <v>-8</v>
      </c>
      <c r="E7" s="2"/>
      <c r="F7" s="2"/>
      <c r="G7" s="2"/>
      <c r="H7" s="2"/>
      <c r="I7" s="2"/>
      <c r="J7" s="2"/>
      <c r="K7" s="19" t="s">
        <v>565</v>
      </c>
    </row>
    <row r="8" spans="1:12" ht="15" customHeight="1" x14ac:dyDescent="0.25">
      <c r="A8" s="17">
        <v>43804</v>
      </c>
      <c r="B8" s="18">
        <v>6</v>
      </c>
      <c r="C8" s="18">
        <v>0</v>
      </c>
      <c r="D8" s="2">
        <f t="shared" si="0"/>
        <v>6</v>
      </c>
      <c r="E8" s="2"/>
      <c r="F8" s="2"/>
      <c r="G8" s="2"/>
      <c r="H8" s="2"/>
      <c r="I8" s="2"/>
      <c r="J8" s="2"/>
      <c r="K8" s="19" t="s">
        <v>566</v>
      </c>
    </row>
    <row r="9" spans="1:12" ht="39.75" customHeight="1" x14ac:dyDescent="0.25">
      <c r="A9" s="17">
        <v>43805</v>
      </c>
      <c r="B9" s="18">
        <v>17</v>
      </c>
      <c r="C9" s="18">
        <v>0</v>
      </c>
      <c r="D9" s="2">
        <f t="shared" si="0"/>
        <v>17</v>
      </c>
      <c r="E9" s="2"/>
      <c r="F9" s="2"/>
      <c r="G9" s="2"/>
      <c r="H9" s="2"/>
      <c r="I9" s="2"/>
      <c r="J9" s="2"/>
      <c r="K9" s="19" t="s">
        <v>567</v>
      </c>
    </row>
    <row r="10" spans="1:12" ht="15" customHeight="1" x14ac:dyDescent="0.3">
      <c r="A10" s="17">
        <v>43810</v>
      </c>
      <c r="B10" s="18">
        <v>0</v>
      </c>
      <c r="C10" s="18">
        <v>1</v>
      </c>
      <c r="D10" s="2">
        <f t="shared" si="0"/>
        <v>-1</v>
      </c>
      <c r="E10" s="2"/>
      <c r="F10" s="2"/>
      <c r="G10" s="2"/>
      <c r="H10" s="2"/>
      <c r="I10" s="2"/>
      <c r="J10" s="2"/>
      <c r="K10" s="19" t="s">
        <v>568</v>
      </c>
      <c r="L10" s="38"/>
    </row>
    <row r="11" spans="1:12" ht="15" customHeight="1" x14ac:dyDescent="0.3">
      <c r="A11" s="17">
        <v>43810</v>
      </c>
      <c r="B11" s="18">
        <v>6</v>
      </c>
      <c r="C11" s="18">
        <v>0</v>
      </c>
      <c r="D11" s="2">
        <f t="shared" si="0"/>
        <v>6</v>
      </c>
      <c r="E11" s="2"/>
      <c r="F11" s="2"/>
      <c r="G11" s="2"/>
      <c r="H11" s="2"/>
      <c r="I11" s="2"/>
      <c r="J11" s="2"/>
      <c r="K11" s="19" t="s">
        <v>569</v>
      </c>
      <c r="L11" s="38"/>
    </row>
    <row r="12" spans="1:12" ht="15" customHeight="1" x14ac:dyDescent="0.25">
      <c r="A12" s="17">
        <v>43812</v>
      </c>
      <c r="B12" s="18">
        <v>0</v>
      </c>
      <c r="C12" s="18">
        <v>0</v>
      </c>
      <c r="D12" s="2">
        <f t="shared" si="0"/>
        <v>0</v>
      </c>
      <c r="E12" s="2">
        <v>286</v>
      </c>
      <c r="F12" s="2"/>
      <c r="G12" s="2"/>
      <c r="H12" s="2"/>
      <c r="I12" s="2"/>
      <c r="J12" s="2"/>
      <c r="K12" s="19" t="s">
        <v>571</v>
      </c>
      <c r="L12" s="27" t="s">
        <v>570</v>
      </c>
    </row>
    <row r="13" spans="1:12" ht="15" customHeight="1" x14ac:dyDescent="0.25">
      <c r="A13" s="17">
        <v>43815</v>
      </c>
      <c r="B13" s="18">
        <v>2</v>
      </c>
      <c r="C13" s="18">
        <v>2</v>
      </c>
      <c r="D13" s="2">
        <f t="shared" si="0"/>
        <v>0</v>
      </c>
      <c r="E13" s="2">
        <v>2</v>
      </c>
      <c r="F13" s="2"/>
      <c r="G13" s="2"/>
      <c r="H13" s="2"/>
      <c r="I13" s="2"/>
      <c r="J13" s="2"/>
      <c r="K13" s="19" t="s">
        <v>572</v>
      </c>
    </row>
    <row r="14" spans="1:12" ht="15" customHeight="1" x14ac:dyDescent="0.25">
      <c r="A14" s="17">
        <v>43815</v>
      </c>
      <c r="B14" s="18">
        <v>0</v>
      </c>
      <c r="C14" s="18">
        <v>3</v>
      </c>
      <c r="D14" s="2">
        <f t="shared" si="0"/>
        <v>-3</v>
      </c>
      <c r="E14" s="2"/>
      <c r="F14" s="2"/>
      <c r="G14" s="2"/>
      <c r="H14" s="2"/>
      <c r="I14" s="2"/>
      <c r="J14" s="2"/>
      <c r="K14" s="19" t="s">
        <v>573</v>
      </c>
      <c r="L14" s="27" t="s">
        <v>574</v>
      </c>
    </row>
    <row r="15" spans="1:12" ht="38.25" customHeight="1" x14ac:dyDescent="0.25">
      <c r="A15" s="17">
        <v>43815</v>
      </c>
      <c r="B15" s="18">
        <v>0</v>
      </c>
      <c r="C15" s="18">
        <v>11</v>
      </c>
      <c r="D15" s="2">
        <f t="shared" si="0"/>
        <v>-11</v>
      </c>
      <c r="E15" s="2"/>
      <c r="F15" s="2"/>
      <c r="G15" s="2"/>
      <c r="H15" s="2"/>
      <c r="I15" s="2"/>
      <c r="J15" s="2"/>
      <c r="K15" s="19" t="s">
        <v>575</v>
      </c>
    </row>
    <row r="16" spans="1:12" ht="15" customHeight="1" x14ac:dyDescent="0.25">
      <c r="A16" s="17">
        <v>43815</v>
      </c>
      <c r="B16" s="18">
        <v>0</v>
      </c>
      <c r="C16" s="18">
        <v>7</v>
      </c>
      <c r="D16" s="2">
        <f t="shared" si="0"/>
        <v>-7</v>
      </c>
      <c r="E16" s="2"/>
      <c r="F16" s="2"/>
      <c r="G16" s="2"/>
      <c r="H16" s="2"/>
      <c r="I16" s="2"/>
      <c r="J16" s="2"/>
      <c r="K16" s="19" t="s">
        <v>576</v>
      </c>
      <c r="L16" s="27" t="s">
        <v>577</v>
      </c>
    </row>
    <row r="17" spans="1:12" ht="15" customHeight="1" x14ac:dyDescent="0.25">
      <c r="A17" s="17">
        <v>43817</v>
      </c>
      <c r="B17" s="18">
        <v>0</v>
      </c>
      <c r="C17" s="18">
        <v>5</v>
      </c>
      <c r="D17" s="2">
        <f t="shared" si="0"/>
        <v>-5</v>
      </c>
      <c r="E17" s="2"/>
      <c r="F17" s="2"/>
      <c r="G17" s="2"/>
      <c r="H17" s="2"/>
      <c r="I17" s="2"/>
      <c r="J17" s="2"/>
      <c r="K17" s="19" t="s">
        <v>578</v>
      </c>
    </row>
    <row r="18" spans="1:12" ht="15" customHeight="1" x14ac:dyDescent="0.25">
      <c r="A18" s="17">
        <v>43817</v>
      </c>
      <c r="B18" s="18">
        <v>0</v>
      </c>
      <c r="C18" s="18">
        <v>3</v>
      </c>
      <c r="D18" s="2">
        <f t="shared" si="0"/>
        <v>-3</v>
      </c>
      <c r="E18" s="2"/>
      <c r="F18" s="2"/>
      <c r="G18" s="2"/>
      <c r="H18" s="2"/>
      <c r="I18" s="2"/>
      <c r="J18" s="2"/>
      <c r="K18" s="19" t="s">
        <v>579</v>
      </c>
      <c r="L18" s="27" t="s">
        <v>580</v>
      </c>
    </row>
    <row r="19" spans="1:12" ht="15" customHeight="1" x14ac:dyDescent="0.25">
      <c r="A19" s="17">
        <v>43817</v>
      </c>
      <c r="B19" s="18">
        <v>8</v>
      </c>
      <c r="C19" s="18">
        <v>0</v>
      </c>
      <c r="D19" s="2">
        <f t="shared" si="0"/>
        <v>8</v>
      </c>
      <c r="E19" s="2"/>
      <c r="F19" s="2"/>
      <c r="G19" s="2"/>
      <c r="H19" s="2"/>
      <c r="I19" s="2"/>
      <c r="J19" s="2"/>
      <c r="K19" s="19" t="s">
        <v>581</v>
      </c>
    </row>
    <row r="20" spans="1:12" ht="39.75" customHeight="1" x14ac:dyDescent="0.25">
      <c r="A20" s="17">
        <v>43818</v>
      </c>
      <c r="B20" s="18">
        <v>0</v>
      </c>
      <c r="C20" s="18">
        <v>17</v>
      </c>
      <c r="D20" s="2">
        <f t="shared" si="0"/>
        <v>-17</v>
      </c>
      <c r="E20" s="2"/>
      <c r="F20" s="2"/>
      <c r="G20" s="2"/>
      <c r="H20" s="2"/>
      <c r="I20" s="2"/>
      <c r="J20" s="2"/>
      <c r="K20" s="19" t="s">
        <v>582</v>
      </c>
      <c r="L20" s="27" t="s">
        <v>583</v>
      </c>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waI7kYf2CmlM3cS6OucKGSwRJz/WbPv8Ow2lBjuCFgOeIarWGhB27qvHT1oN0oCHeXOV5ZmCQ7V9oUMMX9Vj5w==" saltValue="Tr3AS9j17zvkYDHlB0KWXQ==" spinCount="100000" sheet="1" objects="1" scenarios="1" selectLockedCells="1" selectUnlockedCells="1"/>
  <customSheetViews>
    <customSheetView guid="{E5A7B818-645B-417C-A128-9FE559D9B124}" fitToPage="1">
      <pane ySplit="6" topLeftCell="A7" activePane="bottomLeft" state="frozen"/>
      <selection pane="bottomLeft" activeCell="F15" sqref="F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61" priority="1" operator="lessThan">
      <formula>0</formula>
    </cfRule>
    <cfRule type="cellIs" dxfId="16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41">
    <pageSetUpPr fitToPage="1"/>
  </sheetPr>
  <dimension ref="A1:L45"/>
  <sheetViews>
    <sheetView workbookViewId="0">
      <pane ySplit="6" topLeftCell="A7" activePane="bottomLeft" state="frozen"/>
      <selection pane="bottomLeft" activeCell="K26" sqref="K2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22</v>
      </c>
    </row>
    <row r="3" spans="1:12" ht="15.75" thickBot="1" x14ac:dyDescent="0.3">
      <c r="A3" s="5"/>
      <c r="B3" s="2"/>
      <c r="C3" s="2"/>
      <c r="D3" s="2"/>
      <c r="E3" s="2"/>
      <c r="F3" s="2">
        <f>'12.19'!F6</f>
        <v>535</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572</v>
      </c>
      <c r="G6" s="30">
        <f>SUM(B:B)</f>
        <v>123</v>
      </c>
      <c r="H6" s="30">
        <f>SUM(C:C)</f>
        <v>86</v>
      </c>
      <c r="I6" s="30"/>
      <c r="J6" s="33">
        <f>SUM(G6:H6)+SUM(E:E)</f>
        <v>209</v>
      </c>
      <c r="K6" s="34"/>
      <c r="L6" s="50">
        <f>J6/K1</f>
        <v>0.35185185185185186</v>
      </c>
    </row>
    <row r="7" spans="1:12" ht="15" customHeight="1" x14ac:dyDescent="0.25">
      <c r="A7" s="17">
        <v>43837</v>
      </c>
      <c r="B7" s="18">
        <v>0</v>
      </c>
      <c r="C7" s="18">
        <v>3</v>
      </c>
      <c r="D7" s="2">
        <f t="shared" ref="D7:D45" si="0">B7-C7</f>
        <v>-3</v>
      </c>
      <c r="E7" s="2"/>
      <c r="F7" s="2"/>
      <c r="G7" s="2"/>
      <c r="H7" s="2"/>
      <c r="I7" s="2"/>
      <c r="J7" s="2"/>
      <c r="K7" s="19" t="s">
        <v>584</v>
      </c>
      <c r="L7" s="27" t="s">
        <v>587</v>
      </c>
    </row>
    <row r="8" spans="1:12" ht="39" customHeight="1" x14ac:dyDescent="0.25">
      <c r="A8" s="17">
        <v>43837</v>
      </c>
      <c r="B8" s="18">
        <v>18</v>
      </c>
      <c r="C8" s="18">
        <v>0</v>
      </c>
      <c r="D8" s="2">
        <f t="shared" si="0"/>
        <v>18</v>
      </c>
      <c r="E8" s="2"/>
      <c r="F8" s="2"/>
      <c r="G8" s="2"/>
      <c r="H8" s="2"/>
      <c r="I8" s="2"/>
      <c r="J8" s="2"/>
      <c r="K8" s="19" t="s">
        <v>586</v>
      </c>
    </row>
    <row r="9" spans="1:12" ht="15" customHeight="1" x14ac:dyDescent="0.25">
      <c r="A9" s="17">
        <v>43839</v>
      </c>
      <c r="B9" s="18">
        <v>0</v>
      </c>
      <c r="C9" s="18">
        <v>7</v>
      </c>
      <c r="D9" s="2">
        <f t="shared" si="0"/>
        <v>-7</v>
      </c>
      <c r="E9" s="2"/>
      <c r="F9" s="2"/>
      <c r="G9" s="2"/>
      <c r="H9" s="2"/>
      <c r="I9" s="2"/>
      <c r="J9" s="2"/>
      <c r="K9" s="19" t="s">
        <v>589</v>
      </c>
      <c r="L9" s="27" t="s">
        <v>588</v>
      </c>
    </row>
    <row r="10" spans="1:12" ht="15" customHeight="1" x14ac:dyDescent="0.25">
      <c r="A10" s="17">
        <v>43840</v>
      </c>
      <c r="B10" s="18">
        <v>0</v>
      </c>
      <c r="C10" s="18">
        <v>3</v>
      </c>
      <c r="D10" s="2">
        <f t="shared" ref="D10" si="1">B10-C10</f>
        <v>-3</v>
      </c>
      <c r="E10" s="2"/>
      <c r="F10" s="2"/>
      <c r="G10" s="2"/>
      <c r="H10" s="2"/>
      <c r="I10" s="2"/>
      <c r="J10" s="2"/>
      <c r="K10" s="19" t="s">
        <v>592</v>
      </c>
      <c r="L10" s="27" t="s">
        <v>591</v>
      </c>
    </row>
    <row r="11" spans="1:12" ht="39" customHeight="1" x14ac:dyDescent="0.25">
      <c r="A11" s="17">
        <v>43840</v>
      </c>
      <c r="B11" s="18">
        <v>12</v>
      </c>
      <c r="C11" s="18">
        <v>0</v>
      </c>
      <c r="D11" s="2">
        <f t="shared" si="0"/>
        <v>12</v>
      </c>
      <c r="E11" s="2"/>
      <c r="F11" s="2"/>
      <c r="G11" s="2"/>
      <c r="H11" s="2"/>
      <c r="I11" s="2"/>
      <c r="J11" s="2"/>
      <c r="K11" s="19" t="s">
        <v>590</v>
      </c>
    </row>
    <row r="12" spans="1:12" ht="54.75" customHeight="1" x14ac:dyDescent="0.25">
      <c r="A12" s="17">
        <v>43845</v>
      </c>
      <c r="B12" s="18">
        <v>0</v>
      </c>
      <c r="C12" s="18">
        <v>21</v>
      </c>
      <c r="D12" s="2">
        <f t="shared" si="0"/>
        <v>-21</v>
      </c>
      <c r="E12" s="2"/>
      <c r="F12" s="2"/>
      <c r="G12" s="2"/>
      <c r="H12" s="2"/>
      <c r="I12" s="2"/>
      <c r="J12" s="2"/>
      <c r="K12" s="19" t="s">
        <v>593</v>
      </c>
      <c r="L12" s="27" t="s">
        <v>594</v>
      </c>
    </row>
    <row r="13" spans="1:12" ht="15" customHeight="1" x14ac:dyDescent="0.25">
      <c r="A13" s="17">
        <v>43845</v>
      </c>
      <c r="B13" s="18">
        <v>1</v>
      </c>
      <c r="C13" s="18">
        <v>1</v>
      </c>
      <c r="D13" s="2">
        <f t="shared" si="0"/>
        <v>0</v>
      </c>
      <c r="E13" s="2"/>
      <c r="F13" s="2"/>
      <c r="G13" s="2"/>
      <c r="H13" s="2"/>
      <c r="I13" s="2"/>
      <c r="J13" s="2"/>
      <c r="K13" s="19" t="s">
        <v>595</v>
      </c>
    </row>
    <row r="14" spans="1:12" ht="67.5" customHeight="1" x14ac:dyDescent="0.25">
      <c r="A14" s="17">
        <v>43845</v>
      </c>
      <c r="B14" s="18">
        <v>35</v>
      </c>
      <c r="C14" s="18">
        <v>0</v>
      </c>
      <c r="D14" s="2">
        <f t="shared" si="0"/>
        <v>35</v>
      </c>
      <c r="E14" s="2"/>
      <c r="F14" s="2"/>
      <c r="G14" s="2"/>
      <c r="H14" s="2"/>
      <c r="I14" s="2"/>
      <c r="J14" s="2"/>
      <c r="K14" s="19" t="s">
        <v>596</v>
      </c>
    </row>
    <row r="15" spans="1:12" ht="15" customHeight="1" x14ac:dyDescent="0.25">
      <c r="A15" s="17">
        <v>43845</v>
      </c>
      <c r="B15" s="18">
        <v>0</v>
      </c>
      <c r="C15" s="18">
        <v>2</v>
      </c>
      <c r="D15" s="2">
        <f t="shared" si="0"/>
        <v>-2</v>
      </c>
      <c r="E15" s="2"/>
      <c r="F15" s="2"/>
      <c r="G15" s="2"/>
      <c r="H15" s="2"/>
      <c r="I15" s="2"/>
      <c r="J15" s="2"/>
      <c r="K15" s="19" t="s">
        <v>597</v>
      </c>
      <c r="L15" s="27" t="s">
        <v>598</v>
      </c>
    </row>
    <row r="16" spans="1:12" ht="15" customHeight="1" x14ac:dyDescent="0.25">
      <c r="A16" s="17">
        <v>43847</v>
      </c>
      <c r="B16" s="18">
        <v>0</v>
      </c>
      <c r="C16" s="18">
        <v>9</v>
      </c>
      <c r="D16" s="2">
        <f t="shared" si="0"/>
        <v>-9</v>
      </c>
      <c r="E16" s="2"/>
      <c r="F16" s="2"/>
      <c r="G16" s="2"/>
      <c r="H16" s="2"/>
      <c r="I16" s="2"/>
      <c r="J16" s="2"/>
      <c r="K16" s="19" t="s">
        <v>599</v>
      </c>
      <c r="L16" s="27" t="s">
        <v>600</v>
      </c>
    </row>
    <row r="17" spans="1:12" ht="15" customHeight="1" x14ac:dyDescent="0.25">
      <c r="A17" s="17">
        <v>43847</v>
      </c>
      <c r="B17" s="18">
        <v>9</v>
      </c>
      <c r="C17" s="18">
        <v>0</v>
      </c>
      <c r="D17" s="2">
        <f t="shared" si="0"/>
        <v>9</v>
      </c>
      <c r="E17" s="2"/>
      <c r="F17" s="2"/>
      <c r="G17" s="2"/>
      <c r="H17" s="2"/>
      <c r="I17" s="2"/>
      <c r="J17" s="2"/>
      <c r="K17" s="19" t="s">
        <v>601</v>
      </c>
    </row>
    <row r="18" spans="1:12" ht="39.75" customHeight="1" x14ac:dyDescent="0.25">
      <c r="A18" s="17">
        <v>43851</v>
      </c>
      <c r="B18" s="18">
        <v>0</v>
      </c>
      <c r="C18" s="18">
        <v>13</v>
      </c>
      <c r="D18" s="2">
        <f t="shared" si="0"/>
        <v>-13</v>
      </c>
      <c r="E18" s="2"/>
      <c r="F18" s="2"/>
      <c r="G18" s="2"/>
      <c r="H18" s="2"/>
      <c r="I18" s="2"/>
      <c r="J18" s="2"/>
      <c r="K18" s="19" t="s">
        <v>602</v>
      </c>
      <c r="L18" s="27" t="s">
        <v>603</v>
      </c>
    </row>
    <row r="19" spans="1:12" ht="15" customHeight="1" x14ac:dyDescent="0.25">
      <c r="A19" s="17">
        <v>43853</v>
      </c>
      <c r="B19" s="18">
        <v>0</v>
      </c>
      <c r="C19" s="18">
        <v>7</v>
      </c>
      <c r="D19" s="2">
        <f t="shared" si="0"/>
        <v>-7</v>
      </c>
      <c r="E19" s="2"/>
      <c r="F19" s="2"/>
      <c r="G19" s="2"/>
      <c r="H19" s="2"/>
      <c r="I19" s="2"/>
      <c r="J19" s="2"/>
      <c r="K19" s="19" t="s">
        <v>604</v>
      </c>
      <c r="L19" s="27" t="s">
        <v>605</v>
      </c>
    </row>
    <row r="20" spans="1:12" ht="15" customHeight="1" x14ac:dyDescent="0.25">
      <c r="A20" s="17">
        <v>43857</v>
      </c>
      <c r="B20" s="18">
        <v>0</v>
      </c>
      <c r="C20" s="18">
        <v>1</v>
      </c>
      <c r="D20" s="2">
        <f t="shared" si="0"/>
        <v>-1</v>
      </c>
      <c r="E20" s="2"/>
      <c r="F20" s="2"/>
      <c r="G20" s="2"/>
      <c r="H20" s="2"/>
      <c r="I20" s="2"/>
      <c r="J20" s="2"/>
      <c r="K20" s="19">
        <v>450800</v>
      </c>
      <c r="L20" s="120" t="s">
        <v>606</v>
      </c>
    </row>
    <row r="21" spans="1:12" ht="56.25" customHeight="1" x14ac:dyDescent="0.25">
      <c r="A21" s="17">
        <v>43857</v>
      </c>
      <c r="B21" s="18">
        <v>26</v>
      </c>
      <c r="C21" s="18">
        <v>0</v>
      </c>
      <c r="D21" s="2">
        <f t="shared" si="0"/>
        <v>26</v>
      </c>
      <c r="E21" s="2"/>
      <c r="F21" s="2"/>
      <c r="G21" s="2"/>
      <c r="H21" s="2"/>
      <c r="I21" s="2"/>
      <c r="J21" s="2"/>
      <c r="K21" s="19" t="s">
        <v>607</v>
      </c>
      <c r="L21" s="120"/>
    </row>
    <row r="22" spans="1:12" ht="39" customHeight="1" x14ac:dyDescent="0.25">
      <c r="A22" s="21">
        <v>43860</v>
      </c>
      <c r="B22" s="22">
        <v>0</v>
      </c>
      <c r="C22" s="22">
        <v>19</v>
      </c>
      <c r="D22" s="2">
        <f t="shared" si="0"/>
        <v>-19</v>
      </c>
      <c r="E22" s="23"/>
      <c r="F22" s="23"/>
      <c r="G22" s="23"/>
      <c r="H22" s="23"/>
      <c r="I22" s="23"/>
      <c r="J22" s="23"/>
      <c r="K22" s="25" t="s">
        <v>609</v>
      </c>
      <c r="L22" s="120" t="s">
        <v>608</v>
      </c>
    </row>
    <row r="23" spans="1:12" ht="58.5" customHeight="1" x14ac:dyDescent="0.25">
      <c r="A23" s="17">
        <v>43860</v>
      </c>
      <c r="B23" s="18">
        <v>22</v>
      </c>
      <c r="C23" s="18">
        <v>0</v>
      </c>
      <c r="D23" s="2">
        <f t="shared" si="0"/>
        <v>22</v>
      </c>
      <c r="E23" s="2"/>
      <c r="F23" s="2"/>
      <c r="G23" s="2"/>
      <c r="H23" s="2"/>
      <c r="I23" s="2"/>
      <c r="J23" s="2"/>
      <c r="K23" s="19" t="s">
        <v>610</v>
      </c>
      <c r="L23" s="120"/>
    </row>
    <row r="24" spans="1:12" ht="15" customHeight="1" x14ac:dyDescent="0.25">
      <c r="A24" s="17"/>
      <c r="B24" s="18"/>
      <c r="C24" s="18"/>
      <c r="D24" s="2">
        <f t="shared" si="0"/>
        <v>0</v>
      </c>
      <c r="E24" s="2"/>
      <c r="F24" s="2"/>
      <c r="G24" s="2"/>
      <c r="H24" s="2"/>
      <c r="I24" s="2"/>
      <c r="J24" s="2"/>
      <c r="K24" s="45"/>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19"/>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20"/>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19"/>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20"/>
    </row>
    <row r="34" spans="1:11" x14ac:dyDescent="0.25">
      <c r="A34" s="17"/>
      <c r="B34" s="18"/>
      <c r="C34" s="18"/>
      <c r="D34" s="2">
        <f t="shared" si="0"/>
        <v>0</v>
      </c>
      <c r="E34" s="2"/>
      <c r="F34" s="2"/>
      <c r="G34" s="2"/>
      <c r="H34" s="2"/>
      <c r="I34" s="2"/>
      <c r="J34" s="2"/>
      <c r="K34" s="19"/>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20"/>
    </row>
    <row r="41" spans="1:11" x14ac:dyDescent="0.25">
      <c r="A41" s="17"/>
      <c r="B41" s="18"/>
      <c r="C41" s="18"/>
      <c r="D41" s="2">
        <f t="shared" si="0"/>
        <v>0</v>
      </c>
      <c r="E41" s="2"/>
      <c r="F41" s="2"/>
      <c r="G41" s="2"/>
      <c r="H41" s="2"/>
      <c r="I41" s="2"/>
      <c r="J41" s="2"/>
      <c r="K41" s="19"/>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row r="45" spans="1:11" x14ac:dyDescent="0.25">
      <c r="A45" s="17"/>
      <c r="B45" s="18"/>
      <c r="C45" s="18"/>
      <c r="D45" s="2">
        <f t="shared" si="0"/>
        <v>0</v>
      </c>
      <c r="E45" s="2"/>
      <c r="F45" s="2"/>
      <c r="G45" s="2"/>
      <c r="H45" s="2"/>
      <c r="I45" s="2"/>
      <c r="J45" s="2"/>
      <c r="K45" s="20"/>
    </row>
  </sheetData>
  <sheetProtection algorithmName="SHA-512" hashValue="CK+J6vujv3O8LmhqD4o0FKlIxi1dwLKnwGTMDRwt6RDX+E4ulbt+idPa45E7fVkX7mJZg8g0G2j5iOhbzNMOxQ==" saltValue="vsr1rd0YSPFOQn/1mHlH2Q==" spinCount="100000" sheet="1" objects="1" scenarios="1" selectLockedCells="1" selectUnlockedCells="1"/>
  <customSheetViews>
    <customSheetView guid="{E5A7B818-645B-417C-A128-9FE559D9B124}" fitToPage="1">
      <pane ySplit="6" topLeftCell="A7" activePane="bottomLeft" state="frozen"/>
      <selection pane="bottomLeft" activeCell="K26" sqref="K2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mergeCells count="2">
    <mergeCell ref="L22:L23"/>
    <mergeCell ref="L20:L21"/>
  </mergeCells>
  <conditionalFormatting sqref="K2">
    <cfRule type="cellIs" dxfId="159" priority="1" operator="lessThan">
      <formula>0</formula>
    </cfRule>
    <cfRule type="cellIs" dxfId="15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42">
    <pageSetUpPr fitToPage="1"/>
  </sheetPr>
  <dimension ref="A1:L44"/>
  <sheetViews>
    <sheetView workbookViewId="0">
      <pane ySplit="6" topLeftCell="A7" activePane="bottomLeft" state="frozen"/>
      <selection pane="bottomLeft" activeCell="K9" sqref="K9"/>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116</v>
      </c>
    </row>
    <row r="3" spans="1:12" ht="15.75" thickBot="1" x14ac:dyDescent="0.3">
      <c r="A3" s="5"/>
      <c r="B3" s="2"/>
      <c r="C3" s="2"/>
      <c r="D3" s="2"/>
      <c r="E3" s="2"/>
      <c r="F3" s="2">
        <f>'01.20'!F6</f>
        <v>572</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478</v>
      </c>
      <c r="G6" s="30">
        <f>SUM(B:B)</f>
        <v>59</v>
      </c>
      <c r="H6" s="30">
        <f>SUM(C:C)</f>
        <v>153</v>
      </c>
      <c r="I6" s="30"/>
      <c r="J6" s="33">
        <f>SUM(G6:H6)+SUM(E:E)</f>
        <v>228</v>
      </c>
      <c r="K6" s="34"/>
      <c r="L6" s="50">
        <f>J6/K1</f>
        <v>0.38383838383838381</v>
      </c>
    </row>
    <row r="7" spans="1:12" ht="15" customHeight="1" x14ac:dyDescent="0.25">
      <c r="A7" s="17">
        <v>43864</v>
      </c>
      <c r="B7" s="18">
        <v>0</v>
      </c>
      <c r="C7" s="18">
        <v>0</v>
      </c>
      <c r="D7" s="2">
        <f t="shared" ref="D7:D44" si="0">B7-C7</f>
        <v>0</v>
      </c>
      <c r="E7" s="2">
        <v>12</v>
      </c>
      <c r="F7" s="2"/>
      <c r="G7" s="2"/>
      <c r="H7" s="2"/>
      <c r="I7" s="2"/>
      <c r="J7" s="2"/>
      <c r="K7" s="61" t="s">
        <v>107</v>
      </c>
      <c r="L7" s="53" t="s">
        <v>341</v>
      </c>
    </row>
    <row r="8" spans="1:12" ht="39.75" customHeight="1" x14ac:dyDescent="0.25">
      <c r="A8" s="17">
        <v>43864</v>
      </c>
      <c r="B8" s="18">
        <v>12</v>
      </c>
      <c r="C8" s="18">
        <v>0</v>
      </c>
      <c r="D8" s="2">
        <f t="shared" si="0"/>
        <v>12</v>
      </c>
      <c r="E8" s="2"/>
      <c r="F8" s="2"/>
      <c r="G8" s="2"/>
      <c r="H8" s="2"/>
      <c r="I8" s="2"/>
      <c r="J8" s="2"/>
      <c r="K8" s="19" t="s">
        <v>613</v>
      </c>
      <c r="L8" s="27" t="s">
        <v>612</v>
      </c>
    </row>
    <row r="9" spans="1:12" ht="40.5" customHeight="1" x14ac:dyDescent="0.25">
      <c r="A9" s="17">
        <v>43864</v>
      </c>
      <c r="B9" s="18">
        <v>0</v>
      </c>
      <c r="C9" s="18">
        <v>17</v>
      </c>
      <c r="D9" s="2">
        <f t="shared" si="0"/>
        <v>-17</v>
      </c>
      <c r="E9" s="2"/>
      <c r="F9" s="2"/>
      <c r="G9" s="2"/>
      <c r="H9" s="2"/>
      <c r="I9" s="2"/>
      <c r="J9" s="2"/>
      <c r="K9" s="19" t="s">
        <v>614</v>
      </c>
      <c r="L9" s="46" t="s">
        <v>611</v>
      </c>
    </row>
    <row r="10" spans="1:12" ht="39.75" customHeight="1" x14ac:dyDescent="0.25">
      <c r="A10" s="17">
        <v>43865</v>
      </c>
      <c r="B10" s="18">
        <v>0</v>
      </c>
      <c r="C10" s="18">
        <v>11</v>
      </c>
      <c r="D10" s="2">
        <f t="shared" si="0"/>
        <v>-11</v>
      </c>
      <c r="E10" s="2"/>
      <c r="F10" s="2"/>
      <c r="G10" s="2"/>
      <c r="H10" s="2"/>
      <c r="I10" s="2"/>
      <c r="J10" s="2"/>
      <c r="K10" s="19" t="s">
        <v>615</v>
      </c>
      <c r="L10" s="46" t="s">
        <v>617</v>
      </c>
    </row>
    <row r="11" spans="1:12" ht="15" customHeight="1" x14ac:dyDescent="0.25">
      <c r="A11" s="17">
        <v>43865</v>
      </c>
      <c r="B11" s="18">
        <v>2</v>
      </c>
      <c r="C11" s="18">
        <v>2</v>
      </c>
      <c r="D11" s="2">
        <f t="shared" si="0"/>
        <v>0</v>
      </c>
      <c r="E11" s="2">
        <v>3</v>
      </c>
      <c r="F11" s="2"/>
      <c r="G11" s="2"/>
      <c r="H11" s="2"/>
      <c r="I11" s="2"/>
      <c r="J11" s="2"/>
      <c r="K11" s="19" t="s">
        <v>619</v>
      </c>
      <c r="L11" s="121" t="s">
        <v>618</v>
      </c>
    </row>
    <row r="12" spans="1:12" ht="39" customHeight="1" x14ac:dyDescent="0.25">
      <c r="A12" s="17">
        <v>43865</v>
      </c>
      <c r="B12" s="18">
        <v>0</v>
      </c>
      <c r="C12" s="18">
        <v>18</v>
      </c>
      <c r="D12" s="2">
        <f t="shared" si="0"/>
        <v>-18</v>
      </c>
      <c r="E12" s="2"/>
      <c r="F12" s="2"/>
      <c r="G12" s="2"/>
      <c r="H12" s="2"/>
      <c r="I12" s="2"/>
      <c r="J12" s="2"/>
      <c r="K12" s="19" t="s">
        <v>620</v>
      </c>
      <c r="L12" s="121"/>
    </row>
    <row r="13" spans="1:12" ht="15" customHeight="1" x14ac:dyDescent="0.25">
      <c r="A13" s="17">
        <v>43866</v>
      </c>
      <c r="B13" s="18">
        <v>0</v>
      </c>
      <c r="C13" s="18">
        <v>7</v>
      </c>
      <c r="D13" s="2">
        <f t="shared" si="0"/>
        <v>-7</v>
      </c>
      <c r="E13" s="2"/>
      <c r="F13" s="2"/>
      <c r="G13" s="2"/>
      <c r="H13" s="2"/>
      <c r="I13" s="2"/>
      <c r="J13" s="2"/>
      <c r="K13" s="19" t="s">
        <v>622</v>
      </c>
      <c r="L13" s="27" t="s">
        <v>621</v>
      </c>
    </row>
    <row r="14" spans="1:12" ht="15" customHeight="1" x14ac:dyDescent="0.25">
      <c r="A14" s="17">
        <v>43866</v>
      </c>
      <c r="B14" s="18">
        <v>9</v>
      </c>
      <c r="C14" s="18">
        <v>0</v>
      </c>
      <c r="D14" s="2">
        <f t="shared" si="0"/>
        <v>9</v>
      </c>
      <c r="E14" s="2"/>
      <c r="F14" s="2"/>
      <c r="G14" s="2"/>
      <c r="H14" s="2"/>
      <c r="I14" s="2"/>
      <c r="J14" s="2"/>
      <c r="K14" s="87" t="s">
        <v>623</v>
      </c>
      <c r="L14" s="86" t="s">
        <v>624</v>
      </c>
    </row>
    <row r="15" spans="1:12" ht="39.75" customHeight="1" x14ac:dyDescent="0.25">
      <c r="A15" s="17">
        <v>43866</v>
      </c>
      <c r="B15" s="18">
        <v>6</v>
      </c>
      <c r="C15" s="18">
        <v>6</v>
      </c>
      <c r="D15" s="2">
        <f t="shared" si="0"/>
        <v>0</v>
      </c>
      <c r="E15" s="2"/>
      <c r="F15" s="2"/>
      <c r="G15" s="2"/>
      <c r="H15" s="2"/>
      <c r="I15" s="2"/>
      <c r="J15" s="2"/>
      <c r="K15" s="87" t="s">
        <v>625</v>
      </c>
      <c r="L15" s="86" t="s">
        <v>624</v>
      </c>
    </row>
    <row r="16" spans="1:12" ht="15" customHeight="1" x14ac:dyDescent="0.25">
      <c r="A16" s="17">
        <v>43868</v>
      </c>
      <c r="B16" s="18">
        <v>1</v>
      </c>
      <c r="C16" s="18">
        <v>1</v>
      </c>
      <c r="D16" s="2">
        <f t="shared" si="0"/>
        <v>0</v>
      </c>
      <c r="E16" s="2">
        <v>1</v>
      </c>
      <c r="F16" s="2"/>
      <c r="G16" s="2"/>
      <c r="H16" s="2"/>
      <c r="I16" s="2"/>
      <c r="J16" s="2"/>
      <c r="K16" s="19" t="s">
        <v>626</v>
      </c>
      <c r="L16" s="27" t="s">
        <v>627</v>
      </c>
    </row>
    <row r="17" spans="1:12" ht="15" customHeight="1" x14ac:dyDescent="0.25">
      <c r="A17" s="17">
        <v>43868</v>
      </c>
      <c r="B17" s="18">
        <v>9</v>
      </c>
      <c r="C17" s="18">
        <v>0</v>
      </c>
      <c r="D17" s="2">
        <f t="shared" si="0"/>
        <v>9</v>
      </c>
      <c r="E17" s="2"/>
      <c r="F17" s="2"/>
      <c r="G17" s="2"/>
      <c r="H17" s="2"/>
      <c r="I17" s="2"/>
      <c r="J17" s="2"/>
      <c r="K17" s="19" t="s">
        <v>628</v>
      </c>
    </row>
    <row r="18" spans="1:12" ht="36.75" customHeight="1" x14ac:dyDescent="0.25">
      <c r="A18" s="17">
        <v>43874</v>
      </c>
      <c r="B18" s="18">
        <v>0</v>
      </c>
      <c r="C18" s="18">
        <v>17</v>
      </c>
      <c r="D18" s="2">
        <f t="shared" si="0"/>
        <v>-17</v>
      </c>
      <c r="E18" s="2"/>
      <c r="F18" s="2"/>
      <c r="G18" s="2"/>
      <c r="H18" s="2"/>
      <c r="I18" s="2"/>
      <c r="J18" s="2"/>
      <c r="K18" s="19" t="s">
        <v>629</v>
      </c>
    </row>
    <row r="19" spans="1:12" ht="37.5" customHeight="1" x14ac:dyDescent="0.25">
      <c r="A19" s="17">
        <v>43878</v>
      </c>
      <c r="B19" s="18">
        <v>0</v>
      </c>
      <c r="C19" s="18">
        <v>18</v>
      </c>
      <c r="D19" s="2">
        <f t="shared" si="0"/>
        <v>-18</v>
      </c>
      <c r="E19" s="2"/>
      <c r="F19" s="2"/>
      <c r="G19" s="2"/>
      <c r="H19" s="2"/>
      <c r="I19" s="2"/>
      <c r="J19" s="2"/>
      <c r="K19" s="19" t="s">
        <v>630</v>
      </c>
    </row>
    <row r="20" spans="1:12" ht="15" customHeight="1" x14ac:dyDescent="0.25">
      <c r="A20" s="17">
        <v>43880</v>
      </c>
      <c r="B20" s="18">
        <v>0</v>
      </c>
      <c r="C20" s="18">
        <v>9</v>
      </c>
      <c r="D20" s="2">
        <f t="shared" si="0"/>
        <v>-9</v>
      </c>
      <c r="E20" s="2"/>
      <c r="F20" s="2"/>
      <c r="G20" s="2"/>
      <c r="H20" s="2"/>
      <c r="I20" s="2"/>
      <c r="J20" s="2"/>
      <c r="K20" s="19" t="s">
        <v>631</v>
      </c>
      <c r="L20" s="121" t="s">
        <v>632</v>
      </c>
    </row>
    <row r="21" spans="1:12" ht="37.5" customHeight="1" x14ac:dyDescent="0.25">
      <c r="A21" s="21">
        <v>43880</v>
      </c>
      <c r="B21" s="22">
        <v>17</v>
      </c>
      <c r="C21" s="22">
        <v>0</v>
      </c>
      <c r="D21" s="2">
        <f t="shared" si="0"/>
        <v>17</v>
      </c>
      <c r="E21" s="23"/>
      <c r="F21" s="23"/>
      <c r="G21" s="23"/>
      <c r="H21" s="23"/>
      <c r="I21" s="23"/>
      <c r="J21" s="23"/>
      <c r="K21" s="25" t="s">
        <v>633</v>
      </c>
      <c r="L21" s="121"/>
    </row>
    <row r="22" spans="1:12" ht="39.75" customHeight="1" x14ac:dyDescent="0.25">
      <c r="A22" s="17">
        <v>43882</v>
      </c>
      <c r="B22" s="18">
        <v>0</v>
      </c>
      <c r="C22" s="18">
        <v>17</v>
      </c>
      <c r="D22" s="2">
        <f t="shared" si="0"/>
        <v>-17</v>
      </c>
      <c r="E22" s="2"/>
      <c r="F22" s="2"/>
      <c r="G22" s="2"/>
      <c r="H22" s="2"/>
      <c r="I22" s="2"/>
      <c r="J22" s="2"/>
      <c r="K22" s="19" t="s">
        <v>634</v>
      </c>
    </row>
    <row r="23" spans="1:12" ht="15" customHeight="1" x14ac:dyDescent="0.25">
      <c r="A23" s="17">
        <v>43882</v>
      </c>
      <c r="B23" s="18">
        <v>0</v>
      </c>
      <c r="C23" s="18">
        <v>1</v>
      </c>
      <c r="D23" s="2">
        <f t="shared" si="0"/>
        <v>-1</v>
      </c>
      <c r="E23" s="2"/>
      <c r="F23" s="2"/>
      <c r="G23" s="2"/>
      <c r="H23" s="2"/>
      <c r="I23" s="2"/>
      <c r="J23" s="2"/>
      <c r="K23" s="45">
        <v>527543</v>
      </c>
      <c r="L23" s="27" t="s">
        <v>635</v>
      </c>
    </row>
    <row r="24" spans="1:12" ht="58.5" customHeight="1" x14ac:dyDescent="0.25">
      <c r="A24" s="17">
        <v>43888</v>
      </c>
      <c r="B24" s="18">
        <v>0</v>
      </c>
      <c r="C24" s="18">
        <v>29</v>
      </c>
      <c r="D24" s="2">
        <f t="shared" si="0"/>
        <v>-29</v>
      </c>
      <c r="E24" s="2"/>
      <c r="F24" s="2"/>
      <c r="G24" s="2"/>
      <c r="H24" s="2"/>
      <c r="I24" s="2"/>
      <c r="J24" s="2"/>
      <c r="K24" s="19" t="s">
        <v>636</v>
      </c>
    </row>
    <row r="25" spans="1:12" ht="15" customHeight="1" x14ac:dyDescent="0.25">
      <c r="A25" s="17">
        <v>43888</v>
      </c>
      <c r="B25" s="18">
        <v>3</v>
      </c>
      <c r="C25" s="18">
        <v>0</v>
      </c>
      <c r="D25" s="2">
        <f t="shared" si="0"/>
        <v>3</v>
      </c>
      <c r="E25" s="2"/>
      <c r="F25" s="2"/>
      <c r="G25" s="2"/>
      <c r="H25" s="2"/>
      <c r="I25" s="2"/>
      <c r="J25" s="2"/>
      <c r="K25" s="19" t="s">
        <v>637</v>
      </c>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9IO6aMazQ5TA45I/bZHhLK8wquxKCh9GsZIxvE6l5lW7rjuAjTB6GjDi20UdZ2Rmi1t6aFxZsH+Dfbx15GutMw==" saltValue="sUB79CcIBFH7immVoTAgLg==" spinCount="100000" sheet="1" objects="1" scenarios="1" selectLockedCells="1" selectUnlockedCells="1"/>
  <customSheetViews>
    <customSheetView guid="{E5A7B818-645B-417C-A128-9FE559D9B124}" fitToPage="1">
      <pane ySplit="6" topLeftCell="A7" activePane="bottomLeft" state="frozen"/>
      <selection pane="bottomLeft" activeCell="K9" sqref="K9"/>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mergeCells count="2">
    <mergeCell ref="L11:L12"/>
    <mergeCell ref="L20:L21"/>
  </mergeCells>
  <conditionalFormatting sqref="K2">
    <cfRule type="cellIs" dxfId="157" priority="1" operator="lessThan">
      <formula>0</formula>
    </cfRule>
    <cfRule type="cellIs" dxfId="15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Tabelle43">
    <pageSetUpPr fitToPage="1"/>
  </sheetPr>
  <dimension ref="A1:L44"/>
  <sheetViews>
    <sheetView workbookViewId="0">
      <pane ySplit="6" topLeftCell="A10" activePane="bottomLeft" state="frozen"/>
      <selection pane="bottomLeft" activeCell="L19" sqref="L19"/>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118</v>
      </c>
    </row>
    <row r="3" spans="1:12" ht="15.75" thickBot="1" x14ac:dyDescent="0.3">
      <c r="A3" s="5"/>
      <c r="B3" s="2"/>
      <c r="C3" s="2"/>
      <c r="D3" s="2"/>
      <c r="E3" s="2"/>
      <c r="F3" s="2">
        <f>'02.20'!F6</f>
        <v>478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476</v>
      </c>
      <c r="G6" s="30">
        <f>SUM(B:B)</f>
        <v>109</v>
      </c>
      <c r="H6" s="30">
        <f>SUM(C:C)</f>
        <v>111</v>
      </c>
      <c r="I6" s="30"/>
      <c r="J6" s="33">
        <f>SUM(G6:H6)+SUM(E:E)</f>
        <v>220</v>
      </c>
      <c r="K6" s="34"/>
      <c r="L6" s="50">
        <f>J6/K1</f>
        <v>0.37037037037037035</v>
      </c>
    </row>
    <row r="7" spans="1:12" ht="48" customHeight="1" x14ac:dyDescent="0.25">
      <c r="A7" s="17">
        <v>43893</v>
      </c>
      <c r="B7" s="18">
        <v>23</v>
      </c>
      <c r="C7" s="18">
        <v>0</v>
      </c>
      <c r="D7" s="2">
        <f t="shared" ref="D7:D44" si="0">B7-C7</f>
        <v>23</v>
      </c>
      <c r="E7" s="2"/>
      <c r="F7" s="2"/>
      <c r="G7" s="2"/>
      <c r="H7" s="2"/>
      <c r="I7" s="2"/>
      <c r="J7" s="2"/>
      <c r="K7" s="19" t="s">
        <v>638</v>
      </c>
      <c r="L7" s="27" t="s">
        <v>639</v>
      </c>
    </row>
    <row r="8" spans="1:12" ht="39.75" customHeight="1" x14ac:dyDescent="0.25">
      <c r="A8" s="17">
        <v>43894</v>
      </c>
      <c r="B8" s="18">
        <v>12</v>
      </c>
      <c r="C8" s="18">
        <v>0</v>
      </c>
      <c r="D8" s="2">
        <f t="shared" si="0"/>
        <v>12</v>
      </c>
      <c r="E8" s="2"/>
      <c r="F8" s="2"/>
      <c r="G8" s="2"/>
      <c r="H8" s="2"/>
      <c r="I8" s="2"/>
      <c r="J8" s="2"/>
      <c r="K8" s="19" t="s">
        <v>640</v>
      </c>
    </row>
    <row r="9" spans="1:12" ht="68.25" customHeight="1" x14ac:dyDescent="0.25">
      <c r="A9" s="17">
        <v>43895</v>
      </c>
      <c r="B9" s="18">
        <v>0</v>
      </c>
      <c r="C9" s="18">
        <v>36</v>
      </c>
      <c r="D9" s="2">
        <f t="shared" si="0"/>
        <v>-36</v>
      </c>
      <c r="E9" s="2"/>
      <c r="F9" s="2"/>
      <c r="G9" s="2"/>
      <c r="H9" s="2"/>
      <c r="I9" s="2"/>
      <c r="J9" s="2"/>
      <c r="K9" s="19" t="s">
        <v>641</v>
      </c>
    </row>
    <row r="10" spans="1:12" ht="54" customHeight="1" x14ac:dyDescent="0.3">
      <c r="A10" s="17">
        <v>43902</v>
      </c>
      <c r="B10" s="18">
        <v>0</v>
      </c>
      <c r="C10" s="18">
        <v>21</v>
      </c>
      <c r="D10" s="2">
        <f t="shared" si="0"/>
        <v>-21</v>
      </c>
      <c r="E10" s="2"/>
      <c r="F10" s="2"/>
      <c r="G10" s="2"/>
      <c r="H10" s="2"/>
      <c r="I10" s="2"/>
      <c r="J10" s="2"/>
      <c r="K10" s="19" t="s">
        <v>642</v>
      </c>
      <c r="L10" s="38"/>
    </row>
    <row r="11" spans="1:12" ht="15" customHeight="1" x14ac:dyDescent="0.25">
      <c r="A11" s="17">
        <v>43906</v>
      </c>
      <c r="B11" s="18">
        <v>0</v>
      </c>
      <c r="C11" s="18">
        <v>10</v>
      </c>
      <c r="D11" s="2">
        <f t="shared" si="0"/>
        <v>-10</v>
      </c>
      <c r="E11" s="2"/>
      <c r="F11" s="2"/>
      <c r="G11" s="2"/>
      <c r="H11" s="2"/>
      <c r="I11" s="2"/>
      <c r="J11" s="2"/>
      <c r="K11" s="19" t="s">
        <v>643</v>
      </c>
      <c r="L11" s="27" t="s">
        <v>644</v>
      </c>
    </row>
    <row r="12" spans="1:12" ht="54.75" customHeight="1" x14ac:dyDescent="0.25">
      <c r="A12" s="17">
        <v>43906</v>
      </c>
      <c r="B12" s="18">
        <v>29</v>
      </c>
      <c r="C12" s="18">
        <v>0</v>
      </c>
      <c r="D12" s="2">
        <f t="shared" si="0"/>
        <v>29</v>
      </c>
      <c r="E12" s="2"/>
      <c r="F12" s="2"/>
      <c r="G12" s="2"/>
      <c r="H12" s="2"/>
      <c r="I12" s="2"/>
      <c r="J12" s="2"/>
      <c r="K12" s="19" t="s">
        <v>645</v>
      </c>
    </row>
    <row r="13" spans="1:12" ht="15" customHeight="1" x14ac:dyDescent="0.25">
      <c r="A13" s="17">
        <v>43909</v>
      </c>
      <c r="B13" s="18">
        <v>0</v>
      </c>
      <c r="C13" s="18">
        <v>2</v>
      </c>
      <c r="D13" s="2">
        <f t="shared" si="0"/>
        <v>-2</v>
      </c>
      <c r="E13" s="2"/>
      <c r="F13" s="2"/>
      <c r="G13" s="2"/>
      <c r="H13" s="2"/>
      <c r="I13" s="2"/>
      <c r="J13" s="2"/>
      <c r="K13" s="19" t="s">
        <v>646</v>
      </c>
    </row>
    <row r="14" spans="1:12" ht="15" customHeight="1" x14ac:dyDescent="0.25">
      <c r="A14" s="17">
        <v>43909</v>
      </c>
      <c r="B14" s="18">
        <v>2</v>
      </c>
      <c r="C14" s="18">
        <v>0</v>
      </c>
      <c r="D14" s="2">
        <f t="shared" si="0"/>
        <v>2</v>
      </c>
      <c r="E14" s="2"/>
      <c r="F14" s="2"/>
      <c r="G14" s="2"/>
      <c r="H14" s="2"/>
      <c r="I14" s="2"/>
      <c r="J14" s="2"/>
      <c r="K14" s="19" t="s">
        <v>647</v>
      </c>
    </row>
    <row r="15" spans="1:12" ht="66.75" customHeight="1" x14ac:dyDescent="0.25">
      <c r="A15" s="17">
        <v>43910</v>
      </c>
      <c r="B15" s="18">
        <v>0</v>
      </c>
      <c r="C15" s="18">
        <v>32</v>
      </c>
      <c r="D15" s="2">
        <f t="shared" si="0"/>
        <v>-32</v>
      </c>
      <c r="E15" s="2"/>
      <c r="F15" s="2"/>
      <c r="G15" s="2"/>
      <c r="H15" s="2"/>
      <c r="I15" s="2"/>
      <c r="J15" s="2"/>
      <c r="K15" s="19" t="s">
        <v>648</v>
      </c>
    </row>
    <row r="16" spans="1:12" ht="15" customHeight="1" x14ac:dyDescent="0.25">
      <c r="A16" s="17">
        <v>43910</v>
      </c>
      <c r="B16" s="18">
        <v>0</v>
      </c>
      <c r="C16" s="18">
        <v>10</v>
      </c>
      <c r="D16" s="2">
        <f t="shared" si="0"/>
        <v>-10</v>
      </c>
      <c r="E16" s="2"/>
      <c r="F16" s="2"/>
      <c r="G16" s="2"/>
      <c r="H16" s="2"/>
      <c r="I16" s="2"/>
      <c r="J16" s="2"/>
      <c r="K16" s="19" t="s">
        <v>649</v>
      </c>
      <c r="L16" s="27" t="s">
        <v>650</v>
      </c>
    </row>
    <row r="17" spans="1:12" ht="15" customHeight="1" x14ac:dyDescent="0.25">
      <c r="A17" s="17">
        <v>43910</v>
      </c>
      <c r="B17" s="18">
        <v>8</v>
      </c>
      <c r="C17" s="18">
        <v>0</v>
      </c>
      <c r="D17" s="2">
        <f t="shared" si="0"/>
        <v>8</v>
      </c>
      <c r="E17" s="2"/>
      <c r="F17" s="2"/>
      <c r="G17" s="2"/>
      <c r="H17" s="2"/>
      <c r="I17" s="2"/>
      <c r="J17" s="2"/>
      <c r="K17" s="19" t="s">
        <v>651</v>
      </c>
    </row>
    <row r="18" spans="1:12" ht="52.5" customHeight="1" x14ac:dyDescent="0.25">
      <c r="A18" s="17">
        <v>43914</v>
      </c>
      <c r="B18" s="18">
        <v>22</v>
      </c>
      <c r="C18" s="18">
        <v>0</v>
      </c>
      <c r="D18" s="2">
        <f t="shared" si="0"/>
        <v>22</v>
      </c>
      <c r="E18" s="2"/>
      <c r="F18" s="2"/>
      <c r="G18" s="2"/>
      <c r="H18" s="2"/>
      <c r="I18" s="2"/>
      <c r="J18" s="2"/>
      <c r="K18" s="19" t="s">
        <v>652</v>
      </c>
    </row>
    <row r="19" spans="1:12" ht="38.25" customHeight="1" x14ac:dyDescent="0.25">
      <c r="A19" s="17">
        <v>43916</v>
      </c>
      <c r="B19" s="18">
        <v>13</v>
      </c>
      <c r="C19" s="18">
        <v>0</v>
      </c>
      <c r="D19" s="2">
        <f t="shared" si="0"/>
        <v>13</v>
      </c>
      <c r="E19" s="2"/>
      <c r="F19" s="2"/>
      <c r="G19" s="2"/>
      <c r="H19" s="2"/>
      <c r="I19" s="2"/>
      <c r="J19" s="2"/>
      <c r="K19" s="19" t="s">
        <v>653</v>
      </c>
      <c r="L19" s="27" t="s">
        <v>654</v>
      </c>
    </row>
    <row r="20" spans="1:12" ht="15" customHeight="1" x14ac:dyDescent="0.25">
      <c r="A20" s="17"/>
      <c r="B20" s="18"/>
      <c r="C20" s="18"/>
      <c r="D20" s="2">
        <f t="shared" si="0"/>
        <v>0</v>
      </c>
      <c r="E20" s="2"/>
      <c r="F20" s="2"/>
      <c r="G20" s="2"/>
      <c r="H20" s="2"/>
      <c r="I20" s="2"/>
      <c r="J20" s="2"/>
      <c r="K20" s="19"/>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uVLnuRq45yJSSetf9BvDKafzTOoairgVZ5dobVwQY81DGWFTYodCxqQp2EcwvxBM7PDUNw8BrXwTOOnbqFvSFg==" saltValue="TGeB1WltEH5xwfbc/nlMFA==" spinCount="100000" sheet="1" objects="1" scenarios="1" selectLockedCells="1" selectUnlockedCells="1"/>
  <customSheetViews>
    <customSheetView guid="{E5A7B818-645B-417C-A128-9FE559D9B124}" fitToPage="1">
      <pane ySplit="6" topLeftCell="A10" activePane="bottomLeft" state="frozen"/>
      <selection pane="bottomLeft" activeCell="L19" sqref="L19"/>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55" priority="1" operator="lessThan">
      <formula>0</formula>
    </cfRule>
    <cfRule type="cellIs" dxfId="15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Tabelle44">
    <pageSetUpPr fitToPage="1"/>
  </sheetPr>
  <dimension ref="A1:L44"/>
  <sheetViews>
    <sheetView workbookViewId="0">
      <pane ySplit="6" topLeftCell="A7" activePane="bottomLeft" state="frozen"/>
      <selection pane="bottomLeft" activeCell="K17" sqref="K17"/>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216</v>
      </c>
    </row>
    <row r="3" spans="1:12" ht="15.75" thickBot="1" x14ac:dyDescent="0.3">
      <c r="A3" s="5"/>
      <c r="B3" s="2"/>
      <c r="C3" s="2"/>
      <c r="D3" s="2"/>
      <c r="E3" s="2"/>
      <c r="F3" s="2">
        <f>'03.20'!F6</f>
        <v>476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378</v>
      </c>
      <c r="G6" s="30">
        <f>SUM(B:B)</f>
        <v>53</v>
      </c>
      <c r="H6" s="30">
        <f>SUM(C:C)</f>
        <v>151</v>
      </c>
      <c r="I6" s="30"/>
      <c r="J6" s="33">
        <f>SUM(G6:H6)+SUM(E:E)</f>
        <v>247</v>
      </c>
      <c r="K6" s="34"/>
      <c r="L6" s="50">
        <f>J6/K1</f>
        <v>0.41582491582491582</v>
      </c>
    </row>
    <row r="7" spans="1:12" ht="36.75" customHeight="1" x14ac:dyDescent="0.25">
      <c r="A7" s="17">
        <v>43922</v>
      </c>
      <c r="B7" s="18">
        <v>0</v>
      </c>
      <c r="C7" s="18">
        <v>18</v>
      </c>
      <c r="D7" s="2">
        <f t="shared" ref="D7:D44" si="0">B7-C7</f>
        <v>-18</v>
      </c>
      <c r="E7" s="2"/>
      <c r="F7" s="2"/>
      <c r="G7" s="2"/>
      <c r="H7" s="2"/>
      <c r="I7" s="2"/>
      <c r="J7" s="2"/>
      <c r="K7" s="19" t="s">
        <v>656</v>
      </c>
      <c r="L7" s="27" t="s">
        <v>655</v>
      </c>
    </row>
    <row r="8" spans="1:12" ht="15" customHeight="1" x14ac:dyDescent="0.25">
      <c r="A8" s="17">
        <v>43922</v>
      </c>
      <c r="B8" s="18">
        <v>10</v>
      </c>
      <c r="C8" s="18">
        <v>0</v>
      </c>
      <c r="D8" s="2">
        <f t="shared" si="0"/>
        <v>10</v>
      </c>
      <c r="E8" s="2"/>
      <c r="F8" s="2"/>
      <c r="G8" s="2"/>
      <c r="H8" s="2"/>
      <c r="I8" s="2"/>
      <c r="J8" s="2"/>
      <c r="K8" s="19" t="s">
        <v>657</v>
      </c>
    </row>
    <row r="9" spans="1:12" ht="15" customHeight="1" x14ac:dyDescent="0.25">
      <c r="A9" s="17">
        <v>43923</v>
      </c>
      <c r="B9" s="18">
        <v>0</v>
      </c>
      <c r="C9" s="18">
        <v>0</v>
      </c>
      <c r="D9" s="2">
        <f t="shared" si="0"/>
        <v>0</v>
      </c>
      <c r="E9" s="2">
        <v>35</v>
      </c>
      <c r="F9" s="2"/>
      <c r="G9" s="2"/>
      <c r="H9" s="2"/>
      <c r="I9" s="2"/>
      <c r="J9" s="2"/>
      <c r="K9" s="61" t="s">
        <v>107</v>
      </c>
      <c r="L9" s="53" t="s">
        <v>341</v>
      </c>
    </row>
    <row r="10" spans="1:12" ht="67.5" customHeight="1" x14ac:dyDescent="0.25">
      <c r="A10" s="17">
        <v>43923</v>
      </c>
      <c r="B10" s="18">
        <v>35</v>
      </c>
      <c r="C10" s="18">
        <v>0</v>
      </c>
      <c r="D10" s="2">
        <f t="shared" si="0"/>
        <v>35</v>
      </c>
      <c r="E10" s="2"/>
      <c r="F10" s="2"/>
      <c r="G10" s="2"/>
      <c r="H10" s="2"/>
      <c r="I10" s="2"/>
      <c r="J10" s="2"/>
      <c r="K10" s="19" t="s">
        <v>658</v>
      </c>
      <c r="L10" s="53" t="s">
        <v>659</v>
      </c>
    </row>
    <row r="11" spans="1:12" ht="15" customHeight="1" x14ac:dyDescent="0.3">
      <c r="A11" s="17">
        <v>43923</v>
      </c>
      <c r="B11" s="18">
        <v>8</v>
      </c>
      <c r="C11" s="18">
        <v>8</v>
      </c>
      <c r="D11" s="2">
        <f t="shared" si="0"/>
        <v>0</v>
      </c>
      <c r="E11" s="2">
        <v>8</v>
      </c>
      <c r="F11" s="2"/>
      <c r="G11" s="2"/>
      <c r="H11" s="2"/>
      <c r="I11" s="2"/>
      <c r="J11" s="2"/>
      <c r="K11" s="19" t="s">
        <v>660</v>
      </c>
      <c r="L11" s="38"/>
    </row>
    <row r="12" spans="1:12" ht="15" customHeight="1" x14ac:dyDescent="0.25">
      <c r="A12" s="17">
        <v>43923</v>
      </c>
      <c r="B12" s="18">
        <v>0</v>
      </c>
      <c r="C12" s="18">
        <v>9</v>
      </c>
      <c r="D12" s="2">
        <f t="shared" si="0"/>
        <v>-9</v>
      </c>
      <c r="E12" s="2"/>
      <c r="F12" s="2"/>
      <c r="G12" s="2"/>
      <c r="H12" s="2"/>
      <c r="I12" s="2"/>
      <c r="J12" s="2"/>
      <c r="K12" s="19" t="s">
        <v>661</v>
      </c>
    </row>
    <row r="13" spans="1:12" ht="15" customHeight="1" x14ac:dyDescent="0.25">
      <c r="A13" s="17">
        <v>43928</v>
      </c>
      <c r="B13" s="18">
        <v>0</v>
      </c>
      <c r="C13" s="18">
        <v>5</v>
      </c>
      <c r="D13" s="2">
        <f t="shared" si="0"/>
        <v>-5</v>
      </c>
      <c r="E13" s="2"/>
      <c r="F13" s="2"/>
      <c r="G13" s="2"/>
      <c r="H13" s="2"/>
      <c r="I13" s="2"/>
      <c r="J13" s="2"/>
      <c r="K13" s="19" t="s">
        <v>663</v>
      </c>
      <c r="L13" s="27" t="s">
        <v>662</v>
      </c>
    </row>
    <row r="14" spans="1:12" ht="66.75" customHeight="1" x14ac:dyDescent="0.25">
      <c r="A14" s="17">
        <v>43929</v>
      </c>
      <c r="B14" s="18">
        <v>0</v>
      </c>
      <c r="C14" s="18">
        <v>31</v>
      </c>
      <c r="D14" s="2">
        <f t="shared" si="0"/>
        <v>-31</v>
      </c>
      <c r="E14" s="2"/>
      <c r="F14" s="2"/>
      <c r="G14" s="2"/>
      <c r="H14" s="2"/>
      <c r="I14" s="2"/>
      <c r="J14" s="2"/>
      <c r="K14" s="19" t="s">
        <v>664</v>
      </c>
      <c r="L14" s="27" t="s">
        <v>665</v>
      </c>
    </row>
    <row r="15" spans="1:12" ht="40.5" customHeight="1" x14ac:dyDescent="0.25">
      <c r="A15" s="17">
        <v>43929</v>
      </c>
      <c r="B15" s="18">
        <v>0</v>
      </c>
      <c r="C15" s="18">
        <v>16</v>
      </c>
      <c r="D15" s="2">
        <f t="shared" si="0"/>
        <v>-16</v>
      </c>
      <c r="E15" s="2"/>
      <c r="F15" s="2"/>
      <c r="G15" s="2"/>
      <c r="H15" s="2"/>
      <c r="I15" s="2"/>
      <c r="J15" s="2"/>
      <c r="K15" s="19" t="s">
        <v>666</v>
      </c>
      <c r="L15" s="27" t="s">
        <v>667</v>
      </c>
    </row>
    <row r="16" spans="1:12" ht="38.25" customHeight="1" x14ac:dyDescent="0.25">
      <c r="A16" s="17">
        <v>43937</v>
      </c>
      <c r="B16" s="18">
        <v>0</v>
      </c>
      <c r="C16" s="18">
        <v>20</v>
      </c>
      <c r="D16" s="2">
        <f t="shared" si="0"/>
        <v>-20</v>
      </c>
      <c r="E16" s="2"/>
      <c r="F16" s="2"/>
      <c r="G16" s="2"/>
      <c r="H16" s="2"/>
      <c r="I16" s="2"/>
      <c r="J16" s="2"/>
      <c r="K16" s="19" t="s">
        <v>668</v>
      </c>
    </row>
    <row r="17" spans="1:12" ht="61.5" customHeight="1" x14ac:dyDescent="0.25">
      <c r="A17" s="17">
        <v>43943</v>
      </c>
      <c r="B17" s="18">
        <v>0</v>
      </c>
      <c r="C17" s="18">
        <v>27</v>
      </c>
      <c r="D17" s="2">
        <f t="shared" si="0"/>
        <v>-27</v>
      </c>
      <c r="E17" s="2"/>
      <c r="F17" s="2"/>
      <c r="G17" s="2"/>
      <c r="H17" s="2"/>
      <c r="I17" s="2"/>
      <c r="J17" s="2"/>
      <c r="K17" s="19" t="s">
        <v>670</v>
      </c>
      <c r="L17" s="27" t="s">
        <v>669</v>
      </c>
    </row>
    <row r="18" spans="1:12" ht="39.75" customHeight="1" x14ac:dyDescent="0.25">
      <c r="A18" s="17">
        <v>43951</v>
      </c>
      <c r="B18" s="18">
        <v>0</v>
      </c>
      <c r="C18" s="18">
        <v>17</v>
      </c>
      <c r="D18" s="2">
        <f t="shared" si="0"/>
        <v>-17</v>
      </c>
      <c r="E18" s="2"/>
      <c r="F18" s="2"/>
      <c r="G18" s="2"/>
      <c r="H18" s="2"/>
      <c r="I18" s="2"/>
      <c r="J18" s="2"/>
      <c r="K18" s="19" t="s">
        <v>671</v>
      </c>
    </row>
    <row r="19" spans="1:12" ht="15" customHeight="1" x14ac:dyDescent="0.25">
      <c r="A19" s="17"/>
      <c r="B19" s="18"/>
      <c r="C19" s="18"/>
      <c r="D19" s="2">
        <f t="shared" si="0"/>
        <v>0</v>
      </c>
      <c r="E19" s="2"/>
      <c r="F19" s="2"/>
      <c r="G19" s="2"/>
      <c r="H19" s="2"/>
      <c r="I19" s="2"/>
      <c r="J19" s="2"/>
      <c r="K19" s="19"/>
    </row>
    <row r="20" spans="1:12" ht="15" customHeight="1" x14ac:dyDescent="0.25">
      <c r="A20" s="17"/>
      <c r="B20" s="18"/>
      <c r="C20" s="18"/>
      <c r="D20" s="2">
        <f t="shared" si="0"/>
        <v>0</v>
      </c>
      <c r="E20" s="2"/>
      <c r="F20" s="2"/>
      <c r="G20" s="2"/>
      <c r="H20" s="2"/>
      <c r="I20" s="2"/>
      <c r="J20" s="2"/>
      <c r="K20" s="19"/>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DkymSUlVdaFGqA/6iP42FR2f/bcj0EwlaksMwimavpg7noWbWA125JCUHMUfez0eqBQhBhnZVeh5GFAUklQc3A==" saltValue="ywgeMTYflXoTPd5QQv+UIQ==" spinCount="100000" sheet="1" objects="1" scenarios="1" selectLockedCells="1" selectUnlockedCells="1"/>
  <customSheetViews>
    <customSheetView guid="{E5A7B818-645B-417C-A128-9FE559D9B124}" fitToPage="1">
      <pane ySplit="6" topLeftCell="A7" activePane="bottomLeft" state="frozen"/>
      <selection pane="bottomLeft" activeCell="K17" sqref="K17"/>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53" priority="1" operator="lessThan">
      <formula>0</formula>
    </cfRule>
    <cfRule type="cellIs" dxfId="15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Tabelle45">
    <pageSetUpPr fitToPage="1"/>
  </sheetPr>
  <dimension ref="A1:L44"/>
  <sheetViews>
    <sheetView workbookViewId="0">
      <pane ySplit="6" topLeftCell="A10" activePane="bottomLeft" state="frozen"/>
      <selection pane="bottomLeft" activeCell="K15" sqref="K15:L1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189</v>
      </c>
    </row>
    <row r="3" spans="1:12" ht="15.75" thickBot="1" x14ac:dyDescent="0.3">
      <c r="A3" s="5"/>
      <c r="B3" s="2"/>
      <c r="C3" s="2"/>
      <c r="D3" s="2"/>
      <c r="E3" s="2"/>
      <c r="F3" s="2">
        <f>'04.20'!F6</f>
        <v>378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405</v>
      </c>
      <c r="G6" s="30">
        <f>SUM(B:B)</f>
        <v>109</v>
      </c>
      <c r="H6" s="30">
        <f>SUM(C:C)</f>
        <v>82</v>
      </c>
      <c r="I6" s="30"/>
      <c r="J6" s="33">
        <f>SUM(G6:H6)+SUM(E:E)</f>
        <v>240</v>
      </c>
      <c r="K6" s="34"/>
      <c r="L6" s="50">
        <f>J6/K1</f>
        <v>0.40404040404040403</v>
      </c>
    </row>
    <row r="7" spans="1:12" ht="50.25" customHeight="1" x14ac:dyDescent="0.25">
      <c r="A7" s="17">
        <v>43951</v>
      </c>
      <c r="B7" s="18">
        <v>21</v>
      </c>
      <c r="C7" s="18">
        <v>0</v>
      </c>
      <c r="D7" s="2">
        <f t="shared" ref="D7:D44" si="0">B7-C7</f>
        <v>21</v>
      </c>
      <c r="E7" s="2"/>
      <c r="F7" s="2"/>
      <c r="G7" s="2"/>
      <c r="H7" s="2"/>
      <c r="I7" s="2"/>
      <c r="J7" s="2"/>
      <c r="K7" s="19" t="s">
        <v>672</v>
      </c>
    </row>
    <row r="8" spans="1:12" ht="46.5" customHeight="1" x14ac:dyDescent="0.25">
      <c r="A8" s="17">
        <v>43957</v>
      </c>
      <c r="B8" s="18">
        <v>0</v>
      </c>
      <c r="C8" s="18">
        <v>25</v>
      </c>
      <c r="D8" s="2">
        <f t="shared" si="0"/>
        <v>-25</v>
      </c>
      <c r="E8" s="2"/>
      <c r="F8" s="2"/>
      <c r="G8" s="2"/>
      <c r="H8" s="2"/>
      <c r="I8" s="2"/>
      <c r="J8" s="2"/>
      <c r="K8" s="19" t="s">
        <v>673</v>
      </c>
      <c r="L8" s="27" t="s">
        <v>674</v>
      </c>
    </row>
    <row r="9" spans="1:12" ht="15" customHeight="1" x14ac:dyDescent="0.25">
      <c r="A9" s="17">
        <v>43962</v>
      </c>
      <c r="B9" s="18">
        <v>0</v>
      </c>
      <c r="C9" s="18">
        <v>5</v>
      </c>
      <c r="D9" s="2">
        <f t="shared" si="0"/>
        <v>-5</v>
      </c>
      <c r="E9" s="2"/>
      <c r="F9" s="2"/>
      <c r="G9" s="2"/>
      <c r="H9" s="2"/>
      <c r="I9" s="2"/>
      <c r="J9" s="2"/>
      <c r="K9" s="19" t="s">
        <v>675</v>
      </c>
    </row>
    <row r="10" spans="1:12" ht="52.5" customHeight="1" x14ac:dyDescent="0.3">
      <c r="A10" s="17">
        <v>43962</v>
      </c>
      <c r="B10" s="18">
        <v>22</v>
      </c>
      <c r="C10" s="18">
        <v>0</v>
      </c>
      <c r="D10" s="2">
        <f t="shared" si="0"/>
        <v>22</v>
      </c>
      <c r="E10" s="2"/>
      <c r="F10" s="2"/>
      <c r="G10" s="2"/>
      <c r="H10" s="2"/>
      <c r="I10" s="2"/>
      <c r="J10" s="2"/>
      <c r="K10" s="19" t="s">
        <v>676</v>
      </c>
      <c r="L10" s="38"/>
    </row>
    <row r="11" spans="1:12" ht="15" customHeight="1" x14ac:dyDescent="0.25">
      <c r="A11" s="17">
        <v>43965</v>
      </c>
      <c r="B11" s="18">
        <v>0</v>
      </c>
      <c r="C11" s="18">
        <v>18</v>
      </c>
      <c r="D11" s="2">
        <f t="shared" si="0"/>
        <v>-18</v>
      </c>
      <c r="E11" s="2"/>
      <c r="F11" s="2"/>
      <c r="G11" s="2"/>
      <c r="H11" s="2"/>
      <c r="I11" s="2"/>
      <c r="J11" s="2"/>
      <c r="K11" s="19" t="s">
        <v>677</v>
      </c>
      <c r="L11" s="27" t="s">
        <v>678</v>
      </c>
    </row>
    <row r="12" spans="1:12" x14ac:dyDescent="0.25">
      <c r="A12" s="17">
        <v>43969</v>
      </c>
      <c r="B12" s="18">
        <v>0</v>
      </c>
      <c r="C12" s="18">
        <v>0</v>
      </c>
      <c r="D12" s="2">
        <v>0</v>
      </c>
      <c r="E12" s="46">
        <v>29</v>
      </c>
      <c r="K12" s="61" t="s">
        <v>107</v>
      </c>
      <c r="L12" s="53" t="s">
        <v>341</v>
      </c>
    </row>
    <row r="13" spans="1:12" ht="55.5" customHeight="1" x14ac:dyDescent="0.25">
      <c r="A13" s="17">
        <v>43969</v>
      </c>
      <c r="B13" s="18">
        <v>29</v>
      </c>
      <c r="C13" s="18">
        <v>0</v>
      </c>
      <c r="D13" s="2">
        <f>B13-C13</f>
        <v>29</v>
      </c>
      <c r="E13" s="2"/>
      <c r="F13" s="2"/>
      <c r="G13" s="2"/>
      <c r="H13" s="2"/>
      <c r="I13" s="2"/>
      <c r="J13" s="2"/>
      <c r="K13" s="19" t="s">
        <v>679</v>
      </c>
      <c r="L13" s="27" t="s">
        <v>680</v>
      </c>
    </row>
    <row r="14" spans="1:12" ht="15" customHeight="1" x14ac:dyDescent="0.25">
      <c r="A14" s="17">
        <v>43969</v>
      </c>
      <c r="B14" s="18">
        <v>4</v>
      </c>
      <c r="C14" s="18">
        <v>4</v>
      </c>
      <c r="D14" s="2">
        <f t="shared" si="0"/>
        <v>0</v>
      </c>
      <c r="E14" s="2">
        <v>4</v>
      </c>
      <c r="F14" s="2"/>
      <c r="G14" s="2"/>
      <c r="H14" s="2"/>
      <c r="I14" s="2"/>
      <c r="J14" s="2"/>
      <c r="K14" s="19" t="s">
        <v>681</v>
      </c>
      <c r="L14" s="27" t="s">
        <v>682</v>
      </c>
    </row>
    <row r="15" spans="1:12" ht="15" customHeight="1" x14ac:dyDescent="0.25">
      <c r="A15" s="17">
        <v>43970</v>
      </c>
      <c r="B15" s="18">
        <v>0</v>
      </c>
      <c r="C15" s="18">
        <v>0</v>
      </c>
      <c r="D15" s="2">
        <f t="shared" si="0"/>
        <v>0</v>
      </c>
      <c r="E15" s="2">
        <v>16</v>
      </c>
      <c r="F15" s="2"/>
      <c r="G15" s="2"/>
      <c r="H15" s="2"/>
      <c r="I15" s="2"/>
      <c r="J15" s="2"/>
      <c r="K15" s="19" t="s">
        <v>107</v>
      </c>
      <c r="L15" s="27" t="s">
        <v>341</v>
      </c>
    </row>
    <row r="16" spans="1:12" ht="37.5" customHeight="1" x14ac:dyDescent="0.25">
      <c r="A16" s="17">
        <v>43971</v>
      </c>
      <c r="B16" s="18">
        <v>16</v>
      </c>
      <c r="C16" s="18">
        <v>0</v>
      </c>
      <c r="D16" s="2">
        <f t="shared" si="0"/>
        <v>16</v>
      </c>
      <c r="E16" s="2"/>
      <c r="F16" s="2"/>
      <c r="G16" s="2"/>
      <c r="H16" s="2"/>
      <c r="I16" s="2"/>
      <c r="J16" s="2"/>
      <c r="K16" s="19" t="s">
        <v>683</v>
      </c>
      <c r="L16" s="27" t="s">
        <v>684</v>
      </c>
    </row>
    <row r="17" spans="1:11" ht="54" customHeight="1" x14ac:dyDescent="0.25">
      <c r="A17" s="17">
        <v>43979</v>
      </c>
      <c r="B17" s="18">
        <v>0</v>
      </c>
      <c r="C17" s="18">
        <v>30</v>
      </c>
      <c r="D17" s="2">
        <f t="shared" si="0"/>
        <v>-30</v>
      </c>
      <c r="E17" s="2"/>
      <c r="F17" s="2"/>
      <c r="G17" s="2"/>
      <c r="H17" s="2"/>
      <c r="I17" s="2"/>
      <c r="J17" s="2"/>
      <c r="K17" s="19" t="s">
        <v>685</v>
      </c>
    </row>
    <row r="18" spans="1:11" ht="39" customHeight="1" x14ac:dyDescent="0.25">
      <c r="A18" s="17">
        <v>43979</v>
      </c>
      <c r="B18" s="18">
        <v>17</v>
      </c>
      <c r="C18" s="18">
        <v>0</v>
      </c>
      <c r="D18" s="2">
        <f t="shared" si="0"/>
        <v>17</v>
      </c>
      <c r="E18" s="2"/>
      <c r="F18" s="2"/>
      <c r="G18" s="2"/>
      <c r="H18" s="2"/>
      <c r="I18" s="2"/>
      <c r="J18" s="2"/>
      <c r="K18" s="19" t="s">
        <v>686</v>
      </c>
    </row>
    <row r="19" spans="1:11" ht="15" customHeight="1" x14ac:dyDescent="0.25">
      <c r="A19" s="17"/>
      <c r="B19" s="18"/>
      <c r="C19" s="18"/>
      <c r="D19" s="2">
        <f t="shared" si="0"/>
        <v>0</v>
      </c>
      <c r="E19" s="2"/>
      <c r="F19" s="2"/>
      <c r="G19" s="2"/>
      <c r="H19" s="2"/>
      <c r="I19" s="2"/>
      <c r="J19" s="2"/>
      <c r="K19" s="19"/>
    </row>
    <row r="20" spans="1:11" ht="15" customHeight="1" x14ac:dyDescent="0.25">
      <c r="A20" s="17"/>
      <c r="B20" s="18"/>
      <c r="C20" s="18"/>
      <c r="D20" s="2">
        <f t="shared" si="0"/>
        <v>0</v>
      </c>
      <c r="E20" s="2"/>
      <c r="F20" s="2"/>
      <c r="G20" s="2"/>
      <c r="H20" s="2"/>
      <c r="I20" s="2"/>
      <c r="J20" s="2"/>
      <c r="K20" s="19"/>
    </row>
    <row r="21" spans="1:11" ht="15" customHeight="1" x14ac:dyDescent="0.25">
      <c r="A21" s="21"/>
      <c r="B21" s="22"/>
      <c r="C21" s="22"/>
      <c r="D21" s="2">
        <f t="shared" si="0"/>
        <v>0</v>
      </c>
      <c r="E21" s="23"/>
      <c r="F21" s="23"/>
      <c r="G21" s="23"/>
      <c r="H21" s="23"/>
      <c r="I21" s="23"/>
      <c r="J21" s="23"/>
      <c r="K21" s="25"/>
    </row>
    <row r="22" spans="1:11" ht="15" customHeight="1" x14ac:dyDescent="0.25">
      <c r="A22" s="17"/>
      <c r="B22" s="18"/>
      <c r="C22" s="18"/>
      <c r="D22" s="2">
        <f t="shared" si="0"/>
        <v>0</v>
      </c>
      <c r="E22" s="2"/>
      <c r="F22" s="2"/>
      <c r="G22" s="2"/>
      <c r="H22" s="2"/>
      <c r="I22" s="2"/>
      <c r="J22" s="2"/>
      <c r="K22" s="19"/>
    </row>
    <row r="23" spans="1:11" ht="15" customHeight="1" x14ac:dyDescent="0.25">
      <c r="A23" s="17"/>
      <c r="B23" s="18"/>
      <c r="C23" s="18"/>
      <c r="D23" s="2">
        <f t="shared" si="0"/>
        <v>0</v>
      </c>
      <c r="E23" s="2"/>
      <c r="F23" s="2"/>
      <c r="G23" s="2"/>
      <c r="H23" s="2"/>
      <c r="I23" s="2"/>
      <c r="J23" s="2"/>
      <c r="K23" s="45"/>
    </row>
    <row r="24" spans="1:11" ht="15" customHeight="1" x14ac:dyDescent="0.25">
      <c r="A24" s="17"/>
      <c r="B24" s="18"/>
      <c r="C24" s="18"/>
      <c r="D24" s="2">
        <f t="shared" si="0"/>
        <v>0</v>
      </c>
      <c r="E24" s="2"/>
      <c r="F24" s="2"/>
      <c r="G24" s="2"/>
      <c r="H24" s="2"/>
      <c r="I24" s="2"/>
      <c r="J24" s="2"/>
      <c r="K24" s="19"/>
    </row>
    <row r="25" spans="1:11" ht="15" customHeight="1" x14ac:dyDescent="0.25">
      <c r="A25" s="17"/>
      <c r="B25" s="18"/>
      <c r="C25" s="18"/>
      <c r="D25" s="2">
        <f t="shared" si="0"/>
        <v>0</v>
      </c>
      <c r="E25" s="2"/>
      <c r="F25" s="2"/>
      <c r="G25" s="2"/>
      <c r="H25" s="2"/>
      <c r="I25" s="2"/>
      <c r="J25" s="2"/>
      <c r="K25" s="19"/>
    </row>
    <row r="26" spans="1:11" ht="15" customHeight="1" x14ac:dyDescent="0.25">
      <c r="A26" s="17"/>
      <c r="B26" s="18"/>
      <c r="C26" s="18"/>
      <c r="D26" s="2">
        <f t="shared" si="0"/>
        <v>0</v>
      </c>
      <c r="E26" s="2"/>
      <c r="F26" s="2"/>
      <c r="G26" s="2"/>
      <c r="H26" s="2"/>
      <c r="I26" s="2"/>
      <c r="J26" s="2"/>
      <c r="K26" s="20"/>
    </row>
    <row r="27" spans="1:11" x14ac:dyDescent="0.25">
      <c r="A27" s="17"/>
      <c r="B27" s="18"/>
      <c r="C27" s="18"/>
      <c r="D27" s="2">
        <f t="shared" si="0"/>
        <v>0</v>
      </c>
      <c r="E27" s="2"/>
      <c r="F27" s="2"/>
      <c r="G27" s="2"/>
      <c r="H27" s="2"/>
      <c r="I27" s="2"/>
      <c r="J27" s="2"/>
      <c r="K27" s="20"/>
    </row>
    <row r="28" spans="1:11" x14ac:dyDescent="0.25">
      <c r="A28" s="17"/>
      <c r="B28" s="18"/>
      <c r="C28" s="18"/>
      <c r="D28" s="2">
        <f t="shared" si="0"/>
        <v>0</v>
      </c>
      <c r="E28" s="2"/>
      <c r="F28" s="2"/>
      <c r="G28" s="2"/>
      <c r="H28" s="2"/>
      <c r="I28" s="2"/>
      <c r="J28" s="2"/>
      <c r="K28" s="20"/>
    </row>
    <row r="29" spans="1:11" x14ac:dyDescent="0.25">
      <c r="A29" s="17"/>
      <c r="B29" s="18"/>
      <c r="C29" s="18"/>
      <c r="D29" s="2">
        <f t="shared" si="0"/>
        <v>0</v>
      </c>
      <c r="E29" s="2"/>
      <c r="F29" s="2"/>
      <c r="G29" s="2"/>
      <c r="H29" s="2"/>
      <c r="I29" s="2"/>
      <c r="J29" s="2"/>
      <c r="K29" s="19"/>
    </row>
    <row r="30" spans="1:11" x14ac:dyDescent="0.25">
      <c r="A30" s="17"/>
      <c r="B30" s="18"/>
      <c r="C30" s="18"/>
      <c r="D30" s="2">
        <f t="shared" si="0"/>
        <v>0</v>
      </c>
      <c r="E30" s="2"/>
      <c r="F30" s="2"/>
      <c r="G30" s="2"/>
      <c r="H30" s="2"/>
      <c r="I30" s="2"/>
      <c r="J30" s="2"/>
      <c r="K30" s="19"/>
    </row>
    <row r="31" spans="1:11" x14ac:dyDescent="0.25">
      <c r="A31" s="17"/>
      <c r="B31" s="18"/>
      <c r="C31" s="18"/>
      <c r="D31" s="2">
        <f t="shared" si="0"/>
        <v>0</v>
      </c>
      <c r="E31" s="2"/>
      <c r="F31" s="2"/>
      <c r="G31" s="2"/>
      <c r="H31" s="2"/>
      <c r="I31" s="2"/>
      <c r="J31" s="2"/>
      <c r="K31" s="20"/>
    </row>
    <row r="32" spans="1:11"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K04+N+FHVMUTtz03cf8v8EJJ/L9kfeoFEUUKoltqwHc+fXUPyioiok0aC9EzAT924xsExuVWTepTx5yxvy63cw==" saltValue="/tjQQhjnJ6pp0texkvuZMg==" spinCount="100000" sheet="1" objects="1" scenarios="1" selectLockedCells="1" selectUnlockedCells="1"/>
  <customSheetViews>
    <customSheetView guid="{E5A7B818-645B-417C-A128-9FE559D9B124}" fitToPage="1">
      <pane ySplit="6" topLeftCell="A10" activePane="bottomLeft" state="frozen"/>
      <selection pane="bottomLeft" activeCell="K15" sqref="K15:L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51" priority="1" operator="lessThan">
      <formula>0</formula>
    </cfRule>
    <cfRule type="cellIs" dxfId="15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Tabelle46">
    <pageSetUpPr fitToPage="1"/>
  </sheetPr>
  <dimension ref="A1:L44"/>
  <sheetViews>
    <sheetView workbookViewId="0">
      <pane ySplit="6" topLeftCell="A10" activePane="bottomLeft" state="frozen"/>
      <selection pane="bottomLeft" activeCell="K15" sqref="K15:L15"/>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162</v>
      </c>
    </row>
    <row r="3" spans="1:12" ht="15.75" thickBot="1" x14ac:dyDescent="0.3">
      <c r="A3" s="5"/>
      <c r="B3" s="2"/>
      <c r="C3" s="2"/>
      <c r="D3" s="2"/>
      <c r="E3" s="2"/>
      <c r="F3" s="2">
        <f>'05.20'!F6</f>
        <v>405</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432</v>
      </c>
      <c r="G6" s="30">
        <f>SUM(B:B)</f>
        <v>123</v>
      </c>
      <c r="H6" s="30">
        <f>SUM(C:C)</f>
        <v>96</v>
      </c>
      <c r="I6" s="30"/>
      <c r="J6" s="33">
        <f>SUM(G6:H6)+SUM(E:E)</f>
        <v>290</v>
      </c>
      <c r="K6" s="34"/>
      <c r="L6" s="50">
        <f>J6/K1</f>
        <v>0.48821548821548821</v>
      </c>
    </row>
    <row r="7" spans="1:12" ht="38.25" customHeight="1" x14ac:dyDescent="0.25">
      <c r="A7" s="17">
        <v>43984</v>
      </c>
      <c r="B7" s="18">
        <v>0</v>
      </c>
      <c r="C7" s="18">
        <v>11</v>
      </c>
      <c r="D7" s="2">
        <f t="shared" ref="D7:D44" si="0">B7-C7</f>
        <v>-11</v>
      </c>
      <c r="E7" s="2"/>
      <c r="F7" s="2"/>
      <c r="G7" s="2"/>
      <c r="H7" s="2"/>
      <c r="I7" s="2"/>
      <c r="J7" s="2"/>
      <c r="K7" s="19" t="s">
        <v>687</v>
      </c>
      <c r="L7" s="27" t="s">
        <v>688</v>
      </c>
    </row>
    <row r="8" spans="1:12" ht="15" customHeight="1" x14ac:dyDescent="0.25">
      <c r="A8" s="17">
        <v>43984</v>
      </c>
      <c r="B8" s="18">
        <v>0</v>
      </c>
      <c r="C8" s="18">
        <v>0</v>
      </c>
      <c r="D8" s="2">
        <f t="shared" si="0"/>
        <v>0</v>
      </c>
      <c r="E8" s="2">
        <v>12</v>
      </c>
      <c r="F8" s="2"/>
      <c r="G8" s="2"/>
      <c r="H8" s="2"/>
      <c r="I8" s="2"/>
      <c r="J8" s="2"/>
      <c r="K8" s="19" t="s">
        <v>107</v>
      </c>
      <c r="L8" s="27" t="s">
        <v>341</v>
      </c>
    </row>
    <row r="9" spans="1:12" ht="39" customHeight="1" x14ac:dyDescent="0.25">
      <c r="A9" s="17">
        <v>43986</v>
      </c>
      <c r="B9" s="18">
        <v>12</v>
      </c>
      <c r="C9" s="18">
        <v>0</v>
      </c>
      <c r="D9" s="2">
        <f t="shared" si="0"/>
        <v>12</v>
      </c>
      <c r="E9" s="2"/>
      <c r="F9" s="2"/>
      <c r="G9" s="2"/>
      <c r="H9" s="2"/>
      <c r="I9" s="2"/>
      <c r="J9" s="2"/>
      <c r="K9" s="19" t="s">
        <v>689</v>
      </c>
      <c r="L9" s="27" t="s">
        <v>690</v>
      </c>
    </row>
    <row r="10" spans="1:12" ht="39.75" customHeight="1" x14ac:dyDescent="0.3">
      <c r="A10" s="17">
        <v>43990</v>
      </c>
      <c r="B10" s="18">
        <v>0</v>
      </c>
      <c r="C10" s="18">
        <v>18</v>
      </c>
      <c r="D10" s="2">
        <f t="shared" si="0"/>
        <v>-18</v>
      </c>
      <c r="E10" s="2"/>
      <c r="F10" s="2"/>
      <c r="G10" s="2"/>
      <c r="H10" s="2"/>
      <c r="I10" s="2"/>
      <c r="J10" s="2"/>
      <c r="K10" s="19" t="s">
        <v>691</v>
      </c>
      <c r="L10" s="38"/>
    </row>
    <row r="11" spans="1:12" ht="15" customHeight="1" x14ac:dyDescent="0.3">
      <c r="A11" s="17">
        <v>43990</v>
      </c>
      <c r="B11" s="18">
        <v>7</v>
      </c>
      <c r="C11" s="18">
        <v>0</v>
      </c>
      <c r="D11" s="2">
        <f t="shared" si="0"/>
        <v>7</v>
      </c>
      <c r="E11" s="2"/>
      <c r="F11" s="2"/>
      <c r="G11" s="2"/>
      <c r="H11" s="2"/>
      <c r="I11" s="2"/>
      <c r="J11" s="2"/>
      <c r="K11" s="19" t="s">
        <v>692</v>
      </c>
      <c r="L11" s="38"/>
    </row>
    <row r="12" spans="1:12" ht="15" customHeight="1" x14ac:dyDescent="0.25">
      <c r="A12" s="17">
        <v>43990</v>
      </c>
      <c r="B12" s="18">
        <v>8</v>
      </c>
      <c r="C12" s="18">
        <v>0</v>
      </c>
      <c r="D12" s="2">
        <f t="shared" si="0"/>
        <v>8</v>
      </c>
      <c r="E12" s="2"/>
      <c r="F12" s="2"/>
      <c r="G12" s="2"/>
      <c r="H12" s="2"/>
      <c r="I12" s="2"/>
      <c r="J12" s="2"/>
      <c r="K12" s="19" t="s">
        <v>693</v>
      </c>
      <c r="L12" s="27" t="s">
        <v>694</v>
      </c>
    </row>
    <row r="13" spans="1:12" ht="15" customHeight="1" x14ac:dyDescent="0.25">
      <c r="A13" s="17">
        <v>43993</v>
      </c>
      <c r="B13" s="18">
        <v>0</v>
      </c>
      <c r="C13" s="18">
        <v>9</v>
      </c>
      <c r="D13" s="2">
        <f t="shared" si="0"/>
        <v>-9</v>
      </c>
      <c r="E13" s="2"/>
      <c r="F13" s="2"/>
      <c r="G13" s="2"/>
      <c r="H13" s="2"/>
      <c r="I13" s="2"/>
      <c r="J13" s="2"/>
      <c r="K13" s="19" t="s">
        <v>695</v>
      </c>
    </row>
    <row r="14" spans="1:12" ht="15" customHeight="1" x14ac:dyDescent="0.25">
      <c r="A14" s="17">
        <v>43993</v>
      </c>
      <c r="B14" s="18">
        <v>3</v>
      </c>
      <c r="C14" s="18">
        <v>0</v>
      </c>
      <c r="D14" s="2">
        <f t="shared" si="0"/>
        <v>3</v>
      </c>
      <c r="E14" s="2"/>
      <c r="F14" s="2"/>
      <c r="G14" s="2"/>
      <c r="H14" s="2"/>
      <c r="I14" s="2"/>
      <c r="J14" s="2"/>
      <c r="K14" s="19" t="s">
        <v>696</v>
      </c>
    </row>
    <row r="15" spans="1:12" ht="15" customHeight="1" x14ac:dyDescent="0.25">
      <c r="A15" s="17">
        <v>43994</v>
      </c>
      <c r="B15" s="18">
        <v>0</v>
      </c>
      <c r="C15" s="18">
        <v>0</v>
      </c>
      <c r="D15" s="2">
        <f t="shared" si="0"/>
        <v>0</v>
      </c>
      <c r="E15" s="2">
        <v>35</v>
      </c>
      <c r="F15" s="2"/>
      <c r="G15" s="2"/>
      <c r="H15" s="2"/>
      <c r="I15" s="2"/>
      <c r="J15" s="2"/>
      <c r="K15" s="19" t="s">
        <v>107</v>
      </c>
      <c r="L15" s="27" t="s">
        <v>341</v>
      </c>
    </row>
    <row r="16" spans="1:12" ht="64.5" customHeight="1" x14ac:dyDescent="0.25">
      <c r="A16" s="17">
        <v>43994</v>
      </c>
      <c r="B16" s="18">
        <v>35</v>
      </c>
      <c r="C16" s="18">
        <v>0</v>
      </c>
      <c r="D16" s="2">
        <f t="shared" si="0"/>
        <v>35</v>
      </c>
      <c r="E16" s="2"/>
      <c r="F16" s="2"/>
      <c r="G16" s="2"/>
      <c r="H16" s="2"/>
      <c r="I16" s="2"/>
      <c r="J16" s="2"/>
      <c r="K16" s="19" t="s">
        <v>697</v>
      </c>
      <c r="L16" s="27" t="s">
        <v>698</v>
      </c>
    </row>
    <row r="17" spans="1:12" ht="54" customHeight="1" x14ac:dyDescent="0.25">
      <c r="A17" s="17">
        <v>44000</v>
      </c>
      <c r="B17" s="18">
        <v>0</v>
      </c>
      <c r="C17" s="18">
        <v>25</v>
      </c>
      <c r="D17" s="2">
        <f t="shared" si="0"/>
        <v>-25</v>
      </c>
      <c r="E17" s="2"/>
      <c r="F17" s="2"/>
      <c r="G17" s="2"/>
      <c r="H17" s="2"/>
      <c r="I17" s="2"/>
      <c r="J17" s="2"/>
      <c r="K17" s="19" t="s">
        <v>699</v>
      </c>
    </row>
    <row r="18" spans="1:12" ht="37.5" customHeight="1" x14ac:dyDescent="0.25">
      <c r="A18" s="17">
        <v>44000</v>
      </c>
      <c r="B18" s="18">
        <v>14</v>
      </c>
      <c r="C18" s="18">
        <v>0</v>
      </c>
      <c r="D18" s="2">
        <f t="shared" si="0"/>
        <v>14</v>
      </c>
      <c r="E18" s="2"/>
      <c r="F18" s="2"/>
      <c r="G18" s="2"/>
      <c r="H18" s="2"/>
      <c r="I18" s="2"/>
      <c r="J18" s="2"/>
      <c r="K18" s="19" t="s">
        <v>700</v>
      </c>
    </row>
    <row r="19" spans="1:12" ht="15" customHeight="1" x14ac:dyDescent="0.25">
      <c r="A19" s="17">
        <v>44001</v>
      </c>
      <c r="B19" s="18">
        <v>8</v>
      </c>
      <c r="C19" s="18">
        <v>0</v>
      </c>
      <c r="D19" s="2">
        <f t="shared" si="0"/>
        <v>8</v>
      </c>
      <c r="E19" s="2"/>
      <c r="F19" s="2"/>
      <c r="G19" s="2"/>
      <c r="H19" s="2"/>
      <c r="I19" s="2"/>
      <c r="J19" s="2"/>
      <c r="K19" s="19" t="s">
        <v>701</v>
      </c>
    </row>
    <row r="20" spans="1:12" ht="15" customHeight="1" x14ac:dyDescent="0.25">
      <c r="A20" s="17">
        <v>44004</v>
      </c>
      <c r="B20" s="18">
        <v>0</v>
      </c>
      <c r="C20" s="18">
        <v>3</v>
      </c>
      <c r="D20" s="2">
        <f t="shared" si="0"/>
        <v>-3</v>
      </c>
      <c r="E20" s="2"/>
      <c r="F20" s="2"/>
      <c r="G20" s="2"/>
      <c r="H20" s="2"/>
      <c r="I20" s="2"/>
      <c r="J20" s="2"/>
      <c r="K20" s="19" t="s">
        <v>637</v>
      </c>
      <c r="L20" s="27" t="s">
        <v>702</v>
      </c>
    </row>
    <row r="21" spans="1:12" ht="15" customHeight="1" x14ac:dyDescent="0.25">
      <c r="A21" s="21">
        <v>44005</v>
      </c>
      <c r="B21" s="22">
        <v>0</v>
      </c>
      <c r="C21" s="22">
        <v>0</v>
      </c>
      <c r="D21" s="2">
        <f t="shared" si="0"/>
        <v>0</v>
      </c>
      <c r="E21" s="23">
        <v>24</v>
      </c>
      <c r="F21" s="23"/>
      <c r="G21" s="23"/>
      <c r="H21" s="23"/>
      <c r="I21" s="23"/>
      <c r="J21" s="23"/>
      <c r="K21" s="19" t="s">
        <v>107</v>
      </c>
      <c r="L21" s="27" t="s">
        <v>341</v>
      </c>
    </row>
    <row r="22" spans="1:12" ht="53.25" customHeight="1" x14ac:dyDescent="0.25">
      <c r="A22" s="17">
        <v>44007</v>
      </c>
      <c r="B22" s="18">
        <v>0</v>
      </c>
      <c r="C22" s="18">
        <v>27</v>
      </c>
      <c r="D22" s="2">
        <f t="shared" si="0"/>
        <v>-27</v>
      </c>
      <c r="E22" s="2"/>
      <c r="F22" s="2"/>
      <c r="G22" s="2"/>
      <c r="H22" s="2"/>
      <c r="I22" s="2"/>
      <c r="J22" s="2"/>
      <c r="K22" s="19" t="s">
        <v>703</v>
      </c>
    </row>
    <row r="23" spans="1:12" ht="15" customHeight="1" x14ac:dyDescent="0.25">
      <c r="A23" s="17">
        <v>44007</v>
      </c>
      <c r="B23" s="18">
        <v>0</v>
      </c>
      <c r="C23" s="18">
        <v>3</v>
      </c>
      <c r="D23" s="2">
        <f t="shared" si="0"/>
        <v>-3</v>
      </c>
      <c r="E23" s="2"/>
      <c r="F23" s="2"/>
      <c r="G23" s="2"/>
      <c r="H23" s="2"/>
      <c r="I23" s="2"/>
      <c r="J23" s="2"/>
      <c r="K23" s="45" t="s">
        <v>704</v>
      </c>
      <c r="L23" s="27" t="s">
        <v>705</v>
      </c>
    </row>
    <row r="24" spans="1:12" ht="59.25" customHeight="1" x14ac:dyDescent="0.25">
      <c r="A24" s="17">
        <v>44007</v>
      </c>
      <c r="B24" s="18">
        <v>24</v>
      </c>
      <c r="C24" s="18">
        <v>0</v>
      </c>
      <c r="D24" s="2">
        <f t="shared" si="0"/>
        <v>24</v>
      </c>
      <c r="E24" s="2"/>
      <c r="F24" s="2"/>
      <c r="G24" s="2"/>
      <c r="H24" s="2"/>
      <c r="I24" s="2"/>
      <c r="J24" s="2"/>
      <c r="K24" s="19" t="s">
        <v>707</v>
      </c>
      <c r="L24" s="27" t="s">
        <v>706</v>
      </c>
    </row>
    <row r="25" spans="1:12" ht="39.75" customHeight="1" x14ac:dyDescent="0.25">
      <c r="A25" s="17">
        <v>44007</v>
      </c>
      <c r="B25" s="18">
        <v>12</v>
      </c>
      <c r="C25" s="18">
        <v>0</v>
      </c>
      <c r="D25" s="2">
        <f t="shared" si="0"/>
        <v>12</v>
      </c>
      <c r="E25" s="2"/>
      <c r="F25" s="2"/>
      <c r="G25" s="2"/>
      <c r="H25" s="2"/>
      <c r="I25" s="2"/>
      <c r="J25" s="2"/>
      <c r="K25" s="19" t="s">
        <v>708</v>
      </c>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sYLtpH5ZLNo+XY+sjIY5b6kPeNqupVpxuRwqc3K3xdcv1ez8qANNsfcAkUcyRDeR70r0R7RWeIR7L9NHDTHtsQ==" saltValue="zhSfh1H3fuR9Q4BVRfMIpw==" spinCount="100000" sheet="1" objects="1" scenarios="1" selectLockedCells="1" selectUnlockedCells="1"/>
  <customSheetViews>
    <customSheetView guid="{E5A7B818-645B-417C-A128-9FE559D9B124}" fitToPage="1">
      <pane ySplit="6" topLeftCell="A10" activePane="bottomLeft" state="frozen"/>
      <selection pane="bottomLeft" activeCell="K15" sqref="K15:L1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49" priority="1" operator="lessThan">
      <formula>0</formula>
    </cfRule>
    <cfRule type="cellIs" dxfId="14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47">
    <pageSetUpPr fitToPage="1"/>
  </sheetPr>
  <dimension ref="A1:L44"/>
  <sheetViews>
    <sheetView workbookViewId="0">
      <pane ySplit="6" topLeftCell="A19" activePane="bottomLeft" state="frozen"/>
      <selection pane="bottomLeft" activeCell="F36" sqref="F3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158</v>
      </c>
    </row>
    <row r="3" spans="1:12" ht="15.75" thickBot="1" x14ac:dyDescent="0.3">
      <c r="A3" s="5"/>
      <c r="B3" s="2"/>
      <c r="C3" s="2"/>
      <c r="D3" s="2"/>
      <c r="E3" s="2"/>
      <c r="F3" s="2">
        <f>'06.20'!F6</f>
        <v>432</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436</v>
      </c>
      <c r="G6" s="30">
        <f>SUM(B:B)</f>
        <v>116</v>
      </c>
      <c r="H6" s="30">
        <f>SUM(C:C)</f>
        <v>112</v>
      </c>
      <c r="I6" s="30"/>
      <c r="J6" s="33">
        <f>SUM(G6:H6)+SUM(E:E)</f>
        <v>328</v>
      </c>
      <c r="K6" s="34"/>
      <c r="L6" s="50">
        <f>J6/K1</f>
        <v>0.55218855218855223</v>
      </c>
    </row>
    <row r="7" spans="1:12" ht="15" customHeight="1" x14ac:dyDescent="0.25">
      <c r="A7" s="17">
        <v>44012</v>
      </c>
      <c r="B7" s="18">
        <v>0</v>
      </c>
      <c r="C7" s="18">
        <v>0</v>
      </c>
      <c r="D7" s="2">
        <f t="shared" ref="D7:D44" si="0">B7-C7</f>
        <v>0</v>
      </c>
      <c r="E7" s="2">
        <v>26</v>
      </c>
      <c r="F7" s="2"/>
      <c r="G7" s="2"/>
      <c r="H7" s="2"/>
      <c r="I7" s="2"/>
      <c r="J7" s="2"/>
      <c r="K7" s="19" t="s">
        <v>107</v>
      </c>
      <c r="L7" s="27" t="s">
        <v>341</v>
      </c>
    </row>
    <row r="8" spans="1:12" ht="53.25" customHeight="1" x14ac:dyDescent="0.25">
      <c r="A8" s="17">
        <v>44013</v>
      </c>
      <c r="B8" s="18">
        <v>26</v>
      </c>
      <c r="C8" s="18">
        <v>0</v>
      </c>
      <c r="D8" s="2">
        <f t="shared" si="0"/>
        <v>26</v>
      </c>
      <c r="E8" s="2"/>
      <c r="F8" s="2"/>
      <c r="G8" s="2"/>
      <c r="H8" s="2"/>
      <c r="I8" s="2"/>
      <c r="J8" s="2"/>
      <c r="K8" s="19" t="s">
        <v>710</v>
      </c>
      <c r="L8" s="27" t="s">
        <v>709</v>
      </c>
    </row>
    <row r="9" spans="1:12" ht="54" customHeight="1" x14ac:dyDescent="0.25">
      <c r="A9" s="17">
        <v>44013</v>
      </c>
      <c r="B9" s="18">
        <v>0</v>
      </c>
      <c r="C9" s="18">
        <v>25</v>
      </c>
      <c r="D9" s="2">
        <f t="shared" si="0"/>
        <v>-25</v>
      </c>
      <c r="E9" s="2"/>
      <c r="F9" s="2"/>
      <c r="G9" s="2"/>
      <c r="H9" s="2"/>
      <c r="I9" s="2"/>
      <c r="J9" s="2"/>
      <c r="K9" s="19" t="s">
        <v>711</v>
      </c>
    </row>
    <row r="10" spans="1:12" ht="15" customHeight="1" x14ac:dyDescent="0.3">
      <c r="A10" s="17">
        <v>44013</v>
      </c>
      <c r="B10" s="18">
        <v>1</v>
      </c>
      <c r="C10" s="18">
        <v>1</v>
      </c>
      <c r="D10" s="2">
        <f t="shared" si="0"/>
        <v>0</v>
      </c>
      <c r="E10" s="2">
        <v>1</v>
      </c>
      <c r="F10" s="2"/>
      <c r="G10" s="2"/>
      <c r="H10" s="2"/>
      <c r="I10" s="2"/>
      <c r="J10" s="2"/>
      <c r="K10" s="19" t="s">
        <v>712</v>
      </c>
      <c r="L10" s="38"/>
    </row>
    <row r="11" spans="1:12" ht="39" customHeight="1" x14ac:dyDescent="0.25">
      <c r="A11" s="17">
        <v>44013</v>
      </c>
      <c r="B11" s="18">
        <v>0</v>
      </c>
      <c r="C11" s="18">
        <v>13</v>
      </c>
      <c r="D11" s="2">
        <f t="shared" si="0"/>
        <v>-13</v>
      </c>
      <c r="E11" s="2"/>
      <c r="F11" s="2"/>
      <c r="G11" s="2"/>
      <c r="H11" s="2"/>
      <c r="I11" s="2"/>
      <c r="J11" s="2"/>
      <c r="K11" s="19" t="s">
        <v>713</v>
      </c>
      <c r="L11" s="85" t="s">
        <v>715</v>
      </c>
    </row>
    <row r="12" spans="1:12" ht="39.75" customHeight="1" x14ac:dyDescent="0.25">
      <c r="A12" s="17">
        <v>44013</v>
      </c>
      <c r="B12" s="18">
        <v>13</v>
      </c>
      <c r="C12" s="18">
        <v>0</v>
      </c>
      <c r="D12" s="2">
        <f t="shared" si="0"/>
        <v>13</v>
      </c>
      <c r="E12" s="2">
        <v>13</v>
      </c>
      <c r="F12" s="2"/>
      <c r="G12" s="2"/>
      <c r="H12" s="2"/>
      <c r="I12" s="2"/>
      <c r="J12" s="2"/>
      <c r="K12" s="19" t="s">
        <v>716</v>
      </c>
      <c r="L12" s="27" t="s">
        <v>714</v>
      </c>
    </row>
    <row r="13" spans="1:12" ht="38.25" customHeight="1" x14ac:dyDescent="0.25">
      <c r="A13" s="17">
        <v>44019</v>
      </c>
      <c r="B13" s="18">
        <v>0</v>
      </c>
      <c r="C13" s="18">
        <v>18</v>
      </c>
      <c r="D13" s="2">
        <f t="shared" si="0"/>
        <v>-18</v>
      </c>
      <c r="E13" s="2"/>
      <c r="F13" s="2"/>
      <c r="G13" s="2"/>
      <c r="H13" s="2"/>
      <c r="I13" s="2"/>
      <c r="J13" s="2"/>
      <c r="K13" s="19" t="s">
        <v>717</v>
      </c>
    </row>
    <row r="14" spans="1:12" ht="37.5" customHeight="1" x14ac:dyDescent="0.25">
      <c r="A14" s="17">
        <v>44021</v>
      </c>
      <c r="B14" s="18">
        <v>0</v>
      </c>
      <c r="C14" s="18">
        <v>18</v>
      </c>
      <c r="D14" s="2">
        <f t="shared" si="0"/>
        <v>-18</v>
      </c>
      <c r="E14" s="2"/>
      <c r="F14" s="2"/>
      <c r="G14" s="2"/>
      <c r="H14" s="2"/>
      <c r="I14" s="2"/>
      <c r="J14" s="2"/>
      <c r="K14" s="19" t="s">
        <v>718</v>
      </c>
    </row>
    <row r="15" spans="1:12" ht="15" customHeight="1" x14ac:dyDescent="0.25">
      <c r="A15" s="17">
        <v>44021</v>
      </c>
      <c r="B15" s="18">
        <v>6</v>
      </c>
      <c r="C15" s="18">
        <v>0</v>
      </c>
      <c r="D15" s="2">
        <f t="shared" si="0"/>
        <v>6</v>
      </c>
      <c r="E15" s="2"/>
      <c r="F15" s="2"/>
      <c r="G15" s="2"/>
      <c r="H15" s="2"/>
      <c r="I15" s="2"/>
      <c r="J15" s="2"/>
      <c r="K15" s="19" t="s">
        <v>719</v>
      </c>
    </row>
    <row r="16" spans="1:12" ht="15" customHeight="1" x14ac:dyDescent="0.25">
      <c r="A16" s="17">
        <v>44026</v>
      </c>
      <c r="B16" s="18">
        <v>0</v>
      </c>
      <c r="C16" s="18">
        <v>9</v>
      </c>
      <c r="D16" s="2">
        <f t="shared" si="0"/>
        <v>-9</v>
      </c>
      <c r="E16" s="2"/>
      <c r="F16" s="2"/>
      <c r="G16" s="2"/>
      <c r="H16" s="2"/>
      <c r="I16" s="2"/>
      <c r="J16" s="2"/>
      <c r="K16" s="19" t="s">
        <v>720</v>
      </c>
    </row>
    <row r="17" spans="1:12" ht="15" customHeight="1" x14ac:dyDescent="0.25">
      <c r="A17" s="17">
        <v>44028</v>
      </c>
      <c r="B17" s="18">
        <v>0</v>
      </c>
      <c r="C17" s="18">
        <v>0</v>
      </c>
      <c r="D17" s="2">
        <f t="shared" si="0"/>
        <v>0</v>
      </c>
      <c r="E17" s="2">
        <v>24</v>
      </c>
      <c r="F17" s="2"/>
      <c r="G17" s="2"/>
      <c r="H17" s="2"/>
      <c r="I17" s="2"/>
      <c r="J17" s="2"/>
      <c r="K17" s="19" t="s">
        <v>107</v>
      </c>
      <c r="L17" s="27" t="s">
        <v>341</v>
      </c>
    </row>
    <row r="18" spans="1:12" ht="52.5" customHeight="1" x14ac:dyDescent="0.25">
      <c r="A18" s="17">
        <v>44028</v>
      </c>
      <c r="B18" s="18">
        <v>1</v>
      </c>
      <c r="C18" s="18">
        <v>19</v>
      </c>
      <c r="D18" s="2">
        <f t="shared" si="0"/>
        <v>-18</v>
      </c>
      <c r="E18" s="2"/>
      <c r="F18" s="2"/>
      <c r="G18" s="2"/>
      <c r="H18" s="2"/>
      <c r="I18" s="2"/>
      <c r="J18" s="2"/>
      <c r="K18" s="19" t="s">
        <v>721</v>
      </c>
    </row>
    <row r="19" spans="1:12" ht="53.25" customHeight="1" x14ac:dyDescent="0.25">
      <c r="A19" s="17">
        <v>44028</v>
      </c>
      <c r="B19" s="18">
        <v>24</v>
      </c>
      <c r="C19" s="18">
        <v>0</v>
      </c>
      <c r="D19" s="2">
        <f t="shared" si="0"/>
        <v>24</v>
      </c>
      <c r="E19" s="2"/>
      <c r="F19" s="2"/>
      <c r="G19" s="2"/>
      <c r="H19" s="2"/>
      <c r="I19" s="2"/>
      <c r="J19" s="2"/>
      <c r="K19" s="19" t="s">
        <v>723</v>
      </c>
      <c r="L19" s="27" t="s">
        <v>722</v>
      </c>
    </row>
    <row r="20" spans="1:12" ht="15" customHeight="1" x14ac:dyDescent="0.25">
      <c r="A20" s="17">
        <v>44034</v>
      </c>
      <c r="B20" s="18">
        <v>0</v>
      </c>
      <c r="C20" s="18">
        <v>9</v>
      </c>
      <c r="D20" s="2">
        <f t="shared" si="0"/>
        <v>-9</v>
      </c>
      <c r="E20" s="2"/>
      <c r="F20" s="2"/>
      <c r="G20" s="2"/>
      <c r="H20" s="2"/>
      <c r="I20" s="2"/>
      <c r="J20" s="2"/>
      <c r="K20" s="19" t="s">
        <v>730</v>
      </c>
      <c r="L20" s="27" t="s">
        <v>735</v>
      </c>
    </row>
    <row r="21" spans="1:12" ht="15" customHeight="1" x14ac:dyDescent="0.25">
      <c r="A21" s="21">
        <v>44034</v>
      </c>
      <c r="B21" s="22">
        <v>9</v>
      </c>
      <c r="C21" s="22">
        <v>0</v>
      </c>
      <c r="D21" s="2">
        <f t="shared" si="0"/>
        <v>9</v>
      </c>
      <c r="E21" s="23"/>
      <c r="F21" s="23"/>
      <c r="G21" s="23"/>
      <c r="H21" s="23"/>
      <c r="I21" s="23"/>
      <c r="J21" s="23"/>
      <c r="K21" s="25" t="s">
        <v>724</v>
      </c>
    </row>
    <row r="22" spans="1:12" ht="15" customHeight="1" x14ac:dyDescent="0.25">
      <c r="A22" s="17">
        <v>44041</v>
      </c>
      <c r="B22" s="18">
        <v>0</v>
      </c>
      <c r="C22" s="18">
        <v>0</v>
      </c>
      <c r="D22" s="2">
        <f t="shared" si="0"/>
        <v>0</v>
      </c>
      <c r="E22" s="2">
        <v>14</v>
      </c>
      <c r="F22" s="2"/>
      <c r="G22" s="2"/>
      <c r="H22" s="2"/>
      <c r="I22" s="2"/>
      <c r="J22" s="2"/>
      <c r="K22" s="19" t="s">
        <v>107</v>
      </c>
      <c r="L22" s="27" t="s">
        <v>727</v>
      </c>
    </row>
    <row r="23" spans="1:12" ht="15" customHeight="1" x14ac:dyDescent="0.25">
      <c r="A23" s="17">
        <v>44041</v>
      </c>
      <c r="B23" s="18">
        <v>0</v>
      </c>
      <c r="C23" s="18">
        <v>0</v>
      </c>
      <c r="D23" s="2">
        <f t="shared" si="0"/>
        <v>0</v>
      </c>
      <c r="E23" s="2">
        <v>15</v>
      </c>
      <c r="F23" s="2"/>
      <c r="G23" s="2"/>
      <c r="H23" s="2"/>
      <c r="I23" s="2"/>
      <c r="J23" s="2"/>
      <c r="K23" s="19" t="s">
        <v>107</v>
      </c>
      <c r="L23" s="27" t="s">
        <v>725</v>
      </c>
    </row>
    <row r="24" spans="1:12" ht="15" customHeight="1" x14ac:dyDescent="0.25">
      <c r="A24" s="17">
        <v>44041</v>
      </c>
      <c r="B24" s="18">
        <v>0</v>
      </c>
      <c r="C24" s="18">
        <v>0</v>
      </c>
      <c r="D24" s="2">
        <f t="shared" si="0"/>
        <v>0</v>
      </c>
      <c r="E24" s="2">
        <v>7</v>
      </c>
      <c r="F24" s="2"/>
      <c r="G24" s="2"/>
      <c r="H24" s="2"/>
      <c r="I24" s="2"/>
      <c r="J24" s="2"/>
      <c r="K24" s="19" t="s">
        <v>107</v>
      </c>
      <c r="L24" s="27" t="s">
        <v>726</v>
      </c>
    </row>
    <row r="25" spans="1:12" ht="37.5" customHeight="1" x14ac:dyDescent="0.25">
      <c r="A25" s="17">
        <v>44041</v>
      </c>
      <c r="B25" s="18">
        <v>14</v>
      </c>
      <c r="C25" s="18">
        <v>0</v>
      </c>
      <c r="D25" s="2">
        <f t="shared" si="0"/>
        <v>14</v>
      </c>
      <c r="E25" s="2"/>
      <c r="F25" s="2"/>
      <c r="G25" s="2"/>
      <c r="H25" s="2"/>
      <c r="I25" s="2"/>
      <c r="J25" s="2"/>
      <c r="K25" s="19" t="s">
        <v>729</v>
      </c>
      <c r="L25" s="27" t="s">
        <v>728</v>
      </c>
    </row>
    <row r="26" spans="1:12" ht="39" customHeight="1" x14ac:dyDescent="0.25">
      <c r="A26" s="17">
        <v>44041</v>
      </c>
      <c r="B26" s="18">
        <v>15</v>
      </c>
      <c r="C26" s="18">
        <v>0</v>
      </c>
      <c r="D26" s="2">
        <f t="shared" si="0"/>
        <v>15</v>
      </c>
      <c r="E26" s="2"/>
      <c r="F26" s="2"/>
      <c r="G26" s="2"/>
      <c r="H26" s="2"/>
      <c r="I26" s="2"/>
      <c r="J26" s="2"/>
      <c r="K26" s="19" t="s">
        <v>731</v>
      </c>
      <c r="L26" s="27" t="s">
        <v>732</v>
      </c>
    </row>
    <row r="27" spans="1:12" x14ac:dyDescent="0.25">
      <c r="A27" s="17">
        <v>44041</v>
      </c>
      <c r="B27" s="18">
        <v>7</v>
      </c>
      <c r="C27" s="18">
        <v>0</v>
      </c>
      <c r="D27" s="2">
        <f t="shared" si="0"/>
        <v>7</v>
      </c>
      <c r="E27" s="2"/>
      <c r="F27" s="2"/>
      <c r="G27" s="2"/>
      <c r="H27" s="2"/>
      <c r="I27" s="2"/>
      <c r="J27" s="2"/>
      <c r="K27" s="20" t="s">
        <v>733</v>
      </c>
      <c r="L27" s="27" t="s">
        <v>734</v>
      </c>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xc7+Ubwf9Akg4eZ8Y9TsyqVESI55juIVakaOhY9wEoelKrTRALcqJeF46xLGIB/gldD15mlD+aPJKThfjcQ+Yw==" saltValue="gKXD/e2NqXbAVyxzuFU8pw==" spinCount="100000" sheet="1" objects="1" scenarios="1" selectLockedCells="1" selectUnlockedCells="1"/>
  <customSheetViews>
    <customSheetView guid="{E5A7B818-645B-417C-A128-9FE559D9B124}" fitToPage="1">
      <pane ySplit="6" topLeftCell="A19" activePane="bottomLeft" state="frozen"/>
      <selection pane="bottomLeft" activeCell="F36" sqref="F3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47" priority="1" operator="lessThan">
      <formula>0</formula>
    </cfRule>
    <cfRule type="cellIs" dxfId="14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48">
    <pageSetUpPr fitToPage="1"/>
  </sheetPr>
  <dimension ref="A1:L44"/>
  <sheetViews>
    <sheetView workbookViewId="0">
      <pane ySplit="6" topLeftCell="A22" activePane="bottomLeft" state="frozen"/>
      <selection pane="bottomLeft" activeCell="K28" sqref="K28"/>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145</v>
      </c>
    </row>
    <row r="3" spans="1:12" ht="15.75" thickBot="1" x14ac:dyDescent="0.3">
      <c r="A3" s="5"/>
      <c r="B3" s="2"/>
      <c r="C3" s="2"/>
      <c r="D3" s="2"/>
      <c r="E3" s="2"/>
      <c r="F3" s="2">
        <f>'07.20'!F6</f>
        <v>436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449</v>
      </c>
      <c r="G6" s="30">
        <f>SUM(B:B)</f>
        <v>141</v>
      </c>
      <c r="H6" s="30">
        <f>SUM(C:C)</f>
        <v>128</v>
      </c>
      <c r="I6" s="30"/>
      <c r="J6" s="33">
        <f>SUM(G6:H6)+SUM(E:E)</f>
        <v>417</v>
      </c>
      <c r="K6" s="34"/>
      <c r="L6" s="50">
        <f>J6/K1</f>
        <v>0.70202020202020199</v>
      </c>
    </row>
    <row r="7" spans="1:12" ht="39" customHeight="1" x14ac:dyDescent="0.25">
      <c r="A7" s="17">
        <v>44050</v>
      </c>
      <c r="B7" s="18">
        <v>0</v>
      </c>
      <c r="C7" s="18">
        <v>14</v>
      </c>
      <c r="D7" s="2">
        <f t="shared" ref="D7:D44" si="0">B7-C7</f>
        <v>-14</v>
      </c>
      <c r="E7" s="2"/>
      <c r="F7" s="2"/>
      <c r="G7" s="2"/>
      <c r="H7" s="2"/>
      <c r="I7" s="2"/>
      <c r="J7" s="2"/>
      <c r="K7" s="19" t="s">
        <v>737</v>
      </c>
      <c r="L7" s="27" t="s">
        <v>736</v>
      </c>
    </row>
    <row r="8" spans="1:12" ht="15" customHeight="1" x14ac:dyDescent="0.25">
      <c r="A8" s="17">
        <v>44050</v>
      </c>
      <c r="B8" s="18">
        <v>0</v>
      </c>
      <c r="C8" s="18">
        <v>2</v>
      </c>
      <c r="D8" s="2">
        <f t="shared" si="0"/>
        <v>-2</v>
      </c>
      <c r="E8" s="2"/>
      <c r="F8" s="2"/>
      <c r="G8" s="2"/>
      <c r="H8" s="2"/>
      <c r="I8" s="2"/>
      <c r="J8" s="2"/>
      <c r="K8" s="19" t="s">
        <v>738</v>
      </c>
    </row>
    <row r="9" spans="1:12" ht="15" customHeight="1" x14ac:dyDescent="0.25">
      <c r="A9" s="17">
        <v>44050</v>
      </c>
      <c r="B9" s="18">
        <v>0</v>
      </c>
      <c r="C9" s="18">
        <v>0</v>
      </c>
      <c r="D9" s="2">
        <f t="shared" ref="D9:D10" si="1">B9-C9</f>
        <v>0</v>
      </c>
      <c r="E9" s="2">
        <v>30</v>
      </c>
      <c r="K9" s="19" t="s">
        <v>107</v>
      </c>
      <c r="L9" s="27" t="s">
        <v>741</v>
      </c>
    </row>
    <row r="10" spans="1:12" ht="15" customHeight="1" x14ac:dyDescent="0.25">
      <c r="A10" s="17">
        <v>44050</v>
      </c>
      <c r="B10" s="18">
        <v>0</v>
      </c>
      <c r="C10" s="18">
        <v>0</v>
      </c>
      <c r="D10" s="2">
        <f t="shared" si="1"/>
        <v>0</v>
      </c>
      <c r="E10" s="2">
        <v>31</v>
      </c>
      <c r="K10" s="19" t="s">
        <v>107</v>
      </c>
      <c r="L10" s="27" t="s">
        <v>742</v>
      </c>
    </row>
    <row r="11" spans="1:12" ht="15" customHeight="1" x14ac:dyDescent="0.3">
      <c r="A11" s="17">
        <v>44050</v>
      </c>
      <c r="B11" s="18">
        <v>10</v>
      </c>
      <c r="C11" s="18">
        <v>0</v>
      </c>
      <c r="D11" s="2">
        <f>B11-C11</f>
        <v>10</v>
      </c>
      <c r="E11" s="2"/>
      <c r="F11" s="2"/>
      <c r="G11" s="2"/>
      <c r="H11" s="2"/>
      <c r="I11" s="2"/>
      <c r="J11" s="2"/>
      <c r="K11" s="19" t="s">
        <v>739</v>
      </c>
      <c r="L11" s="38"/>
    </row>
    <row r="12" spans="1:12" ht="38.25" customHeight="1" x14ac:dyDescent="0.25">
      <c r="A12" s="17">
        <v>44053</v>
      </c>
      <c r="B12" s="18">
        <v>10</v>
      </c>
      <c r="C12" s="18">
        <v>10</v>
      </c>
      <c r="D12" s="2">
        <f>B12-C12</f>
        <v>0</v>
      </c>
      <c r="E12" s="2">
        <v>10</v>
      </c>
      <c r="F12" s="2"/>
      <c r="G12" s="2"/>
      <c r="H12" s="2"/>
      <c r="I12" s="2"/>
      <c r="J12" s="2"/>
      <c r="K12" s="19" t="s">
        <v>740</v>
      </c>
    </row>
    <row r="13" spans="1:12" ht="55.5" customHeight="1" x14ac:dyDescent="0.25">
      <c r="A13" s="17">
        <v>44053</v>
      </c>
      <c r="B13" s="18">
        <v>30</v>
      </c>
      <c r="C13" s="18">
        <v>0</v>
      </c>
      <c r="D13" s="2">
        <f t="shared" si="0"/>
        <v>30</v>
      </c>
      <c r="E13" s="2"/>
      <c r="F13" s="2"/>
      <c r="G13" s="2"/>
      <c r="H13" s="2"/>
      <c r="I13" s="2"/>
      <c r="J13" s="2"/>
      <c r="K13" s="19" t="s">
        <v>744</v>
      </c>
      <c r="L13" s="27" t="s">
        <v>743</v>
      </c>
    </row>
    <row r="14" spans="1:12" ht="78.75" customHeight="1" x14ac:dyDescent="0.25">
      <c r="A14" s="17">
        <v>44053</v>
      </c>
      <c r="B14" s="18">
        <v>31</v>
      </c>
      <c r="C14" s="18">
        <v>0</v>
      </c>
      <c r="D14" s="2">
        <f t="shared" si="0"/>
        <v>31</v>
      </c>
      <c r="E14" s="2"/>
      <c r="F14" s="2"/>
      <c r="G14" s="2"/>
      <c r="H14" s="2"/>
      <c r="I14" s="2"/>
      <c r="J14" s="2"/>
      <c r="K14" s="19" t="s">
        <v>745</v>
      </c>
      <c r="L14" s="27" t="s">
        <v>746</v>
      </c>
    </row>
    <row r="15" spans="1:12" ht="37.5" customHeight="1" x14ac:dyDescent="0.25">
      <c r="A15" s="17">
        <v>44053</v>
      </c>
      <c r="B15" s="18">
        <v>3</v>
      </c>
      <c r="C15" s="18">
        <v>3</v>
      </c>
      <c r="D15" s="2">
        <f t="shared" si="0"/>
        <v>0</v>
      </c>
      <c r="E15" s="2">
        <v>12</v>
      </c>
      <c r="F15" s="2"/>
      <c r="G15" s="2"/>
      <c r="H15" s="2"/>
      <c r="I15" s="2"/>
      <c r="J15" s="2"/>
      <c r="K15" s="19" t="s">
        <v>747</v>
      </c>
    </row>
    <row r="16" spans="1:12" ht="75.75" customHeight="1" x14ac:dyDescent="0.25">
      <c r="A16" s="17">
        <v>44057</v>
      </c>
      <c r="B16" s="18">
        <v>1</v>
      </c>
      <c r="C16" s="18">
        <v>26</v>
      </c>
      <c r="D16" s="2">
        <f t="shared" si="0"/>
        <v>-25</v>
      </c>
      <c r="E16" s="2">
        <v>1</v>
      </c>
      <c r="F16" s="2"/>
      <c r="G16" s="2"/>
      <c r="H16" s="2"/>
      <c r="I16" s="2"/>
      <c r="J16" s="2"/>
      <c r="K16" s="19" t="s">
        <v>749</v>
      </c>
      <c r="L16" s="27" t="s">
        <v>748</v>
      </c>
    </row>
    <row r="17" spans="1:12" ht="43.5" customHeight="1" x14ac:dyDescent="0.25">
      <c r="A17" s="17">
        <v>44064</v>
      </c>
      <c r="B17" s="18">
        <v>0</v>
      </c>
      <c r="C17" s="18">
        <v>14</v>
      </c>
      <c r="D17" s="2">
        <f t="shared" si="0"/>
        <v>-14</v>
      </c>
      <c r="E17" s="2"/>
      <c r="F17" s="2"/>
      <c r="G17" s="2"/>
      <c r="H17" s="2"/>
      <c r="I17" s="2"/>
      <c r="J17" s="2"/>
      <c r="K17" s="19" t="s">
        <v>750</v>
      </c>
      <c r="L17" s="27" t="s">
        <v>751</v>
      </c>
    </row>
    <row r="18" spans="1:12" ht="15" customHeight="1" x14ac:dyDescent="0.25">
      <c r="A18" s="17">
        <v>44067</v>
      </c>
      <c r="B18" s="18">
        <v>0</v>
      </c>
      <c r="C18" s="18">
        <v>0</v>
      </c>
      <c r="D18" s="2">
        <f t="shared" si="0"/>
        <v>0</v>
      </c>
      <c r="E18" s="2">
        <v>27</v>
      </c>
      <c r="F18" s="2"/>
      <c r="G18" s="2"/>
      <c r="H18" s="2"/>
      <c r="I18" s="2"/>
      <c r="J18" s="2"/>
      <c r="K18" s="19" t="s">
        <v>107</v>
      </c>
      <c r="L18" s="27" t="s">
        <v>752</v>
      </c>
    </row>
    <row r="19" spans="1:12" ht="15" customHeight="1" x14ac:dyDescent="0.25">
      <c r="A19" s="17">
        <v>44067</v>
      </c>
      <c r="B19" s="18">
        <v>0</v>
      </c>
      <c r="C19" s="18">
        <v>0</v>
      </c>
      <c r="D19" s="2">
        <f t="shared" si="0"/>
        <v>0</v>
      </c>
      <c r="E19" s="2">
        <v>9</v>
      </c>
      <c r="F19" s="2"/>
      <c r="G19" s="2"/>
      <c r="H19" s="2"/>
      <c r="I19" s="2"/>
      <c r="J19" s="2"/>
      <c r="K19" s="19" t="s">
        <v>107</v>
      </c>
      <c r="L19" s="27" t="s">
        <v>753</v>
      </c>
    </row>
    <row r="20" spans="1:12" ht="39" customHeight="1" x14ac:dyDescent="0.25">
      <c r="A20" s="17">
        <v>44067</v>
      </c>
      <c r="B20" s="18">
        <v>9</v>
      </c>
      <c r="C20" s="18">
        <v>9</v>
      </c>
      <c r="D20" s="2">
        <f t="shared" si="0"/>
        <v>0</v>
      </c>
      <c r="E20" s="2">
        <v>9</v>
      </c>
      <c r="F20" s="2"/>
      <c r="G20" s="2"/>
      <c r="H20" s="2"/>
      <c r="I20" s="2"/>
      <c r="J20" s="2"/>
      <c r="K20" s="19" t="s">
        <v>755</v>
      </c>
    </row>
    <row r="21" spans="1:12" ht="53.25" customHeight="1" x14ac:dyDescent="0.25">
      <c r="A21" s="21">
        <v>44067</v>
      </c>
      <c r="B21" s="22">
        <v>27</v>
      </c>
      <c r="C21" s="22">
        <v>0</v>
      </c>
      <c r="D21" s="2">
        <f t="shared" si="0"/>
        <v>27</v>
      </c>
      <c r="E21" s="23"/>
      <c r="F21" s="23"/>
      <c r="G21" s="23"/>
      <c r="H21" s="23"/>
      <c r="I21" s="23"/>
      <c r="J21" s="23"/>
      <c r="K21" s="25" t="s">
        <v>756</v>
      </c>
      <c r="L21" s="27" t="s">
        <v>754</v>
      </c>
    </row>
    <row r="22" spans="1:12" ht="15" customHeight="1" x14ac:dyDescent="0.25">
      <c r="A22" s="17">
        <v>44068</v>
      </c>
      <c r="B22" s="18">
        <v>9</v>
      </c>
      <c r="C22" s="18">
        <v>0</v>
      </c>
      <c r="D22" s="2">
        <f t="shared" si="0"/>
        <v>9</v>
      </c>
      <c r="E22" s="2"/>
      <c r="F22" s="2"/>
      <c r="G22" s="2"/>
      <c r="H22" s="2"/>
      <c r="I22" s="2"/>
      <c r="J22" s="2"/>
      <c r="K22" s="19" t="s">
        <v>758</v>
      </c>
      <c r="L22" s="27" t="s">
        <v>757</v>
      </c>
    </row>
    <row r="23" spans="1:12" ht="15" customHeight="1" x14ac:dyDescent="0.25">
      <c r="A23" s="17">
        <v>44068</v>
      </c>
      <c r="B23" s="18">
        <v>0</v>
      </c>
      <c r="C23" s="18">
        <v>7</v>
      </c>
      <c r="D23" s="2">
        <f t="shared" si="0"/>
        <v>-7</v>
      </c>
      <c r="E23" s="2"/>
      <c r="F23" s="2"/>
      <c r="G23" s="2"/>
      <c r="H23" s="2"/>
      <c r="I23" s="2"/>
      <c r="J23" s="2"/>
      <c r="K23" s="45" t="s">
        <v>759</v>
      </c>
      <c r="L23" s="27" t="s">
        <v>760</v>
      </c>
    </row>
    <row r="24" spans="1:12" ht="39" customHeight="1" x14ac:dyDescent="0.25">
      <c r="A24" s="17">
        <v>44069</v>
      </c>
      <c r="B24" s="18">
        <v>0</v>
      </c>
      <c r="C24" s="18">
        <v>18</v>
      </c>
      <c r="D24" s="2">
        <f t="shared" si="0"/>
        <v>-18</v>
      </c>
      <c r="E24" s="2"/>
      <c r="F24" s="2"/>
      <c r="G24" s="2"/>
      <c r="H24" s="2"/>
      <c r="I24" s="2"/>
      <c r="J24" s="2"/>
      <c r="K24" s="19" t="s">
        <v>761</v>
      </c>
    </row>
    <row r="25" spans="1:12" ht="15" customHeight="1" x14ac:dyDescent="0.25">
      <c r="A25" s="17">
        <v>44069</v>
      </c>
      <c r="B25" s="18">
        <v>0</v>
      </c>
      <c r="C25" s="18">
        <v>0</v>
      </c>
      <c r="D25" s="2">
        <f t="shared" si="0"/>
        <v>0</v>
      </c>
      <c r="E25" s="2">
        <v>10</v>
      </c>
      <c r="F25" s="2"/>
      <c r="G25" s="2"/>
      <c r="H25" s="2"/>
      <c r="I25" s="2"/>
      <c r="J25" s="2"/>
      <c r="K25" s="19" t="s">
        <v>107</v>
      </c>
      <c r="L25" s="27" t="s">
        <v>762</v>
      </c>
    </row>
    <row r="26" spans="1:12" ht="15" customHeight="1" x14ac:dyDescent="0.25">
      <c r="A26" s="17">
        <v>44070</v>
      </c>
      <c r="B26" s="18">
        <v>1</v>
      </c>
      <c r="C26" s="18">
        <v>1</v>
      </c>
      <c r="D26" s="2">
        <f t="shared" si="0"/>
        <v>0</v>
      </c>
      <c r="E26" s="2"/>
      <c r="F26" s="2"/>
      <c r="G26" s="2"/>
      <c r="H26" s="2"/>
      <c r="I26" s="2"/>
      <c r="J26" s="2"/>
      <c r="K26" s="20" t="s">
        <v>763</v>
      </c>
    </row>
    <row r="27" spans="1:12" x14ac:dyDescent="0.25">
      <c r="A27" s="17">
        <v>44070</v>
      </c>
      <c r="B27" s="18">
        <v>10</v>
      </c>
      <c r="C27" s="18">
        <v>0</v>
      </c>
      <c r="D27" s="2">
        <f t="shared" si="0"/>
        <v>10</v>
      </c>
      <c r="E27" s="2"/>
      <c r="F27" s="2"/>
      <c r="G27" s="2"/>
      <c r="H27" s="2"/>
      <c r="I27" s="2"/>
      <c r="J27" s="2"/>
      <c r="K27" s="20" t="s">
        <v>765</v>
      </c>
      <c r="L27" s="27" t="s">
        <v>764</v>
      </c>
    </row>
    <row r="28" spans="1:12" ht="45" x14ac:dyDescent="0.25">
      <c r="A28" s="17">
        <v>44071</v>
      </c>
      <c r="B28" s="18">
        <v>0</v>
      </c>
      <c r="C28" s="18">
        <v>12</v>
      </c>
      <c r="D28" s="2">
        <f t="shared" si="0"/>
        <v>-12</v>
      </c>
      <c r="E28" s="2"/>
      <c r="F28" s="2"/>
      <c r="G28" s="2"/>
      <c r="H28" s="2"/>
      <c r="I28" s="2"/>
      <c r="J28" s="2"/>
      <c r="K28" s="19" t="s">
        <v>766</v>
      </c>
    </row>
    <row r="29" spans="1:12" x14ac:dyDescent="0.25">
      <c r="A29" s="17">
        <v>44071</v>
      </c>
      <c r="B29" s="18">
        <v>0</v>
      </c>
      <c r="C29" s="18">
        <v>0</v>
      </c>
      <c r="D29" s="2">
        <f t="shared" si="0"/>
        <v>0</v>
      </c>
      <c r="E29" s="2">
        <v>9</v>
      </c>
      <c r="F29" s="2"/>
      <c r="G29" s="2"/>
      <c r="H29" s="2"/>
      <c r="I29" s="2"/>
      <c r="J29" s="2"/>
      <c r="K29" s="19" t="s">
        <v>107</v>
      </c>
      <c r="L29" s="27" t="s">
        <v>767</v>
      </c>
    </row>
    <row r="30" spans="1:12" ht="30" x14ac:dyDescent="0.25">
      <c r="A30" s="17">
        <v>44074</v>
      </c>
      <c r="B30" s="18">
        <v>0</v>
      </c>
      <c r="C30" s="18">
        <v>12</v>
      </c>
      <c r="D30" s="2">
        <f t="shared" si="0"/>
        <v>-12</v>
      </c>
      <c r="E30" s="2"/>
      <c r="F30" s="2"/>
      <c r="G30" s="2"/>
      <c r="H30" s="2"/>
      <c r="I30" s="2"/>
      <c r="J30" s="2"/>
      <c r="K30" s="19" t="s">
        <v>768</v>
      </c>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k8XDUZrw2jWehoWaIMDl+QNJNXf1IfvHj1wRU4O7KWOQKth5u7IbXvDVoTtQDwg12A4ew06fmUd8Sqzxeyf/1w==" saltValue="jIslM0cKeF0y7VlUHtqG9A==" spinCount="100000" sheet="1" objects="1" scenarios="1" selectLockedCells="1" selectUnlockedCells="1"/>
  <customSheetViews>
    <customSheetView guid="{E5A7B818-645B-417C-A128-9FE559D9B124}" fitToPage="1">
      <pane ySplit="6" topLeftCell="A22" activePane="bottomLeft" state="frozen"/>
      <selection pane="bottomLeft" activeCell="K28" sqref="K2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45" priority="1" operator="lessThan">
      <formula>0</formula>
    </cfRule>
    <cfRule type="cellIs" dxfId="14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Tabelle49">
    <pageSetUpPr fitToPage="1"/>
  </sheetPr>
  <dimension ref="A1:L52"/>
  <sheetViews>
    <sheetView workbookViewId="0">
      <pane ySplit="6" topLeftCell="A37" activePane="bottomLeft" state="frozen"/>
      <selection pane="bottomLeft" sqref="A1:XFD1048576"/>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113</v>
      </c>
    </row>
    <row r="3" spans="1:12" ht="15.75" thickBot="1" x14ac:dyDescent="0.3">
      <c r="A3" s="5"/>
      <c r="B3" s="2"/>
      <c r="C3" s="2"/>
      <c r="D3" s="2"/>
      <c r="E3" s="2"/>
      <c r="F3" s="2">
        <f>'08.20'!F6</f>
        <v>449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481</v>
      </c>
      <c r="G6" s="30">
        <f>SUM(B:B)</f>
        <v>203</v>
      </c>
      <c r="H6" s="30">
        <f>SUM(C:C)</f>
        <v>171</v>
      </c>
      <c r="I6" s="30"/>
      <c r="J6" s="33">
        <f>SUM(G6:H6)+SUM(E:E)</f>
        <v>486</v>
      </c>
      <c r="K6" s="34"/>
      <c r="L6" s="50">
        <f>J6/K1</f>
        <v>0.81818181818181823</v>
      </c>
    </row>
    <row r="7" spans="1:12" ht="15" customHeight="1" x14ac:dyDescent="0.25">
      <c r="A7" s="17">
        <v>44074</v>
      </c>
      <c r="B7" s="18">
        <v>0</v>
      </c>
      <c r="C7" s="18">
        <v>0</v>
      </c>
      <c r="D7" s="2">
        <f t="shared" ref="D7:D52" si="0">B7-C7</f>
        <v>0</v>
      </c>
      <c r="E7" s="2">
        <v>23</v>
      </c>
      <c r="F7" s="2"/>
      <c r="G7" s="2"/>
      <c r="H7" s="2"/>
      <c r="I7" s="2"/>
      <c r="J7" s="2"/>
      <c r="K7" s="19" t="s">
        <v>107</v>
      </c>
      <c r="L7" s="27" t="s">
        <v>772</v>
      </c>
    </row>
    <row r="8" spans="1:12" ht="15" customHeight="1" x14ac:dyDescent="0.25">
      <c r="A8" s="17">
        <v>44074</v>
      </c>
      <c r="B8" s="18">
        <v>9</v>
      </c>
      <c r="C8" s="18">
        <v>0</v>
      </c>
      <c r="D8" s="2">
        <f t="shared" si="0"/>
        <v>9</v>
      </c>
      <c r="E8" s="2"/>
      <c r="F8" s="2"/>
      <c r="G8" s="2"/>
      <c r="H8" s="2"/>
      <c r="I8" s="2"/>
      <c r="J8" s="2"/>
      <c r="K8" s="27" t="s">
        <v>769</v>
      </c>
      <c r="L8" s="27" t="s">
        <v>774</v>
      </c>
    </row>
    <row r="9" spans="1:12" ht="47.25" customHeight="1" x14ac:dyDescent="0.25">
      <c r="A9" s="17">
        <v>44074</v>
      </c>
      <c r="B9" s="18">
        <v>6</v>
      </c>
      <c r="C9" s="18">
        <v>6</v>
      </c>
      <c r="D9" s="2">
        <f t="shared" si="0"/>
        <v>0</v>
      </c>
      <c r="E9" s="2">
        <v>6</v>
      </c>
      <c r="F9" s="2"/>
      <c r="G9" s="2"/>
      <c r="H9" s="2"/>
      <c r="I9" s="2"/>
      <c r="J9" s="2"/>
      <c r="K9" s="19" t="s">
        <v>770</v>
      </c>
    </row>
    <row r="10" spans="1:12" ht="56.25" customHeight="1" x14ac:dyDescent="0.25">
      <c r="A10" s="17">
        <v>44074</v>
      </c>
      <c r="B10" s="18">
        <v>23</v>
      </c>
      <c r="C10" s="18">
        <v>0</v>
      </c>
      <c r="D10" s="2">
        <f t="shared" si="0"/>
        <v>23</v>
      </c>
      <c r="E10" s="2"/>
      <c r="F10" s="2"/>
      <c r="G10" s="2"/>
      <c r="H10" s="2"/>
      <c r="I10" s="2"/>
      <c r="J10" s="2"/>
      <c r="K10" s="19" t="s">
        <v>771</v>
      </c>
      <c r="L10" s="53" t="s">
        <v>773</v>
      </c>
    </row>
    <row r="11" spans="1:12" ht="15" customHeight="1" x14ac:dyDescent="0.3">
      <c r="A11" s="17">
        <v>44074</v>
      </c>
      <c r="B11" s="18">
        <v>6</v>
      </c>
      <c r="C11" s="18">
        <v>0</v>
      </c>
      <c r="D11" s="2">
        <f t="shared" si="0"/>
        <v>6</v>
      </c>
      <c r="E11" s="2"/>
      <c r="F11" s="2"/>
      <c r="G11" s="2"/>
      <c r="H11" s="2"/>
      <c r="I11" s="2"/>
      <c r="J11" s="2"/>
      <c r="K11" s="19" t="s">
        <v>775</v>
      </c>
      <c r="L11" s="38"/>
    </row>
    <row r="12" spans="1:12" ht="38.25" customHeight="1" x14ac:dyDescent="0.25">
      <c r="A12" s="17">
        <v>44075</v>
      </c>
      <c r="B12" s="18">
        <v>0</v>
      </c>
      <c r="C12" s="18">
        <v>12</v>
      </c>
      <c r="D12" s="2">
        <f t="shared" si="0"/>
        <v>-12</v>
      </c>
      <c r="E12" s="2"/>
      <c r="F12" s="2"/>
      <c r="G12" s="2"/>
      <c r="H12" s="2"/>
      <c r="I12" s="2"/>
      <c r="J12" s="2"/>
      <c r="K12" s="19" t="s">
        <v>776</v>
      </c>
      <c r="L12" s="27" t="s">
        <v>777</v>
      </c>
    </row>
    <row r="13" spans="1:12" ht="15" customHeight="1" x14ac:dyDescent="0.25">
      <c r="A13" s="17">
        <v>44076</v>
      </c>
      <c r="B13" s="18">
        <v>0</v>
      </c>
      <c r="C13" s="18">
        <v>0</v>
      </c>
      <c r="D13" s="2">
        <f t="shared" si="0"/>
        <v>0</v>
      </c>
      <c r="E13" s="2">
        <v>8</v>
      </c>
      <c r="F13" s="2"/>
      <c r="G13" s="2"/>
      <c r="H13" s="2"/>
      <c r="I13" s="2"/>
      <c r="J13" s="2"/>
      <c r="K13" s="19" t="s">
        <v>107</v>
      </c>
      <c r="L13" s="27" t="s">
        <v>778</v>
      </c>
    </row>
    <row r="14" spans="1:12" ht="15" customHeight="1" x14ac:dyDescent="0.25">
      <c r="A14" s="17">
        <v>44076</v>
      </c>
      <c r="B14" s="18">
        <v>0</v>
      </c>
      <c r="C14" s="18">
        <v>0</v>
      </c>
      <c r="D14" s="2">
        <f t="shared" si="0"/>
        <v>0</v>
      </c>
      <c r="E14" s="2">
        <v>10</v>
      </c>
      <c r="F14" s="2"/>
      <c r="G14" s="2"/>
      <c r="H14" s="2"/>
      <c r="I14" s="2"/>
      <c r="J14" s="2"/>
      <c r="K14" s="19" t="s">
        <v>107</v>
      </c>
      <c r="L14" s="27" t="s">
        <v>779</v>
      </c>
    </row>
    <row r="15" spans="1:12" ht="39" customHeight="1" x14ac:dyDescent="0.25">
      <c r="A15" s="17">
        <v>44076</v>
      </c>
      <c r="B15" s="18">
        <v>0</v>
      </c>
      <c r="C15" s="18">
        <v>15</v>
      </c>
      <c r="D15" s="2">
        <f t="shared" si="0"/>
        <v>-15</v>
      </c>
      <c r="E15" s="2"/>
      <c r="F15" s="2"/>
      <c r="G15" s="2"/>
      <c r="H15" s="2"/>
      <c r="I15" s="2"/>
      <c r="J15" s="2"/>
      <c r="K15" s="19" t="s">
        <v>780</v>
      </c>
    </row>
    <row r="16" spans="1:12" ht="38.25" customHeight="1" x14ac:dyDescent="0.25">
      <c r="A16" s="17">
        <v>44077</v>
      </c>
      <c r="B16" s="18">
        <v>8</v>
      </c>
      <c r="C16" s="18">
        <v>8</v>
      </c>
      <c r="D16" s="2">
        <f t="shared" si="0"/>
        <v>0</v>
      </c>
      <c r="E16" s="2">
        <v>8</v>
      </c>
      <c r="F16" s="2"/>
      <c r="G16" s="2"/>
      <c r="H16" s="2"/>
      <c r="I16" s="2"/>
      <c r="J16" s="2"/>
      <c r="K16" s="19" t="s">
        <v>783</v>
      </c>
      <c r="L16" s="53"/>
    </row>
    <row r="17" spans="1:12" ht="15" customHeight="1" x14ac:dyDescent="0.25">
      <c r="A17" s="17">
        <v>44077</v>
      </c>
      <c r="B17" s="18">
        <v>8</v>
      </c>
      <c r="C17" s="18">
        <v>0</v>
      </c>
      <c r="D17" s="2">
        <f t="shared" si="0"/>
        <v>8</v>
      </c>
      <c r="E17" s="2"/>
      <c r="F17" s="2"/>
      <c r="G17" s="2"/>
      <c r="H17" s="2"/>
      <c r="I17" s="2"/>
      <c r="J17" s="2"/>
      <c r="K17" s="19" t="s">
        <v>781</v>
      </c>
      <c r="L17" s="53" t="s">
        <v>782</v>
      </c>
    </row>
    <row r="18" spans="1:12" ht="37.5" customHeight="1" x14ac:dyDescent="0.25">
      <c r="A18" s="17">
        <v>44077</v>
      </c>
      <c r="B18" s="18">
        <v>0</v>
      </c>
      <c r="C18" s="18">
        <v>13</v>
      </c>
      <c r="D18" s="2">
        <f t="shared" si="0"/>
        <v>-13</v>
      </c>
      <c r="E18" s="2"/>
      <c r="F18" s="2"/>
      <c r="G18" s="2"/>
      <c r="H18" s="2"/>
      <c r="I18" s="2"/>
      <c r="J18" s="2"/>
      <c r="K18" s="19" t="s">
        <v>784</v>
      </c>
      <c r="L18" s="27" t="s">
        <v>785</v>
      </c>
    </row>
    <row r="19" spans="1:12" ht="15" customHeight="1" x14ac:dyDescent="0.25">
      <c r="A19" s="17">
        <v>44077</v>
      </c>
      <c r="B19" s="18">
        <v>1</v>
      </c>
      <c r="C19" s="18">
        <v>1</v>
      </c>
      <c r="D19" s="2">
        <f t="shared" si="0"/>
        <v>0</v>
      </c>
      <c r="E19" s="2">
        <v>1</v>
      </c>
      <c r="F19" s="2"/>
      <c r="G19" s="2"/>
      <c r="H19" s="2"/>
      <c r="I19" s="2"/>
      <c r="J19" s="2"/>
      <c r="K19" s="19" t="s">
        <v>786</v>
      </c>
    </row>
    <row r="20" spans="1:12" ht="15" customHeight="1" x14ac:dyDescent="0.25">
      <c r="A20" s="17">
        <v>44078</v>
      </c>
      <c r="B20" s="18">
        <v>1</v>
      </c>
      <c r="C20" s="18">
        <v>1</v>
      </c>
      <c r="D20" s="2">
        <f t="shared" si="0"/>
        <v>0</v>
      </c>
      <c r="E20" s="2">
        <v>1</v>
      </c>
      <c r="F20" s="2"/>
      <c r="G20" s="2"/>
      <c r="H20" s="2"/>
      <c r="I20" s="2"/>
      <c r="J20" s="2"/>
      <c r="K20" s="19" t="s">
        <v>788</v>
      </c>
      <c r="L20" s="27" t="s">
        <v>787</v>
      </c>
    </row>
    <row r="21" spans="1:12" ht="15" customHeight="1" x14ac:dyDescent="0.25">
      <c r="A21" s="21">
        <v>44078</v>
      </c>
      <c r="B21" s="22">
        <v>10</v>
      </c>
      <c r="C21" s="22">
        <v>0</v>
      </c>
      <c r="D21" s="2">
        <f t="shared" si="0"/>
        <v>10</v>
      </c>
      <c r="E21" s="23"/>
      <c r="F21" s="23"/>
      <c r="G21" s="23"/>
      <c r="H21" s="23"/>
      <c r="I21" s="23"/>
      <c r="J21" s="23"/>
      <c r="K21" s="25" t="s">
        <v>790</v>
      </c>
      <c r="L21" s="53" t="s">
        <v>789</v>
      </c>
    </row>
    <row r="22" spans="1:12" ht="38.25" customHeight="1" x14ac:dyDescent="0.25">
      <c r="A22" s="17">
        <v>44078</v>
      </c>
      <c r="B22" s="18">
        <v>3</v>
      </c>
      <c r="C22" s="18">
        <v>3</v>
      </c>
      <c r="D22" s="2">
        <f t="shared" si="0"/>
        <v>0</v>
      </c>
      <c r="E22" s="2">
        <v>3</v>
      </c>
      <c r="F22" s="2"/>
      <c r="G22" s="2"/>
      <c r="H22" s="2"/>
      <c r="I22" s="2"/>
      <c r="J22" s="2"/>
      <c r="K22" s="19" t="s">
        <v>791</v>
      </c>
      <c r="L22" s="27" t="s">
        <v>792</v>
      </c>
    </row>
    <row r="23" spans="1:12" ht="15" customHeight="1" x14ac:dyDescent="0.25">
      <c r="A23" s="17">
        <v>44081</v>
      </c>
      <c r="B23" s="18">
        <v>0</v>
      </c>
      <c r="C23" s="18">
        <v>0</v>
      </c>
      <c r="D23" s="2">
        <f t="shared" si="0"/>
        <v>0</v>
      </c>
      <c r="E23" s="2">
        <v>11</v>
      </c>
      <c r="F23" s="2"/>
      <c r="G23" s="2"/>
      <c r="H23" s="2"/>
      <c r="I23" s="2"/>
      <c r="J23" s="2"/>
      <c r="K23" s="19" t="s">
        <v>107</v>
      </c>
      <c r="L23" s="27" t="s">
        <v>793</v>
      </c>
    </row>
    <row r="24" spans="1:12" ht="37.5" customHeight="1" x14ac:dyDescent="0.25">
      <c r="A24" s="17">
        <v>44082</v>
      </c>
      <c r="B24" s="18">
        <v>11</v>
      </c>
      <c r="C24" s="18">
        <v>0</v>
      </c>
      <c r="D24" s="2">
        <f>B24-C24</f>
        <v>11</v>
      </c>
      <c r="E24" s="2"/>
      <c r="F24" s="2"/>
      <c r="G24" s="2"/>
      <c r="H24" s="2"/>
      <c r="I24" s="2"/>
      <c r="J24" s="2"/>
      <c r="K24" s="19" t="s">
        <v>795</v>
      </c>
      <c r="L24" s="27" t="s">
        <v>794</v>
      </c>
    </row>
    <row r="25" spans="1:12" ht="15" customHeight="1" x14ac:dyDescent="0.25">
      <c r="A25" s="17">
        <v>44082</v>
      </c>
      <c r="B25" s="18">
        <v>1</v>
      </c>
      <c r="C25" s="18">
        <v>1</v>
      </c>
      <c r="D25" s="2">
        <f t="shared" si="0"/>
        <v>0</v>
      </c>
      <c r="E25" s="2">
        <v>1</v>
      </c>
      <c r="F25" s="2"/>
      <c r="G25" s="2"/>
      <c r="H25" s="2"/>
      <c r="I25" s="2"/>
      <c r="J25" s="2"/>
      <c r="K25" s="19" t="s">
        <v>796</v>
      </c>
    </row>
    <row r="26" spans="1:12" ht="38.25" customHeight="1" x14ac:dyDescent="0.25">
      <c r="A26" s="17">
        <v>44082</v>
      </c>
      <c r="B26" s="18">
        <v>0</v>
      </c>
      <c r="C26" s="18">
        <v>15</v>
      </c>
      <c r="D26" s="2">
        <f t="shared" si="0"/>
        <v>-15</v>
      </c>
      <c r="E26" s="2"/>
      <c r="F26" s="2"/>
      <c r="G26" s="2"/>
      <c r="H26" s="2"/>
      <c r="I26" s="2"/>
      <c r="J26" s="2"/>
      <c r="K26" s="19" t="s">
        <v>797</v>
      </c>
    </row>
    <row r="27" spans="1:12" ht="45" x14ac:dyDescent="0.25">
      <c r="A27" s="17">
        <v>44082</v>
      </c>
      <c r="B27" s="18">
        <v>14</v>
      </c>
      <c r="C27" s="18">
        <v>0</v>
      </c>
      <c r="D27" s="2">
        <f t="shared" si="0"/>
        <v>14</v>
      </c>
      <c r="E27" s="2"/>
      <c r="F27" s="2"/>
      <c r="G27" s="2"/>
      <c r="H27" s="2"/>
      <c r="I27" s="2"/>
      <c r="J27" s="2"/>
      <c r="K27" s="19" t="s">
        <v>798</v>
      </c>
    </row>
    <row r="28" spans="1:12" x14ac:dyDescent="0.25">
      <c r="A28" s="17">
        <v>44082</v>
      </c>
      <c r="B28" s="18">
        <v>1</v>
      </c>
      <c r="C28" s="18">
        <v>1</v>
      </c>
      <c r="D28" s="2">
        <f t="shared" si="0"/>
        <v>0</v>
      </c>
      <c r="E28" s="2">
        <v>1</v>
      </c>
      <c r="F28" s="2"/>
      <c r="G28" s="2"/>
      <c r="H28" s="2"/>
      <c r="I28" s="2"/>
      <c r="J28" s="2"/>
      <c r="K28" s="19" t="s">
        <v>799</v>
      </c>
    </row>
    <row r="29" spans="1:12" x14ac:dyDescent="0.25">
      <c r="A29" s="17">
        <v>44083</v>
      </c>
      <c r="B29" s="18">
        <v>1</v>
      </c>
      <c r="C29" s="18">
        <v>1</v>
      </c>
      <c r="D29" s="2">
        <f t="shared" si="0"/>
        <v>0</v>
      </c>
      <c r="E29" s="2">
        <v>1</v>
      </c>
      <c r="F29" s="2"/>
      <c r="G29" s="2"/>
      <c r="H29" s="2"/>
      <c r="I29" s="2"/>
      <c r="J29" s="2"/>
      <c r="K29" s="19" t="s">
        <v>800</v>
      </c>
      <c r="L29" s="27" t="s">
        <v>801</v>
      </c>
    </row>
    <row r="30" spans="1:12" ht="30" x14ac:dyDescent="0.25">
      <c r="A30" s="17">
        <v>44084</v>
      </c>
      <c r="B30" s="18">
        <v>0</v>
      </c>
      <c r="C30" s="18">
        <v>17</v>
      </c>
      <c r="D30" s="2">
        <f t="shared" si="0"/>
        <v>-17</v>
      </c>
      <c r="E30" s="2"/>
      <c r="F30" s="2"/>
      <c r="G30" s="2"/>
      <c r="H30" s="2"/>
      <c r="I30" s="2"/>
      <c r="J30" s="2"/>
      <c r="K30" s="19" t="s">
        <v>802</v>
      </c>
    </row>
    <row r="31" spans="1:12" x14ac:dyDescent="0.25">
      <c r="A31" s="17">
        <v>44084</v>
      </c>
      <c r="B31" s="18">
        <v>6</v>
      </c>
      <c r="C31" s="18">
        <v>0</v>
      </c>
      <c r="D31" s="2">
        <f t="shared" si="0"/>
        <v>6</v>
      </c>
      <c r="E31" s="2"/>
      <c r="F31" s="2"/>
      <c r="G31" s="2"/>
      <c r="H31" s="2"/>
      <c r="I31" s="2"/>
      <c r="J31" s="2"/>
      <c r="K31" s="20" t="s">
        <v>803</v>
      </c>
    </row>
    <row r="32" spans="1:12" x14ac:dyDescent="0.25">
      <c r="A32" s="17">
        <v>44085</v>
      </c>
      <c r="B32" s="18">
        <v>0</v>
      </c>
      <c r="C32" s="18">
        <v>1</v>
      </c>
      <c r="D32" s="2">
        <f t="shared" si="0"/>
        <v>-1</v>
      </c>
      <c r="E32" s="2"/>
      <c r="F32" s="2"/>
      <c r="G32" s="2"/>
      <c r="H32" s="2"/>
      <c r="I32" s="2"/>
      <c r="J32" s="2"/>
      <c r="K32" s="20">
        <v>548540</v>
      </c>
      <c r="L32" s="27" t="s">
        <v>804</v>
      </c>
    </row>
    <row r="33" spans="1:12" ht="30" x14ac:dyDescent="0.25">
      <c r="A33" s="17">
        <v>44089</v>
      </c>
      <c r="B33" s="18">
        <v>0</v>
      </c>
      <c r="C33" s="18">
        <v>18</v>
      </c>
      <c r="D33" s="2">
        <f t="shared" si="0"/>
        <v>-18</v>
      </c>
      <c r="E33" s="2"/>
      <c r="F33" s="2"/>
      <c r="G33" s="2"/>
      <c r="H33" s="2"/>
      <c r="I33" s="2"/>
      <c r="J33" s="2"/>
      <c r="K33" s="19" t="s">
        <v>805</v>
      </c>
    </row>
    <row r="34" spans="1:12" ht="45" x14ac:dyDescent="0.25">
      <c r="A34" s="17">
        <v>44089</v>
      </c>
      <c r="B34" s="18">
        <v>12</v>
      </c>
      <c r="C34" s="18">
        <v>0</v>
      </c>
      <c r="D34" s="2">
        <f t="shared" si="0"/>
        <v>12</v>
      </c>
      <c r="E34" s="2"/>
      <c r="F34" s="2"/>
      <c r="G34" s="2"/>
      <c r="H34" s="2"/>
      <c r="I34" s="2"/>
      <c r="J34" s="2"/>
      <c r="K34" s="19" t="s">
        <v>806</v>
      </c>
    </row>
    <row r="35" spans="1:12" ht="45" x14ac:dyDescent="0.25">
      <c r="A35" s="17">
        <v>44095</v>
      </c>
      <c r="B35" s="18">
        <v>0</v>
      </c>
      <c r="C35" s="18">
        <v>17</v>
      </c>
      <c r="D35" s="2">
        <f t="shared" si="0"/>
        <v>-17</v>
      </c>
      <c r="E35" s="2"/>
      <c r="F35" s="2"/>
      <c r="G35" s="2"/>
      <c r="H35" s="2"/>
      <c r="I35" s="2"/>
      <c r="J35" s="2"/>
      <c r="K35" s="19" t="s">
        <v>807</v>
      </c>
    </row>
    <row r="36" spans="1:12" ht="45" x14ac:dyDescent="0.25">
      <c r="A36" s="17">
        <v>44095</v>
      </c>
      <c r="B36" s="18">
        <v>17</v>
      </c>
      <c r="C36" s="18">
        <v>0</v>
      </c>
      <c r="D36" s="2">
        <f t="shared" si="0"/>
        <v>17</v>
      </c>
      <c r="E36" s="2"/>
      <c r="F36" s="2"/>
      <c r="G36" s="2"/>
      <c r="H36" s="2"/>
      <c r="I36" s="2"/>
      <c r="J36" s="2"/>
      <c r="K36" s="19" t="s">
        <v>808</v>
      </c>
    </row>
    <row r="37" spans="1:12" x14ac:dyDescent="0.25">
      <c r="A37" s="17">
        <v>44096</v>
      </c>
      <c r="B37" s="18">
        <v>0</v>
      </c>
      <c r="C37" s="18">
        <v>0</v>
      </c>
      <c r="D37" s="2">
        <f t="shared" si="0"/>
        <v>0</v>
      </c>
      <c r="E37" s="2">
        <v>11</v>
      </c>
      <c r="F37" s="2"/>
      <c r="G37" s="2"/>
      <c r="H37" s="2"/>
      <c r="I37" s="2"/>
      <c r="J37" s="2"/>
      <c r="K37" s="19" t="s">
        <v>107</v>
      </c>
      <c r="L37" s="27" t="s">
        <v>809</v>
      </c>
    </row>
    <row r="38" spans="1:12" x14ac:dyDescent="0.25">
      <c r="A38" s="17">
        <v>44097</v>
      </c>
      <c r="B38" s="18">
        <v>0</v>
      </c>
      <c r="C38" s="18">
        <v>0</v>
      </c>
      <c r="D38" s="2">
        <f t="shared" si="0"/>
        <v>0</v>
      </c>
      <c r="E38" s="2">
        <v>12</v>
      </c>
      <c r="F38" s="2"/>
      <c r="G38" s="2"/>
      <c r="H38" s="2"/>
      <c r="I38" s="2"/>
      <c r="J38" s="2"/>
      <c r="K38" s="19" t="s">
        <v>107</v>
      </c>
      <c r="L38" s="27" t="s">
        <v>815</v>
      </c>
    </row>
    <row r="39" spans="1:12" ht="45" x14ac:dyDescent="0.25">
      <c r="A39" s="17">
        <v>44097</v>
      </c>
      <c r="B39" s="18">
        <v>11</v>
      </c>
      <c r="C39" s="18">
        <v>0</v>
      </c>
      <c r="D39" s="2">
        <f t="shared" si="0"/>
        <v>11</v>
      </c>
      <c r="E39" s="2"/>
      <c r="F39" s="2"/>
      <c r="G39" s="2"/>
      <c r="H39" s="2"/>
      <c r="I39" s="2"/>
      <c r="J39" s="2"/>
      <c r="K39" s="19" t="s">
        <v>811</v>
      </c>
      <c r="L39" s="53" t="s">
        <v>810</v>
      </c>
    </row>
    <row r="40" spans="1:12" ht="30" x14ac:dyDescent="0.25">
      <c r="A40" s="17">
        <v>44097</v>
      </c>
      <c r="B40" s="18">
        <v>4</v>
      </c>
      <c r="C40" s="18">
        <v>4</v>
      </c>
      <c r="D40" s="2">
        <f t="shared" si="0"/>
        <v>0</v>
      </c>
      <c r="E40" s="2">
        <v>4</v>
      </c>
      <c r="F40" s="2"/>
      <c r="G40" s="2"/>
      <c r="H40" s="2"/>
      <c r="I40" s="2"/>
      <c r="J40" s="2"/>
      <c r="K40" s="19" t="s">
        <v>812</v>
      </c>
    </row>
    <row r="41" spans="1:12" ht="60" customHeight="1" x14ac:dyDescent="0.25">
      <c r="A41" s="17">
        <v>44098</v>
      </c>
      <c r="B41" s="18">
        <v>0</v>
      </c>
      <c r="C41" s="18">
        <v>26</v>
      </c>
      <c r="D41" s="2">
        <f t="shared" si="0"/>
        <v>-26</v>
      </c>
      <c r="E41" s="2"/>
      <c r="F41" s="2"/>
      <c r="G41" s="2"/>
      <c r="H41" s="2"/>
      <c r="I41" s="2"/>
      <c r="J41" s="2"/>
      <c r="K41" s="19" t="s">
        <v>818</v>
      </c>
    </row>
    <row r="42" spans="1:12" ht="44.25" customHeight="1" x14ac:dyDescent="0.25">
      <c r="A42" s="17">
        <v>44098</v>
      </c>
      <c r="B42" s="18">
        <v>20</v>
      </c>
      <c r="C42" s="18">
        <v>0</v>
      </c>
      <c r="D42" s="2">
        <f t="shared" si="0"/>
        <v>20</v>
      </c>
      <c r="E42" s="2"/>
      <c r="F42" s="2"/>
      <c r="G42" s="2"/>
      <c r="H42" s="2"/>
      <c r="I42" s="2"/>
      <c r="J42" s="2"/>
      <c r="K42" s="19" t="s">
        <v>819</v>
      </c>
    </row>
    <row r="43" spans="1:12" x14ac:dyDescent="0.25">
      <c r="A43" s="17">
        <v>44098</v>
      </c>
      <c r="B43" s="18">
        <v>0</v>
      </c>
      <c r="C43" s="18">
        <v>4</v>
      </c>
      <c r="D43" s="2">
        <f t="shared" si="0"/>
        <v>-4</v>
      </c>
      <c r="E43" s="2"/>
      <c r="F43" s="2"/>
      <c r="G43" s="2"/>
      <c r="H43" s="2"/>
      <c r="I43" s="2"/>
      <c r="J43" s="2"/>
      <c r="K43" s="20" t="s">
        <v>814</v>
      </c>
      <c r="L43" s="27" t="s">
        <v>813</v>
      </c>
    </row>
    <row r="44" spans="1:12" ht="45" x14ac:dyDescent="0.25">
      <c r="A44" s="17">
        <v>44098</v>
      </c>
      <c r="B44" s="18">
        <v>12</v>
      </c>
      <c r="C44" s="18">
        <v>0</v>
      </c>
      <c r="D44" s="2">
        <f t="shared" si="0"/>
        <v>12</v>
      </c>
      <c r="E44" s="2"/>
      <c r="F44" s="2"/>
      <c r="G44" s="2"/>
      <c r="H44" s="2"/>
      <c r="I44" s="2"/>
      <c r="J44" s="2"/>
      <c r="K44" s="19" t="s">
        <v>817</v>
      </c>
      <c r="L44" s="27" t="s">
        <v>816</v>
      </c>
    </row>
    <row r="45" spans="1:12" ht="30" x14ac:dyDescent="0.25">
      <c r="A45" s="17">
        <v>44098</v>
      </c>
      <c r="B45" s="18">
        <v>0</v>
      </c>
      <c r="C45" s="18">
        <v>4</v>
      </c>
      <c r="D45" s="2">
        <f t="shared" si="0"/>
        <v>-4</v>
      </c>
      <c r="K45" s="19" t="s">
        <v>825</v>
      </c>
    </row>
    <row r="46" spans="1:12" x14ac:dyDescent="0.25">
      <c r="A46" s="17">
        <v>44099</v>
      </c>
      <c r="B46" s="18">
        <v>4</v>
      </c>
      <c r="C46" s="18">
        <v>0</v>
      </c>
      <c r="D46" s="2">
        <f t="shared" si="0"/>
        <v>4</v>
      </c>
      <c r="K46" s="19" t="s">
        <v>820</v>
      </c>
    </row>
    <row r="47" spans="1:12" x14ac:dyDescent="0.25">
      <c r="A47" s="17">
        <v>44102</v>
      </c>
      <c r="B47" s="18">
        <v>0</v>
      </c>
      <c r="C47" s="18">
        <v>0</v>
      </c>
      <c r="D47" s="2">
        <f t="shared" si="0"/>
        <v>0</v>
      </c>
      <c r="E47" s="46">
        <v>11</v>
      </c>
      <c r="K47" s="19" t="s">
        <v>107</v>
      </c>
      <c r="L47" s="27" t="s">
        <v>821</v>
      </c>
    </row>
    <row r="48" spans="1:12" ht="30" x14ac:dyDescent="0.25">
      <c r="A48" s="17">
        <v>44103</v>
      </c>
      <c r="B48" s="18">
        <v>11</v>
      </c>
      <c r="C48" s="18">
        <v>0</v>
      </c>
      <c r="D48" s="2">
        <f t="shared" si="0"/>
        <v>11</v>
      </c>
      <c r="K48" s="19" t="s">
        <v>822</v>
      </c>
      <c r="L48" s="27" t="s">
        <v>823</v>
      </c>
    </row>
    <row r="49" spans="1:11" ht="30" x14ac:dyDescent="0.25">
      <c r="A49" s="17">
        <v>44104</v>
      </c>
      <c r="B49" s="18">
        <v>3</v>
      </c>
      <c r="C49" s="18">
        <v>3</v>
      </c>
      <c r="D49" s="2">
        <f t="shared" si="0"/>
        <v>0</v>
      </c>
      <c r="K49" s="19" t="s">
        <v>824</v>
      </c>
    </row>
    <row r="50" spans="1:11" x14ac:dyDescent="0.25">
      <c r="A50" s="17"/>
      <c r="D50" s="2">
        <f t="shared" si="0"/>
        <v>0</v>
      </c>
    </row>
    <row r="51" spans="1:11" x14ac:dyDescent="0.25">
      <c r="A51" s="17"/>
      <c r="D51" s="2">
        <f t="shared" si="0"/>
        <v>0</v>
      </c>
    </row>
    <row r="52" spans="1:11" x14ac:dyDescent="0.25">
      <c r="A52" s="17"/>
      <c r="D52" s="2">
        <f t="shared" si="0"/>
        <v>0</v>
      </c>
    </row>
  </sheetData>
  <sheetProtection algorithmName="SHA-512" hashValue="XdK/aWe291zmd7kmUZxa9ZGA4u84nxMz+21D/TtKl2ZKduZ11YSLXv5+7Z6n9PTX1pI5RlqecnMC0tv192v77A==" saltValue="w1cXTNVLZ0hFvODTuZGd1w==" spinCount="100000" sheet="1" objects="1" scenarios="1" selectLockedCells="1" selectUnlockedCells="1"/>
  <customSheetViews>
    <customSheetView guid="{E5A7B818-645B-417C-A128-9FE559D9B124}" fitToPage="1">
      <pane ySplit="6" topLeftCell="A37"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43" priority="1" operator="lessThan">
      <formula>0</formula>
    </cfRule>
    <cfRule type="cellIs" dxfId="14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Tabelle50">
    <pageSetUpPr fitToPage="1"/>
  </sheetPr>
  <dimension ref="A1:L44"/>
  <sheetViews>
    <sheetView workbookViewId="0">
      <pane ySplit="6" topLeftCell="A28" activePane="bottomLeft" state="frozen"/>
      <selection pane="bottomLeft" activeCell="K34" sqref="K34"/>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130</v>
      </c>
    </row>
    <row r="3" spans="1:12" ht="15.75" thickBot="1" x14ac:dyDescent="0.3">
      <c r="A3" s="5"/>
      <c r="B3" s="2"/>
      <c r="C3" s="2"/>
      <c r="D3" s="2"/>
      <c r="E3" s="2"/>
      <c r="F3" s="2">
        <f>'09.20'!F6</f>
        <v>481</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464</v>
      </c>
      <c r="G6" s="30">
        <f>SUM(B:B)</f>
        <v>170</v>
      </c>
      <c r="H6" s="30">
        <f>SUM(C:C)</f>
        <v>187</v>
      </c>
      <c r="I6" s="30"/>
      <c r="J6" s="33">
        <f>SUM(G6:H6)+SUM(E:E)</f>
        <v>459</v>
      </c>
      <c r="K6" s="34"/>
      <c r="L6" s="50">
        <f>J6/K1</f>
        <v>0.77272727272727271</v>
      </c>
    </row>
    <row r="7" spans="1:12" ht="53.25" customHeight="1" x14ac:dyDescent="0.25">
      <c r="A7" s="17">
        <v>44105</v>
      </c>
      <c r="B7" s="18">
        <v>0</v>
      </c>
      <c r="C7" s="18">
        <v>30</v>
      </c>
      <c r="D7" s="2">
        <f t="shared" ref="D7:D44" si="0">B7-C7</f>
        <v>-30</v>
      </c>
      <c r="E7" s="2"/>
      <c r="F7" s="2"/>
      <c r="G7" s="2"/>
      <c r="H7" s="2"/>
      <c r="I7" s="2"/>
      <c r="J7" s="2"/>
      <c r="K7" s="19" t="s">
        <v>826</v>
      </c>
    </row>
    <row r="8" spans="1:12" ht="38.25" customHeight="1" x14ac:dyDescent="0.25">
      <c r="A8" s="17">
        <v>44105</v>
      </c>
      <c r="B8" s="18">
        <v>17</v>
      </c>
      <c r="C8" s="18">
        <v>0</v>
      </c>
      <c r="D8" s="2">
        <f t="shared" si="0"/>
        <v>17</v>
      </c>
      <c r="E8" s="2"/>
      <c r="F8" s="2"/>
      <c r="G8" s="2"/>
      <c r="H8" s="2"/>
      <c r="I8" s="2"/>
      <c r="J8" s="2"/>
      <c r="K8" s="19" t="s">
        <v>827</v>
      </c>
    </row>
    <row r="9" spans="1:12" ht="39.75" customHeight="1" x14ac:dyDescent="0.25">
      <c r="A9" s="17">
        <v>44105</v>
      </c>
      <c r="B9" s="18">
        <v>5</v>
      </c>
      <c r="C9" s="18">
        <v>5</v>
      </c>
      <c r="D9" s="2">
        <f t="shared" si="0"/>
        <v>0</v>
      </c>
      <c r="E9" s="2"/>
      <c r="F9" s="2"/>
      <c r="G9" s="2"/>
      <c r="H9" s="2"/>
      <c r="I9" s="2"/>
      <c r="J9" s="2"/>
      <c r="K9" s="19" t="s">
        <v>828</v>
      </c>
    </row>
    <row r="10" spans="1:12" ht="15" customHeight="1" x14ac:dyDescent="0.25">
      <c r="A10" s="17">
        <v>44106</v>
      </c>
      <c r="B10" s="18">
        <v>0</v>
      </c>
      <c r="C10" s="18">
        <v>0</v>
      </c>
      <c r="D10" s="2">
        <f t="shared" si="0"/>
        <v>0</v>
      </c>
      <c r="E10" s="2">
        <v>27</v>
      </c>
      <c r="F10" s="2"/>
      <c r="G10" s="2"/>
      <c r="H10" s="2"/>
      <c r="I10" s="2"/>
      <c r="J10" s="2"/>
      <c r="K10" s="19" t="s">
        <v>107</v>
      </c>
      <c r="L10" s="27" t="s">
        <v>829</v>
      </c>
    </row>
    <row r="11" spans="1:12" ht="54" customHeight="1" x14ac:dyDescent="0.25">
      <c r="A11" s="17">
        <v>44109</v>
      </c>
      <c r="B11" s="18">
        <v>27</v>
      </c>
      <c r="C11" s="18">
        <v>0</v>
      </c>
      <c r="D11" s="2">
        <f t="shared" si="0"/>
        <v>27</v>
      </c>
      <c r="E11" s="2"/>
      <c r="F11" s="2"/>
      <c r="G11" s="2"/>
      <c r="H11" s="2"/>
      <c r="I11" s="2"/>
      <c r="J11" s="2"/>
      <c r="K11" s="19" t="s">
        <v>831</v>
      </c>
      <c r="L11" s="53" t="s">
        <v>830</v>
      </c>
    </row>
    <row r="12" spans="1:12" ht="15" customHeight="1" x14ac:dyDescent="0.25">
      <c r="A12" s="17">
        <v>44110</v>
      </c>
      <c r="B12" s="18">
        <v>0</v>
      </c>
      <c r="C12" s="18">
        <v>2</v>
      </c>
      <c r="D12" s="2">
        <f t="shared" si="0"/>
        <v>-2</v>
      </c>
      <c r="E12" s="2"/>
      <c r="F12" s="2"/>
      <c r="G12" s="2"/>
      <c r="H12" s="2"/>
      <c r="I12" s="2"/>
      <c r="J12" s="2"/>
      <c r="K12" s="19" t="s">
        <v>832</v>
      </c>
      <c r="L12" s="27" t="s">
        <v>833</v>
      </c>
    </row>
    <row r="13" spans="1:12" ht="39.75" customHeight="1" x14ac:dyDescent="0.25">
      <c r="A13" s="17">
        <v>44111</v>
      </c>
      <c r="B13" s="18">
        <v>12</v>
      </c>
      <c r="C13" s="18">
        <v>0</v>
      </c>
      <c r="D13" s="2">
        <f t="shared" si="0"/>
        <v>12</v>
      </c>
      <c r="E13" s="2"/>
      <c r="F13" s="2"/>
      <c r="G13" s="2"/>
      <c r="H13" s="2"/>
      <c r="I13" s="2"/>
      <c r="J13" s="2"/>
      <c r="K13" s="19" t="s">
        <v>834</v>
      </c>
      <c r="L13" s="27" t="s">
        <v>835</v>
      </c>
    </row>
    <row r="14" spans="1:12" ht="36" customHeight="1" x14ac:dyDescent="0.25">
      <c r="A14" s="17">
        <v>44112</v>
      </c>
      <c r="B14" s="18">
        <v>0</v>
      </c>
      <c r="C14" s="18">
        <v>20</v>
      </c>
      <c r="D14" s="2">
        <f t="shared" si="0"/>
        <v>-20</v>
      </c>
      <c r="E14" s="2"/>
      <c r="F14" s="2"/>
      <c r="G14" s="2"/>
      <c r="H14" s="2"/>
      <c r="I14" s="2"/>
      <c r="J14" s="2"/>
      <c r="K14" s="19" t="s">
        <v>840</v>
      </c>
      <c r="L14" s="27" t="s">
        <v>836</v>
      </c>
    </row>
    <row r="15" spans="1:12" ht="15" customHeight="1" x14ac:dyDescent="0.25">
      <c r="A15" s="17">
        <v>44112</v>
      </c>
      <c r="B15" s="18">
        <v>6</v>
      </c>
      <c r="C15" s="18">
        <v>0</v>
      </c>
      <c r="D15" s="2">
        <f t="shared" si="0"/>
        <v>6</v>
      </c>
      <c r="E15" s="2"/>
      <c r="F15" s="2"/>
      <c r="G15" s="2"/>
      <c r="H15" s="2"/>
      <c r="I15" s="2"/>
      <c r="J15" s="2"/>
      <c r="K15" s="19" t="s">
        <v>837</v>
      </c>
    </row>
    <row r="16" spans="1:12" ht="15" customHeight="1" x14ac:dyDescent="0.25">
      <c r="A16" s="17">
        <v>44112</v>
      </c>
      <c r="B16" s="18">
        <v>6</v>
      </c>
      <c r="C16" s="18">
        <v>6</v>
      </c>
      <c r="D16" s="2">
        <f t="shared" si="0"/>
        <v>0</v>
      </c>
      <c r="E16" s="2">
        <v>6</v>
      </c>
      <c r="F16" s="2"/>
      <c r="G16" s="2"/>
      <c r="H16" s="2"/>
      <c r="I16" s="2"/>
      <c r="J16" s="2"/>
      <c r="K16" s="19" t="s">
        <v>839</v>
      </c>
      <c r="L16" s="88" t="s">
        <v>838</v>
      </c>
    </row>
    <row r="17" spans="1:12" ht="15" customHeight="1" x14ac:dyDescent="0.25">
      <c r="A17" s="17">
        <v>44118</v>
      </c>
      <c r="B17" s="18">
        <v>0</v>
      </c>
      <c r="C17" s="18">
        <v>0</v>
      </c>
      <c r="D17" s="2">
        <f t="shared" si="0"/>
        <v>0</v>
      </c>
      <c r="E17" s="2">
        <v>20</v>
      </c>
      <c r="F17" s="2"/>
      <c r="G17" s="2"/>
      <c r="H17" s="2"/>
      <c r="I17" s="2"/>
      <c r="J17" s="2"/>
      <c r="K17" s="19" t="s">
        <v>107</v>
      </c>
      <c r="L17" s="27" t="s">
        <v>841</v>
      </c>
    </row>
    <row r="18" spans="1:12" ht="15" customHeight="1" x14ac:dyDescent="0.25">
      <c r="A18" s="17">
        <v>44119</v>
      </c>
      <c r="B18" s="18">
        <v>0</v>
      </c>
      <c r="C18" s="18">
        <v>0</v>
      </c>
      <c r="D18" s="2">
        <f t="shared" si="0"/>
        <v>0</v>
      </c>
      <c r="E18" s="2">
        <v>24</v>
      </c>
      <c r="F18" s="2"/>
      <c r="G18" s="2"/>
      <c r="H18" s="2"/>
      <c r="I18" s="2"/>
      <c r="J18" s="2"/>
      <c r="K18" s="19" t="s">
        <v>107</v>
      </c>
      <c r="L18" s="27" t="s">
        <v>842</v>
      </c>
    </row>
    <row r="19" spans="1:12" ht="65.25" customHeight="1" x14ac:dyDescent="0.25">
      <c r="A19" s="17">
        <v>44119</v>
      </c>
      <c r="B19" s="18">
        <v>0</v>
      </c>
      <c r="C19" s="18">
        <v>38</v>
      </c>
      <c r="D19" s="2">
        <f t="shared" si="0"/>
        <v>-38</v>
      </c>
      <c r="E19" s="2"/>
      <c r="F19" s="2"/>
      <c r="G19" s="2"/>
      <c r="H19" s="2"/>
      <c r="I19" s="2"/>
      <c r="J19" s="2"/>
      <c r="K19" s="19" t="s">
        <v>843</v>
      </c>
    </row>
    <row r="20" spans="1:12" ht="15" customHeight="1" x14ac:dyDescent="0.25">
      <c r="A20" s="17">
        <v>44119</v>
      </c>
      <c r="B20" s="18">
        <v>12</v>
      </c>
      <c r="C20" s="18">
        <v>0</v>
      </c>
      <c r="D20" s="2">
        <f t="shared" si="0"/>
        <v>12</v>
      </c>
      <c r="E20" s="2"/>
      <c r="F20" s="2"/>
      <c r="G20" s="2"/>
      <c r="H20" s="2"/>
      <c r="I20" s="2"/>
      <c r="J20" s="2"/>
      <c r="K20" s="19" t="s">
        <v>844</v>
      </c>
    </row>
    <row r="21" spans="1:12" ht="39.75" customHeight="1" x14ac:dyDescent="0.25">
      <c r="A21" s="21">
        <v>44123</v>
      </c>
      <c r="B21" s="22">
        <v>20</v>
      </c>
      <c r="C21" s="22">
        <v>0</v>
      </c>
      <c r="D21" s="2">
        <f t="shared" si="0"/>
        <v>20</v>
      </c>
      <c r="E21" s="23"/>
      <c r="F21" s="23"/>
      <c r="G21" s="23"/>
      <c r="H21" s="23"/>
      <c r="I21" s="23"/>
      <c r="J21" s="23"/>
      <c r="K21" s="25" t="s">
        <v>846</v>
      </c>
      <c r="L21" s="27" t="s">
        <v>845</v>
      </c>
    </row>
    <row r="22" spans="1:12" ht="54.75" customHeight="1" x14ac:dyDescent="0.25">
      <c r="A22" s="17">
        <v>44123</v>
      </c>
      <c r="B22" s="18">
        <v>24</v>
      </c>
      <c r="C22" s="18">
        <v>0</v>
      </c>
      <c r="D22" s="2">
        <f t="shared" si="0"/>
        <v>24</v>
      </c>
      <c r="E22" s="2"/>
      <c r="F22" s="2"/>
      <c r="G22" s="2"/>
      <c r="H22" s="2"/>
      <c r="I22" s="2"/>
      <c r="J22" s="2"/>
      <c r="K22" s="19" t="s">
        <v>848</v>
      </c>
      <c r="L22" s="27" t="s">
        <v>847</v>
      </c>
    </row>
    <row r="23" spans="1:12" ht="15" customHeight="1" x14ac:dyDescent="0.25">
      <c r="A23" s="17">
        <v>44123</v>
      </c>
      <c r="B23" s="18">
        <v>0</v>
      </c>
      <c r="C23" s="18">
        <v>1</v>
      </c>
      <c r="D23" s="2">
        <f t="shared" si="0"/>
        <v>-1</v>
      </c>
      <c r="E23" s="2"/>
      <c r="F23" s="2"/>
      <c r="G23" s="2"/>
      <c r="H23" s="2"/>
      <c r="I23" s="2"/>
      <c r="J23" s="2"/>
      <c r="K23" s="45">
        <v>548459</v>
      </c>
      <c r="L23" s="27" t="s">
        <v>849</v>
      </c>
    </row>
    <row r="24" spans="1:12" ht="15" customHeight="1" x14ac:dyDescent="0.25">
      <c r="A24" s="17">
        <v>44126</v>
      </c>
      <c r="B24" s="18">
        <v>0</v>
      </c>
      <c r="C24" s="18">
        <v>0</v>
      </c>
      <c r="D24" s="2">
        <f t="shared" si="0"/>
        <v>0</v>
      </c>
      <c r="E24" s="2">
        <v>13</v>
      </c>
      <c r="F24" s="2"/>
      <c r="G24" s="2"/>
      <c r="H24" s="2"/>
      <c r="I24" s="2"/>
      <c r="J24" s="2"/>
      <c r="K24" s="19" t="s">
        <v>107</v>
      </c>
      <c r="L24" s="27" t="s">
        <v>850</v>
      </c>
    </row>
    <row r="25" spans="1:12" ht="15" customHeight="1" x14ac:dyDescent="0.25">
      <c r="A25" s="17">
        <v>44126</v>
      </c>
      <c r="B25" s="18">
        <v>0</v>
      </c>
      <c r="C25" s="18">
        <v>0</v>
      </c>
      <c r="D25" s="2">
        <f t="shared" si="0"/>
        <v>0</v>
      </c>
      <c r="E25" s="2">
        <v>8</v>
      </c>
      <c r="F25" s="2"/>
      <c r="G25" s="2"/>
      <c r="H25" s="2"/>
      <c r="I25" s="2"/>
      <c r="J25" s="2"/>
      <c r="K25" s="19" t="s">
        <v>107</v>
      </c>
      <c r="L25" s="27" t="s">
        <v>851</v>
      </c>
    </row>
    <row r="26" spans="1:12" ht="83.25" customHeight="1" x14ac:dyDescent="0.25">
      <c r="A26" s="17">
        <v>44126</v>
      </c>
      <c r="B26" s="18">
        <v>0</v>
      </c>
      <c r="C26" s="18">
        <f>36+7</f>
        <v>43</v>
      </c>
      <c r="D26" s="2">
        <f t="shared" si="0"/>
        <v>-43</v>
      </c>
      <c r="E26" s="2"/>
      <c r="F26" s="2"/>
      <c r="G26" s="2"/>
      <c r="H26" s="2"/>
      <c r="I26" s="2"/>
      <c r="J26" s="2"/>
      <c r="K26" s="19" t="s">
        <v>852</v>
      </c>
    </row>
    <row r="27" spans="1:12" x14ac:dyDescent="0.25">
      <c r="A27" s="17">
        <v>44126</v>
      </c>
      <c r="B27" s="18">
        <v>0</v>
      </c>
      <c r="C27" s="18">
        <v>4</v>
      </c>
      <c r="D27" s="2">
        <f t="shared" si="0"/>
        <v>-4</v>
      </c>
      <c r="E27" s="2"/>
      <c r="F27" s="2"/>
      <c r="G27" s="2"/>
      <c r="H27" s="2"/>
      <c r="I27" s="2"/>
      <c r="J27" s="2"/>
      <c r="K27" s="20" t="s">
        <v>853</v>
      </c>
      <c r="L27" s="27" t="s">
        <v>854</v>
      </c>
    </row>
    <row r="28" spans="1:12" ht="30" x14ac:dyDescent="0.25">
      <c r="A28" s="17">
        <v>44126</v>
      </c>
      <c r="B28" s="18">
        <v>4</v>
      </c>
      <c r="C28" s="18">
        <v>4</v>
      </c>
      <c r="D28" s="2">
        <f t="shared" si="0"/>
        <v>0</v>
      </c>
      <c r="E28" s="2">
        <v>4</v>
      </c>
      <c r="F28" s="2"/>
      <c r="G28" s="2"/>
      <c r="H28" s="2"/>
      <c r="I28" s="2"/>
      <c r="J28" s="2"/>
      <c r="K28" s="19" t="s">
        <v>855</v>
      </c>
    </row>
    <row r="29" spans="1:12" ht="30" x14ac:dyDescent="0.25">
      <c r="A29" s="17">
        <v>44126</v>
      </c>
      <c r="B29" s="18">
        <v>13</v>
      </c>
      <c r="C29" s="18">
        <v>0</v>
      </c>
      <c r="D29" s="2">
        <f t="shared" si="0"/>
        <v>13</v>
      </c>
      <c r="E29" s="2"/>
      <c r="F29" s="2"/>
      <c r="G29" s="2"/>
      <c r="H29" s="2"/>
      <c r="I29" s="2"/>
      <c r="J29" s="2"/>
      <c r="K29" s="19" t="s">
        <v>860</v>
      </c>
      <c r="L29" s="27" t="s">
        <v>856</v>
      </c>
    </row>
    <row r="30" spans="1:12" x14ac:dyDescent="0.25">
      <c r="A30" s="17">
        <v>44126</v>
      </c>
      <c r="B30" s="18">
        <v>8</v>
      </c>
      <c r="C30" s="18">
        <v>0</v>
      </c>
      <c r="D30" s="2">
        <f t="shared" si="0"/>
        <v>8</v>
      </c>
      <c r="E30" s="2"/>
      <c r="F30" s="2"/>
      <c r="G30" s="2"/>
      <c r="H30" s="2"/>
      <c r="I30" s="2"/>
      <c r="J30" s="2"/>
      <c r="K30" s="19" t="s">
        <v>861</v>
      </c>
      <c r="L30" s="27" t="s">
        <v>857</v>
      </c>
    </row>
    <row r="31" spans="1:12" ht="30" x14ac:dyDescent="0.25">
      <c r="A31" s="17">
        <v>44126</v>
      </c>
      <c r="B31" s="18">
        <v>2</v>
      </c>
      <c r="C31" s="18">
        <v>2</v>
      </c>
      <c r="D31" s="2">
        <f t="shared" si="0"/>
        <v>0</v>
      </c>
      <c r="E31" s="2"/>
      <c r="F31" s="2"/>
      <c r="G31" s="2"/>
      <c r="H31" s="2"/>
      <c r="I31" s="2"/>
      <c r="J31" s="2"/>
      <c r="K31" s="19" t="s">
        <v>859</v>
      </c>
      <c r="L31" s="27" t="s">
        <v>858</v>
      </c>
    </row>
    <row r="32" spans="1:12" ht="30" x14ac:dyDescent="0.25">
      <c r="A32" s="17">
        <v>44133</v>
      </c>
      <c r="B32" s="18">
        <v>4</v>
      </c>
      <c r="C32" s="18">
        <v>4</v>
      </c>
      <c r="D32" s="2">
        <f t="shared" si="0"/>
        <v>0</v>
      </c>
      <c r="E32" s="2"/>
      <c r="F32" s="2"/>
      <c r="G32" s="2"/>
      <c r="H32" s="2"/>
      <c r="I32" s="2"/>
      <c r="J32" s="2"/>
      <c r="K32" s="19" t="s">
        <v>864</v>
      </c>
      <c r="L32" s="27" t="s">
        <v>858</v>
      </c>
    </row>
    <row r="33" spans="1:11" ht="75" x14ac:dyDescent="0.25">
      <c r="A33" s="17">
        <v>44133</v>
      </c>
      <c r="B33" s="18">
        <v>0</v>
      </c>
      <c r="C33" s="18">
        <v>28</v>
      </c>
      <c r="D33" s="2">
        <f t="shared" si="0"/>
        <v>-28</v>
      </c>
      <c r="E33" s="2"/>
      <c r="F33" s="2"/>
      <c r="G33" s="2"/>
      <c r="H33" s="2"/>
      <c r="I33" s="2"/>
      <c r="J33" s="2"/>
      <c r="K33" s="19" t="s">
        <v>862</v>
      </c>
    </row>
    <row r="34" spans="1:11" x14ac:dyDescent="0.25">
      <c r="A34" s="17">
        <v>44133</v>
      </c>
      <c r="B34" s="18">
        <v>10</v>
      </c>
      <c r="C34" s="18">
        <v>0</v>
      </c>
      <c r="D34" s="2">
        <f t="shared" si="0"/>
        <v>10</v>
      </c>
      <c r="E34" s="2"/>
      <c r="F34" s="2"/>
      <c r="G34" s="2"/>
      <c r="H34" s="2"/>
      <c r="I34" s="2"/>
      <c r="J34" s="2"/>
      <c r="K34" s="20" t="s">
        <v>863</v>
      </c>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28" activePane="bottomLeft" state="frozen"/>
      <selection pane="bottomLeft" activeCell="K34" sqref="K34"/>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41" priority="1" operator="lessThan">
      <formula>0</formula>
    </cfRule>
    <cfRule type="cellIs" dxfId="14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Tabelle51">
    <pageSetUpPr fitToPage="1"/>
  </sheetPr>
  <dimension ref="A1:L44"/>
  <sheetViews>
    <sheetView workbookViewId="0">
      <pane ySplit="6" topLeftCell="A7" activePane="bottomLeft" state="frozen"/>
      <selection pane="bottomLeft" activeCell="K13" sqref="K13"/>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76</v>
      </c>
    </row>
    <row r="3" spans="1:12" ht="15.75" thickBot="1" x14ac:dyDescent="0.3">
      <c r="A3" s="5"/>
      <c r="B3" s="2"/>
      <c r="C3" s="2"/>
      <c r="D3" s="2"/>
      <c r="E3" s="2"/>
      <c r="F3" s="2">
        <f>'10.20'!F6</f>
        <v>464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518</v>
      </c>
      <c r="G6" s="30">
        <f>SUM(B:B)</f>
        <v>199</v>
      </c>
      <c r="H6" s="30">
        <f>SUM(C:C)</f>
        <v>145</v>
      </c>
      <c r="I6" s="30"/>
      <c r="J6" s="33">
        <f>SUM(G6:H6)+SUM(E:E)</f>
        <v>475</v>
      </c>
      <c r="K6" s="34"/>
      <c r="L6" s="55">
        <f>J6/K1</f>
        <v>0.79966329966329963</v>
      </c>
    </row>
    <row r="7" spans="1:12" ht="32.25" customHeight="1" x14ac:dyDescent="0.25">
      <c r="A7" s="17">
        <v>44134</v>
      </c>
      <c r="B7" s="18">
        <v>14</v>
      </c>
      <c r="C7" s="18">
        <v>0</v>
      </c>
      <c r="D7" s="2">
        <f t="shared" ref="D7:D15" si="0">B7-C7</f>
        <v>14</v>
      </c>
      <c r="E7" s="2"/>
      <c r="F7" s="2"/>
      <c r="G7" s="2"/>
      <c r="H7" s="2"/>
      <c r="I7" s="2"/>
      <c r="J7" s="2"/>
      <c r="K7" s="19" t="s">
        <v>866</v>
      </c>
    </row>
    <row r="8" spans="1:12" ht="15" customHeight="1" x14ac:dyDescent="0.25">
      <c r="A8" s="17">
        <v>44134</v>
      </c>
      <c r="B8" s="18">
        <v>0</v>
      </c>
      <c r="C8" s="18">
        <v>0</v>
      </c>
      <c r="D8" s="2">
        <f t="shared" si="0"/>
        <v>0</v>
      </c>
      <c r="E8" s="2">
        <v>17</v>
      </c>
      <c r="F8" s="2"/>
      <c r="G8" s="2"/>
      <c r="H8" s="2"/>
      <c r="I8" s="2"/>
      <c r="J8" s="2"/>
      <c r="K8" s="19" t="s">
        <v>107</v>
      </c>
      <c r="L8" s="53" t="s">
        <v>865</v>
      </c>
    </row>
    <row r="9" spans="1:12" ht="15" customHeight="1" x14ac:dyDescent="0.25">
      <c r="A9" s="17">
        <v>44137</v>
      </c>
      <c r="B9" s="18">
        <v>0</v>
      </c>
      <c r="C9" s="18">
        <v>0</v>
      </c>
      <c r="D9" s="2">
        <f t="shared" si="0"/>
        <v>0</v>
      </c>
      <c r="E9" s="2">
        <v>45</v>
      </c>
      <c r="F9" s="2"/>
      <c r="G9" s="2"/>
      <c r="H9" s="2"/>
      <c r="I9" s="2"/>
      <c r="J9" s="2"/>
      <c r="K9" s="19" t="s">
        <v>107</v>
      </c>
      <c r="L9" s="53" t="s">
        <v>867</v>
      </c>
    </row>
    <row r="10" spans="1:12" ht="39" customHeight="1" x14ac:dyDescent="0.25">
      <c r="A10" s="17">
        <v>44137</v>
      </c>
      <c r="B10" s="18">
        <v>17</v>
      </c>
      <c r="C10" s="18">
        <v>0</v>
      </c>
      <c r="D10" s="2">
        <f t="shared" si="0"/>
        <v>17</v>
      </c>
      <c r="E10" s="2"/>
      <c r="F10" s="2"/>
      <c r="G10" s="2"/>
      <c r="H10" s="2"/>
      <c r="I10" s="2"/>
      <c r="J10" s="2"/>
      <c r="K10" s="19" t="s">
        <v>869</v>
      </c>
      <c r="L10" s="53" t="s">
        <v>868</v>
      </c>
    </row>
    <row r="11" spans="1:12" ht="86.25" customHeight="1" x14ac:dyDescent="0.25">
      <c r="A11" s="17">
        <v>44137</v>
      </c>
      <c r="B11" s="18">
        <v>45</v>
      </c>
      <c r="C11" s="18">
        <v>0</v>
      </c>
      <c r="D11" s="2">
        <f t="shared" si="0"/>
        <v>45</v>
      </c>
      <c r="E11" s="2"/>
      <c r="F11" s="2"/>
      <c r="G11" s="2"/>
      <c r="H11" s="2"/>
      <c r="I11" s="2"/>
      <c r="J11" s="2"/>
      <c r="K11" s="19" t="s">
        <v>870</v>
      </c>
      <c r="L11" s="53" t="s">
        <v>871</v>
      </c>
    </row>
    <row r="12" spans="1:12" ht="18.75" customHeight="1" x14ac:dyDescent="0.25">
      <c r="A12" s="17">
        <v>44137</v>
      </c>
      <c r="B12" s="18">
        <v>0</v>
      </c>
      <c r="C12" s="18">
        <v>0</v>
      </c>
      <c r="D12" s="2">
        <f t="shared" si="0"/>
        <v>0</v>
      </c>
      <c r="E12" s="2">
        <v>22</v>
      </c>
      <c r="F12" s="2"/>
      <c r="G12" s="2"/>
      <c r="H12" s="2"/>
      <c r="I12" s="2"/>
      <c r="J12" s="2"/>
      <c r="K12" s="19" t="s">
        <v>107</v>
      </c>
      <c r="L12" s="53" t="s">
        <v>874</v>
      </c>
    </row>
    <row r="13" spans="1:12" ht="36" customHeight="1" x14ac:dyDescent="0.25">
      <c r="A13" s="17">
        <v>44138</v>
      </c>
      <c r="B13" s="18">
        <v>5</v>
      </c>
      <c r="C13" s="18">
        <v>5</v>
      </c>
      <c r="D13" s="2">
        <f t="shared" si="0"/>
        <v>0</v>
      </c>
      <c r="E13" s="2">
        <v>5</v>
      </c>
      <c r="F13" s="2"/>
      <c r="G13" s="2"/>
      <c r="H13" s="2"/>
      <c r="I13" s="2"/>
      <c r="J13" s="2"/>
      <c r="K13" s="19" t="s">
        <v>872</v>
      </c>
    </row>
    <row r="14" spans="1:12" ht="15" customHeight="1" x14ac:dyDescent="0.25">
      <c r="A14" s="17">
        <v>44138</v>
      </c>
      <c r="B14" s="18">
        <v>0</v>
      </c>
      <c r="C14" s="18">
        <v>4</v>
      </c>
      <c r="D14" s="2">
        <f t="shared" si="0"/>
        <v>-4</v>
      </c>
      <c r="E14" s="2"/>
      <c r="F14" s="2"/>
      <c r="G14" s="2"/>
      <c r="H14" s="2"/>
      <c r="I14" s="2"/>
      <c r="J14" s="2"/>
      <c r="K14" s="19" t="s">
        <v>873</v>
      </c>
    </row>
    <row r="15" spans="1:12" ht="51" customHeight="1" x14ac:dyDescent="0.25">
      <c r="A15" s="17">
        <v>44138</v>
      </c>
      <c r="B15" s="18">
        <v>22</v>
      </c>
      <c r="C15" s="18">
        <v>0</v>
      </c>
      <c r="D15" s="2">
        <f t="shared" si="0"/>
        <v>22</v>
      </c>
      <c r="E15" s="2"/>
      <c r="F15" s="2"/>
      <c r="G15" s="2"/>
      <c r="H15" s="2"/>
      <c r="I15" s="2"/>
      <c r="J15" s="2"/>
      <c r="K15" s="19" t="s">
        <v>876</v>
      </c>
      <c r="L15" s="53" t="s">
        <v>875</v>
      </c>
    </row>
    <row r="16" spans="1:12" ht="15" customHeight="1" x14ac:dyDescent="0.25">
      <c r="A16" s="17">
        <v>44139</v>
      </c>
      <c r="B16" s="18">
        <v>0</v>
      </c>
      <c r="C16" s="18">
        <v>9</v>
      </c>
      <c r="D16" s="2">
        <f t="shared" ref="D16:D44" si="1">B16-C16</f>
        <v>-9</v>
      </c>
      <c r="E16" s="2"/>
      <c r="F16" s="2"/>
      <c r="G16" s="2"/>
      <c r="H16" s="2"/>
      <c r="I16" s="2"/>
      <c r="J16" s="2"/>
      <c r="K16" s="19" t="s">
        <v>878</v>
      </c>
      <c r="L16" s="53" t="s">
        <v>877</v>
      </c>
    </row>
    <row r="17" spans="1:12" ht="15" customHeight="1" x14ac:dyDescent="0.25">
      <c r="A17" s="17">
        <v>44140</v>
      </c>
      <c r="B17" s="18">
        <v>0</v>
      </c>
      <c r="C17" s="18">
        <v>1</v>
      </c>
      <c r="D17" s="2">
        <f t="shared" si="1"/>
        <v>-1</v>
      </c>
      <c r="E17" s="2"/>
      <c r="F17" s="2"/>
      <c r="G17" s="2"/>
      <c r="H17" s="2"/>
      <c r="I17" s="2"/>
      <c r="J17" s="2"/>
      <c r="K17" s="19">
        <v>531894</v>
      </c>
      <c r="L17" s="53" t="s">
        <v>879</v>
      </c>
    </row>
    <row r="18" spans="1:12" ht="51.75" customHeight="1" x14ac:dyDescent="0.25">
      <c r="A18" s="17">
        <v>44141</v>
      </c>
      <c r="B18" s="18">
        <v>0</v>
      </c>
      <c r="C18" s="18">
        <v>22</v>
      </c>
      <c r="D18" s="2">
        <f t="shared" si="1"/>
        <v>-22</v>
      </c>
      <c r="E18" s="2"/>
      <c r="F18" s="2"/>
      <c r="G18" s="2"/>
      <c r="H18" s="2"/>
      <c r="I18" s="2"/>
      <c r="J18" s="2"/>
      <c r="K18" s="19" t="s">
        <v>880</v>
      </c>
    </row>
    <row r="19" spans="1:12" ht="15" customHeight="1" x14ac:dyDescent="0.25">
      <c r="A19" s="17">
        <v>44141</v>
      </c>
      <c r="B19" s="18">
        <v>0</v>
      </c>
      <c r="C19" s="18">
        <v>3</v>
      </c>
      <c r="D19" s="2">
        <f t="shared" si="1"/>
        <v>-3</v>
      </c>
      <c r="E19" s="2"/>
      <c r="F19" s="2"/>
      <c r="G19" s="2"/>
      <c r="H19" s="2"/>
      <c r="I19" s="2"/>
      <c r="J19" s="2"/>
      <c r="K19" s="19" t="s">
        <v>881</v>
      </c>
      <c r="L19" s="53" t="s">
        <v>883</v>
      </c>
    </row>
    <row r="20" spans="1:12" ht="34.5" customHeight="1" x14ac:dyDescent="0.25">
      <c r="A20" s="17">
        <v>44141</v>
      </c>
      <c r="B20" s="18">
        <v>3</v>
      </c>
      <c r="C20" s="18">
        <v>3</v>
      </c>
      <c r="D20" s="2">
        <f t="shared" si="1"/>
        <v>0</v>
      </c>
      <c r="E20" s="2"/>
      <c r="F20" s="2"/>
      <c r="G20" s="2"/>
      <c r="H20" s="2"/>
      <c r="I20" s="2"/>
      <c r="J20" s="2"/>
      <c r="K20" s="19" t="s">
        <v>882</v>
      </c>
      <c r="L20" s="27" t="s">
        <v>858</v>
      </c>
    </row>
    <row r="21" spans="1:12" ht="15" customHeight="1" x14ac:dyDescent="0.25">
      <c r="A21" s="21">
        <v>44141</v>
      </c>
      <c r="B21" s="22">
        <v>1</v>
      </c>
      <c r="C21" s="22">
        <v>1</v>
      </c>
      <c r="D21" s="2">
        <f t="shared" si="1"/>
        <v>0</v>
      </c>
      <c r="E21" s="23">
        <v>1</v>
      </c>
      <c r="F21" s="23"/>
      <c r="G21" s="23"/>
      <c r="H21" s="23"/>
      <c r="I21" s="23"/>
      <c r="J21" s="23"/>
      <c r="K21" s="25" t="s">
        <v>885</v>
      </c>
      <c r="L21" s="53" t="s">
        <v>884</v>
      </c>
    </row>
    <row r="22" spans="1:12" ht="39.75" customHeight="1" x14ac:dyDescent="0.25">
      <c r="A22" s="17">
        <v>44144</v>
      </c>
      <c r="B22" s="18">
        <v>18</v>
      </c>
      <c r="C22" s="18">
        <v>0</v>
      </c>
      <c r="D22" s="2">
        <f t="shared" si="1"/>
        <v>18</v>
      </c>
      <c r="E22" s="2"/>
      <c r="F22" s="2"/>
      <c r="G22" s="2"/>
      <c r="H22" s="2"/>
      <c r="I22" s="2"/>
      <c r="J22" s="2"/>
      <c r="K22" s="19" t="s">
        <v>886</v>
      </c>
    </row>
    <row r="23" spans="1:12" ht="69.75" customHeight="1" x14ac:dyDescent="0.25">
      <c r="A23" s="17">
        <v>44147</v>
      </c>
      <c r="B23" s="18">
        <v>0</v>
      </c>
      <c r="C23" s="18">
        <v>33</v>
      </c>
      <c r="D23" s="2">
        <f t="shared" si="1"/>
        <v>-33</v>
      </c>
      <c r="E23" s="2"/>
      <c r="F23" s="2"/>
      <c r="G23" s="2"/>
      <c r="H23" s="2"/>
      <c r="I23" s="2"/>
      <c r="J23" s="2"/>
      <c r="K23" s="49" t="s">
        <v>887</v>
      </c>
    </row>
    <row r="24" spans="1:12" ht="15" customHeight="1" x14ac:dyDescent="0.25">
      <c r="A24" s="17">
        <v>44147</v>
      </c>
      <c r="B24" s="18">
        <v>6</v>
      </c>
      <c r="C24" s="18">
        <v>0</v>
      </c>
      <c r="D24" s="2">
        <f t="shared" si="1"/>
        <v>6</v>
      </c>
      <c r="E24" s="2"/>
      <c r="F24" s="2"/>
      <c r="G24" s="2"/>
      <c r="H24" s="2"/>
      <c r="I24" s="2"/>
      <c r="J24" s="2"/>
      <c r="K24" s="19" t="s">
        <v>888</v>
      </c>
    </row>
    <row r="25" spans="1:12" ht="15" customHeight="1" x14ac:dyDescent="0.25">
      <c r="A25" s="17">
        <v>44148</v>
      </c>
      <c r="B25" s="18">
        <v>0</v>
      </c>
      <c r="C25" s="18">
        <v>1</v>
      </c>
      <c r="D25" s="2">
        <f t="shared" si="1"/>
        <v>-1</v>
      </c>
      <c r="E25" s="2"/>
      <c r="F25" s="2"/>
      <c r="G25" s="2"/>
      <c r="H25" s="2"/>
      <c r="I25" s="2"/>
      <c r="J25" s="2"/>
      <c r="K25" s="19">
        <v>553391</v>
      </c>
    </row>
    <row r="26" spans="1:12" ht="15" customHeight="1" x14ac:dyDescent="0.25">
      <c r="A26" s="17">
        <v>44148</v>
      </c>
      <c r="B26" s="18">
        <v>8</v>
      </c>
      <c r="C26" s="18">
        <v>0</v>
      </c>
      <c r="D26" s="2">
        <f t="shared" si="1"/>
        <v>8</v>
      </c>
      <c r="E26" s="2"/>
      <c r="F26" s="2"/>
      <c r="G26" s="2"/>
      <c r="H26" s="2"/>
      <c r="I26" s="2"/>
      <c r="J26" s="2"/>
      <c r="K26" s="20" t="s">
        <v>889</v>
      </c>
    </row>
    <row r="27" spans="1:12" ht="45" x14ac:dyDescent="0.25">
      <c r="A27" s="17">
        <v>44152</v>
      </c>
      <c r="B27" s="18">
        <v>12</v>
      </c>
      <c r="C27" s="18">
        <v>0</v>
      </c>
      <c r="D27" s="2">
        <f t="shared" si="1"/>
        <v>12</v>
      </c>
      <c r="E27" s="2">
        <v>0</v>
      </c>
      <c r="F27" s="2"/>
      <c r="G27" s="2"/>
      <c r="H27" s="2"/>
      <c r="I27" s="2"/>
      <c r="J27" s="2"/>
      <c r="K27" s="19" t="s">
        <v>891</v>
      </c>
      <c r="L27" s="53" t="s">
        <v>900</v>
      </c>
    </row>
    <row r="28" spans="1:12" x14ac:dyDescent="0.25">
      <c r="A28" s="17">
        <v>44153</v>
      </c>
      <c r="B28" s="18">
        <v>3</v>
      </c>
      <c r="C28" s="18">
        <v>3</v>
      </c>
      <c r="D28" s="2">
        <f t="shared" ref="D28" si="2">B28-C28</f>
        <v>0</v>
      </c>
      <c r="E28" s="2">
        <v>3</v>
      </c>
      <c r="F28" s="2"/>
      <c r="G28" s="2"/>
      <c r="H28" s="2"/>
      <c r="I28" s="2"/>
      <c r="J28" s="2"/>
      <c r="K28" s="20" t="s">
        <v>890</v>
      </c>
    </row>
    <row r="29" spans="1:12" ht="60" x14ac:dyDescent="0.25">
      <c r="A29" s="17">
        <v>44154</v>
      </c>
      <c r="B29" s="18">
        <v>0</v>
      </c>
      <c r="C29" s="18">
        <v>33</v>
      </c>
      <c r="D29" s="2">
        <f t="shared" si="1"/>
        <v>-33</v>
      </c>
      <c r="E29" s="2"/>
      <c r="F29" s="2"/>
      <c r="G29" s="2"/>
      <c r="H29" s="2"/>
      <c r="I29" s="2"/>
      <c r="J29" s="2"/>
      <c r="K29" s="19" t="s">
        <v>892</v>
      </c>
    </row>
    <row r="30" spans="1:12" x14ac:dyDescent="0.25">
      <c r="A30" s="17">
        <v>44158</v>
      </c>
      <c r="B30" s="18">
        <v>0</v>
      </c>
      <c r="C30" s="18">
        <v>0</v>
      </c>
      <c r="D30" s="2">
        <f t="shared" si="1"/>
        <v>0</v>
      </c>
      <c r="E30" s="2">
        <v>10</v>
      </c>
      <c r="F30" s="2"/>
      <c r="G30" s="2"/>
      <c r="H30" s="2"/>
      <c r="I30" s="2"/>
      <c r="J30" s="2"/>
      <c r="K30" s="19" t="s">
        <v>107</v>
      </c>
      <c r="L30" s="53" t="s">
        <v>894</v>
      </c>
    </row>
    <row r="31" spans="1:12" ht="30" x14ac:dyDescent="0.25">
      <c r="A31" s="17">
        <v>44158</v>
      </c>
      <c r="B31" s="18">
        <v>1</v>
      </c>
      <c r="C31" s="18">
        <v>1</v>
      </c>
      <c r="D31" s="2">
        <f>B31-C31</f>
        <v>0</v>
      </c>
      <c r="E31" s="2"/>
      <c r="F31" s="2"/>
      <c r="G31" s="2"/>
      <c r="H31" s="2"/>
      <c r="I31" s="2"/>
      <c r="J31" s="2"/>
      <c r="K31" s="19" t="s">
        <v>893</v>
      </c>
      <c r="L31" s="27" t="s">
        <v>858</v>
      </c>
    </row>
    <row r="32" spans="1:12" x14ac:dyDescent="0.25">
      <c r="A32" s="17">
        <v>44159</v>
      </c>
      <c r="B32" s="18">
        <v>10</v>
      </c>
      <c r="C32" s="18">
        <v>0</v>
      </c>
      <c r="D32" s="2">
        <f t="shared" si="1"/>
        <v>10</v>
      </c>
      <c r="E32" s="2"/>
      <c r="F32" s="2"/>
      <c r="G32" s="2"/>
      <c r="H32" s="2"/>
      <c r="I32" s="2"/>
      <c r="J32" s="2"/>
      <c r="K32" s="20" t="s">
        <v>895</v>
      </c>
    </row>
    <row r="33" spans="1:12" x14ac:dyDescent="0.25">
      <c r="A33" s="17">
        <v>44160</v>
      </c>
      <c r="B33" s="18">
        <v>0</v>
      </c>
      <c r="C33" s="18">
        <v>0</v>
      </c>
      <c r="D33" s="2">
        <f t="shared" si="1"/>
        <v>0</v>
      </c>
      <c r="E33" s="2">
        <v>28</v>
      </c>
      <c r="F33" s="2"/>
      <c r="G33" s="2"/>
      <c r="H33" s="2"/>
      <c r="I33" s="2"/>
      <c r="J33" s="2"/>
      <c r="K33" s="19" t="s">
        <v>107</v>
      </c>
      <c r="L33" s="53" t="s">
        <v>896</v>
      </c>
    </row>
    <row r="34" spans="1:12" ht="50.25" customHeight="1" x14ac:dyDescent="0.25">
      <c r="A34" s="17">
        <v>44160</v>
      </c>
      <c r="B34" s="18">
        <v>28</v>
      </c>
      <c r="C34" s="18">
        <v>0</v>
      </c>
      <c r="D34" s="2">
        <f t="shared" si="1"/>
        <v>28</v>
      </c>
      <c r="E34" s="2"/>
      <c r="F34" s="2"/>
      <c r="G34" s="2"/>
      <c r="H34" s="2"/>
      <c r="I34" s="2"/>
      <c r="J34" s="2"/>
      <c r="K34" s="19" t="s">
        <v>897</v>
      </c>
      <c r="L34" s="53" t="s">
        <v>898</v>
      </c>
    </row>
    <row r="35" spans="1:12" ht="51.75" customHeight="1" x14ac:dyDescent="0.25">
      <c r="A35" s="17">
        <v>44161</v>
      </c>
      <c r="B35" s="18">
        <v>0</v>
      </c>
      <c r="C35" s="18">
        <v>26</v>
      </c>
      <c r="D35" s="2">
        <f t="shared" si="1"/>
        <v>-26</v>
      </c>
      <c r="E35" s="2"/>
      <c r="F35" s="2"/>
      <c r="G35" s="2"/>
      <c r="H35" s="2"/>
      <c r="I35" s="2"/>
      <c r="J35" s="2"/>
      <c r="K35" s="19" t="s">
        <v>901</v>
      </c>
      <c r="L35" s="53" t="s">
        <v>899</v>
      </c>
    </row>
    <row r="36" spans="1:12" x14ac:dyDescent="0.25">
      <c r="A36" s="17">
        <v>44161</v>
      </c>
      <c r="B36" s="18">
        <v>6</v>
      </c>
      <c r="C36" s="18">
        <v>0</v>
      </c>
      <c r="D36" s="2">
        <f t="shared" si="1"/>
        <v>6</v>
      </c>
      <c r="E36" s="2"/>
      <c r="F36" s="2"/>
      <c r="G36" s="2"/>
      <c r="H36" s="2"/>
      <c r="I36" s="2"/>
      <c r="J36" s="2"/>
      <c r="K36" s="20" t="s">
        <v>902</v>
      </c>
    </row>
    <row r="37" spans="1:12" x14ac:dyDescent="0.25">
      <c r="A37" s="17"/>
      <c r="B37" s="18"/>
      <c r="C37" s="18"/>
      <c r="D37" s="2">
        <f t="shared" si="1"/>
        <v>0</v>
      </c>
      <c r="E37" s="2"/>
      <c r="F37" s="2"/>
      <c r="G37" s="2"/>
      <c r="H37" s="2"/>
      <c r="I37" s="2"/>
      <c r="J37" s="2"/>
      <c r="K37" s="20"/>
    </row>
    <row r="38" spans="1:12" x14ac:dyDescent="0.25">
      <c r="A38" s="17"/>
      <c r="B38" s="18"/>
      <c r="C38" s="18"/>
      <c r="D38" s="2">
        <f t="shared" si="1"/>
        <v>0</v>
      </c>
      <c r="E38" s="2"/>
      <c r="F38" s="2"/>
      <c r="G38" s="2"/>
      <c r="H38" s="2"/>
      <c r="I38" s="2"/>
      <c r="J38" s="2"/>
      <c r="K38" s="20"/>
    </row>
    <row r="39" spans="1:12" x14ac:dyDescent="0.25">
      <c r="A39" s="17"/>
      <c r="B39" s="18"/>
      <c r="C39" s="18"/>
      <c r="D39" s="2">
        <f t="shared" si="1"/>
        <v>0</v>
      </c>
      <c r="E39" s="2"/>
      <c r="F39" s="2"/>
      <c r="G39" s="2"/>
      <c r="H39" s="2"/>
      <c r="I39" s="2"/>
      <c r="J39" s="2"/>
      <c r="K39" s="20"/>
    </row>
    <row r="40" spans="1:12" x14ac:dyDescent="0.25">
      <c r="A40" s="17"/>
      <c r="B40" s="18"/>
      <c r="C40" s="18"/>
      <c r="D40" s="2">
        <f t="shared" si="1"/>
        <v>0</v>
      </c>
      <c r="E40" s="2"/>
      <c r="F40" s="2"/>
      <c r="G40" s="2"/>
      <c r="H40" s="2"/>
      <c r="I40" s="2"/>
      <c r="J40" s="2"/>
      <c r="K40" s="19"/>
    </row>
    <row r="41" spans="1:12" x14ac:dyDescent="0.25">
      <c r="A41" s="17"/>
      <c r="B41" s="18"/>
      <c r="C41" s="18"/>
      <c r="D41" s="2">
        <f t="shared" si="1"/>
        <v>0</v>
      </c>
      <c r="E41" s="2"/>
      <c r="F41" s="2"/>
      <c r="G41" s="2"/>
      <c r="H41" s="2"/>
      <c r="I41" s="2"/>
      <c r="J41" s="2"/>
      <c r="K41" s="20"/>
    </row>
    <row r="42" spans="1:12" x14ac:dyDescent="0.25">
      <c r="A42" s="17"/>
      <c r="B42" s="18"/>
      <c r="C42" s="18"/>
      <c r="D42" s="2">
        <f t="shared" si="1"/>
        <v>0</v>
      </c>
      <c r="E42" s="2"/>
      <c r="F42" s="2"/>
      <c r="G42" s="2"/>
      <c r="H42" s="2"/>
      <c r="I42" s="2"/>
      <c r="J42" s="2"/>
      <c r="K42" s="20"/>
    </row>
    <row r="43" spans="1:12" x14ac:dyDescent="0.25">
      <c r="A43" s="17"/>
      <c r="B43" s="18"/>
      <c r="C43" s="18"/>
      <c r="D43" s="2">
        <f t="shared" si="1"/>
        <v>0</v>
      </c>
      <c r="E43" s="2"/>
      <c r="F43" s="2"/>
      <c r="G43" s="2"/>
      <c r="H43" s="2"/>
      <c r="I43" s="2"/>
      <c r="J43" s="2"/>
      <c r="K43" s="20"/>
    </row>
    <row r="44" spans="1:12" x14ac:dyDescent="0.25">
      <c r="A44" s="17"/>
      <c r="B44" s="18"/>
      <c r="C44" s="18"/>
      <c r="D44" s="2">
        <f t="shared" si="1"/>
        <v>0</v>
      </c>
      <c r="E44" s="2"/>
      <c r="F44" s="2"/>
      <c r="G44" s="2"/>
      <c r="H44" s="2"/>
      <c r="I44" s="2"/>
      <c r="J44" s="2"/>
      <c r="K44" s="20"/>
    </row>
  </sheetData>
  <sheetProtection selectLockedCells="1" selectUnlockedCells="1"/>
  <sortState xmlns:xlrd2="http://schemas.microsoft.com/office/spreadsheetml/2017/richdata2" ref="A7:L15">
    <sortCondition ref="A15"/>
  </sortState>
  <customSheetViews>
    <customSheetView guid="{E5A7B818-645B-417C-A128-9FE559D9B124}" fitToPage="1">
      <pane ySplit="6" topLeftCell="A7" activePane="bottomLeft" state="frozen"/>
      <selection pane="bottomLeft" activeCell="K13" sqref="K13"/>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39" priority="1" operator="lessThan">
      <formula>0</formula>
    </cfRule>
    <cfRule type="cellIs" dxfId="13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Tabelle52">
    <pageSetUpPr fitToPage="1"/>
  </sheetPr>
  <dimension ref="A1:L44"/>
  <sheetViews>
    <sheetView workbookViewId="0">
      <pane ySplit="6" topLeftCell="A7" activePane="bottomLeft" state="frozen"/>
      <selection pane="bottomLeft" activeCell="K8" sqref="K8"/>
    </sheetView>
  </sheetViews>
  <sheetFormatPr baseColWidth="10" defaultColWidth="11.42578125" defaultRowHeight="15" x14ac:dyDescent="0.25"/>
  <cols>
    <col min="1" max="4" width="11.42578125" style="27"/>
    <col min="5" max="5" width="11.42578125" style="46"/>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146</v>
      </c>
    </row>
    <row r="3" spans="1:12" ht="15.75" thickBot="1" x14ac:dyDescent="0.3">
      <c r="A3" s="5"/>
      <c r="B3" s="2"/>
      <c r="C3" s="2"/>
      <c r="D3" s="2"/>
      <c r="E3" s="2"/>
      <c r="F3" s="2">
        <f>'11.20'!F6</f>
        <v>518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36" t="s">
        <v>18</v>
      </c>
    </row>
    <row r="6" spans="1:12" s="35" customFormat="1" ht="15.75" thickBot="1" x14ac:dyDescent="0.3">
      <c r="A6" s="29"/>
      <c r="B6" s="30"/>
      <c r="C6" s="30"/>
      <c r="D6" s="30"/>
      <c r="E6" s="30"/>
      <c r="F6" s="32">
        <f>SUM(D:D)+F3</f>
        <v>448</v>
      </c>
      <c r="G6" s="30">
        <f>SUM(B:B)</f>
        <v>63</v>
      </c>
      <c r="H6" s="30">
        <f>SUM(C:C)</f>
        <v>133</v>
      </c>
      <c r="I6" s="30"/>
      <c r="J6" s="33">
        <f>SUM(G6:H6)+SUM(E:E)</f>
        <v>482</v>
      </c>
      <c r="K6" s="34"/>
      <c r="L6" s="50">
        <f>J6/K1</f>
        <v>0.81144781144781142</v>
      </c>
    </row>
    <row r="7" spans="1:12" ht="15" customHeight="1" x14ac:dyDescent="0.25">
      <c r="A7" s="17">
        <v>44169</v>
      </c>
      <c r="B7" s="18">
        <v>0</v>
      </c>
      <c r="C7" s="18">
        <v>0</v>
      </c>
      <c r="D7" s="2">
        <f t="shared" ref="D7:D44" si="0">B7-C7</f>
        <v>0</v>
      </c>
      <c r="E7" s="2">
        <f>0.5*518</f>
        <v>259</v>
      </c>
      <c r="F7" s="2"/>
      <c r="G7" s="2"/>
      <c r="H7" s="2"/>
      <c r="I7" s="2"/>
      <c r="J7" s="2"/>
      <c r="K7" s="19" t="s">
        <v>903</v>
      </c>
      <c r="L7" s="27" t="s">
        <v>570</v>
      </c>
    </row>
    <row r="8" spans="1:12" ht="82.5" customHeight="1" x14ac:dyDescent="0.25">
      <c r="A8" s="17">
        <v>44169</v>
      </c>
      <c r="B8" s="18">
        <v>0</v>
      </c>
      <c r="C8" s="18">
        <v>44</v>
      </c>
      <c r="D8" s="2">
        <f t="shared" si="0"/>
        <v>-44</v>
      </c>
      <c r="E8" s="2"/>
      <c r="F8" s="2"/>
      <c r="G8" s="2"/>
      <c r="H8" s="2"/>
      <c r="I8" s="2"/>
      <c r="J8" s="2"/>
      <c r="K8" s="19" t="s">
        <v>904</v>
      </c>
    </row>
    <row r="9" spans="1:12" ht="15" customHeight="1" x14ac:dyDescent="0.25">
      <c r="A9" s="17">
        <v>44172</v>
      </c>
      <c r="B9" s="18">
        <v>1</v>
      </c>
      <c r="C9" s="18">
        <v>1</v>
      </c>
      <c r="D9" s="2">
        <f t="shared" si="0"/>
        <v>0</v>
      </c>
      <c r="E9" s="2">
        <v>0</v>
      </c>
      <c r="F9" s="2"/>
      <c r="G9" s="2"/>
      <c r="H9" s="2"/>
      <c r="I9" s="2"/>
      <c r="J9" s="2"/>
      <c r="K9" s="19" t="s">
        <v>905</v>
      </c>
    </row>
    <row r="10" spans="1:12" ht="15" customHeight="1" x14ac:dyDescent="0.3">
      <c r="A10" s="17">
        <v>44174</v>
      </c>
      <c r="B10" s="18">
        <v>0</v>
      </c>
      <c r="C10" s="18">
        <v>9</v>
      </c>
      <c r="D10" s="2">
        <f t="shared" si="0"/>
        <v>-9</v>
      </c>
      <c r="E10" s="2"/>
      <c r="F10" s="2"/>
      <c r="G10" s="2"/>
      <c r="H10" s="2"/>
      <c r="I10" s="2"/>
      <c r="J10" s="2"/>
      <c r="K10" s="19" t="s">
        <v>906</v>
      </c>
      <c r="L10" s="38"/>
    </row>
    <row r="11" spans="1:12" ht="15" customHeight="1" x14ac:dyDescent="0.3">
      <c r="A11" s="17">
        <v>44174</v>
      </c>
      <c r="B11" s="18">
        <v>1</v>
      </c>
      <c r="C11" s="18">
        <v>1</v>
      </c>
      <c r="D11" s="2">
        <f t="shared" si="0"/>
        <v>0</v>
      </c>
      <c r="E11" s="2">
        <v>1</v>
      </c>
      <c r="F11" s="2"/>
      <c r="G11" s="2"/>
      <c r="H11" s="2"/>
      <c r="I11" s="2"/>
      <c r="J11" s="2"/>
      <c r="K11" s="19" t="s">
        <v>907</v>
      </c>
      <c r="L11" s="38"/>
    </row>
    <row r="12" spans="1:12" ht="15" customHeight="1" x14ac:dyDescent="0.25">
      <c r="A12" s="17">
        <v>44174</v>
      </c>
      <c r="B12" s="18">
        <v>6</v>
      </c>
      <c r="C12" s="18">
        <v>0</v>
      </c>
      <c r="D12" s="2">
        <f t="shared" si="0"/>
        <v>6</v>
      </c>
      <c r="E12" s="2"/>
      <c r="F12" s="2"/>
      <c r="G12" s="2"/>
      <c r="H12" s="2"/>
      <c r="I12" s="2"/>
      <c r="J12" s="2"/>
      <c r="K12" s="19" t="s">
        <v>908</v>
      </c>
    </row>
    <row r="13" spans="1:12" ht="51.75" customHeight="1" x14ac:dyDescent="0.25">
      <c r="A13" s="17">
        <v>44175</v>
      </c>
      <c r="B13" s="18">
        <v>0</v>
      </c>
      <c r="C13" s="18">
        <v>23</v>
      </c>
      <c r="D13" s="2">
        <f t="shared" si="0"/>
        <v>-23</v>
      </c>
      <c r="E13" s="2"/>
      <c r="F13" s="2"/>
      <c r="G13" s="2"/>
      <c r="H13" s="2"/>
      <c r="I13" s="2"/>
      <c r="J13" s="2"/>
      <c r="K13" s="19" t="s">
        <v>909</v>
      </c>
    </row>
    <row r="14" spans="1:12" ht="15" customHeight="1" x14ac:dyDescent="0.25">
      <c r="A14" s="17">
        <v>44176</v>
      </c>
      <c r="B14" s="18">
        <v>0</v>
      </c>
      <c r="C14" s="18">
        <v>1</v>
      </c>
      <c r="D14" s="2">
        <f t="shared" si="0"/>
        <v>-1</v>
      </c>
      <c r="E14" s="2"/>
      <c r="F14" s="2"/>
      <c r="G14" s="2"/>
      <c r="H14" s="2"/>
      <c r="I14" s="2"/>
      <c r="J14" s="2"/>
      <c r="K14" s="19">
        <v>453003</v>
      </c>
      <c r="L14" s="27" t="s">
        <v>910</v>
      </c>
    </row>
    <row r="15" spans="1:12" ht="15" customHeight="1" x14ac:dyDescent="0.25">
      <c r="A15" s="17">
        <v>44180</v>
      </c>
      <c r="B15" s="18">
        <v>0</v>
      </c>
      <c r="C15" s="18">
        <v>5</v>
      </c>
      <c r="D15" s="2">
        <f t="shared" si="0"/>
        <v>-5</v>
      </c>
      <c r="E15" s="2"/>
      <c r="F15" s="2"/>
      <c r="G15" s="2"/>
      <c r="H15" s="2"/>
      <c r="I15" s="2"/>
      <c r="J15" s="2"/>
      <c r="K15" s="19" t="s">
        <v>911</v>
      </c>
    </row>
    <row r="16" spans="1:12" ht="38.25" customHeight="1" x14ac:dyDescent="0.25">
      <c r="A16" s="17">
        <v>44182</v>
      </c>
      <c r="B16" s="18">
        <v>0</v>
      </c>
      <c r="C16" s="18">
        <v>18</v>
      </c>
      <c r="D16" s="2">
        <f t="shared" si="0"/>
        <v>-18</v>
      </c>
      <c r="E16" s="2"/>
      <c r="F16" s="2"/>
      <c r="G16" s="2"/>
      <c r="H16" s="2"/>
      <c r="I16" s="2"/>
      <c r="J16" s="2"/>
      <c r="K16" s="19" t="s">
        <v>912</v>
      </c>
    </row>
    <row r="17" spans="1:12" ht="15" customHeight="1" x14ac:dyDescent="0.25">
      <c r="A17" s="17">
        <v>44182</v>
      </c>
      <c r="B17" s="18">
        <v>0</v>
      </c>
      <c r="C17" s="18">
        <v>4</v>
      </c>
      <c r="D17" s="2">
        <f t="shared" si="0"/>
        <v>-4</v>
      </c>
      <c r="E17" s="2"/>
      <c r="F17" s="2"/>
      <c r="G17" s="2"/>
      <c r="H17" s="2"/>
      <c r="I17" s="2"/>
      <c r="J17" s="2"/>
      <c r="K17" s="19" t="s">
        <v>913</v>
      </c>
      <c r="L17" s="27" t="s">
        <v>914</v>
      </c>
    </row>
    <row r="18" spans="1:12" ht="15" customHeight="1" x14ac:dyDescent="0.25">
      <c r="A18" s="17">
        <v>44182</v>
      </c>
      <c r="B18" s="18">
        <v>8</v>
      </c>
      <c r="C18" s="18">
        <v>0</v>
      </c>
      <c r="D18" s="2">
        <f t="shared" si="0"/>
        <v>8</v>
      </c>
      <c r="E18" s="2"/>
      <c r="F18" s="2"/>
      <c r="G18" s="2"/>
      <c r="H18" s="2"/>
      <c r="I18" s="2"/>
      <c r="J18" s="2"/>
      <c r="K18" s="19" t="s">
        <v>915</v>
      </c>
    </row>
    <row r="19" spans="1:12" ht="15" customHeight="1" x14ac:dyDescent="0.25">
      <c r="A19" s="17">
        <v>44186</v>
      </c>
      <c r="B19" s="18">
        <v>0</v>
      </c>
      <c r="C19" s="18">
        <v>0</v>
      </c>
      <c r="D19" s="2">
        <f t="shared" si="0"/>
        <v>0</v>
      </c>
      <c r="E19" s="2">
        <v>26</v>
      </c>
      <c r="F19" s="2"/>
      <c r="G19" s="2"/>
      <c r="H19" s="2"/>
      <c r="I19" s="2"/>
      <c r="J19" s="2"/>
      <c r="K19" s="19" t="s">
        <v>107</v>
      </c>
      <c r="L19" s="53" t="s">
        <v>916</v>
      </c>
    </row>
    <row r="20" spans="1:12" ht="51.75" customHeight="1" x14ac:dyDescent="0.25">
      <c r="A20" s="17">
        <v>44187</v>
      </c>
      <c r="B20" s="18">
        <v>26</v>
      </c>
      <c r="C20" s="18">
        <v>0</v>
      </c>
      <c r="D20" s="2">
        <f t="shared" si="0"/>
        <v>26</v>
      </c>
      <c r="E20" s="2"/>
      <c r="F20" s="2"/>
      <c r="G20" s="2"/>
      <c r="H20" s="2"/>
      <c r="I20" s="2"/>
      <c r="J20" s="2"/>
      <c r="K20" s="19" t="s">
        <v>917</v>
      </c>
      <c r="L20" s="53" t="s">
        <v>918</v>
      </c>
    </row>
    <row r="21" spans="1:12" ht="53.25" customHeight="1" x14ac:dyDescent="0.25">
      <c r="A21" s="21">
        <v>44188</v>
      </c>
      <c r="B21" s="22">
        <v>0</v>
      </c>
      <c r="C21" s="22">
        <v>22</v>
      </c>
      <c r="D21" s="2">
        <f t="shared" si="0"/>
        <v>-22</v>
      </c>
      <c r="E21" s="23"/>
      <c r="F21" s="23"/>
      <c r="G21" s="23"/>
      <c r="H21" s="23"/>
      <c r="I21" s="23"/>
      <c r="J21" s="23"/>
      <c r="K21" s="25" t="s">
        <v>919</v>
      </c>
    </row>
    <row r="22" spans="1:12" ht="15" customHeight="1" x14ac:dyDescent="0.25">
      <c r="A22" s="17">
        <v>44188</v>
      </c>
      <c r="B22" s="18">
        <v>0</v>
      </c>
      <c r="C22" s="18">
        <v>5</v>
      </c>
      <c r="D22" s="2">
        <f t="shared" si="0"/>
        <v>-5</v>
      </c>
      <c r="E22" s="2"/>
      <c r="F22" s="2"/>
      <c r="G22" s="2"/>
      <c r="H22" s="2"/>
      <c r="I22" s="2"/>
      <c r="J22" s="2"/>
      <c r="K22" s="19" t="s">
        <v>921</v>
      </c>
      <c r="L22" s="27" t="s">
        <v>920</v>
      </c>
    </row>
    <row r="23" spans="1:12" ht="48.75" customHeight="1" x14ac:dyDescent="0.25">
      <c r="A23" s="17">
        <v>44188</v>
      </c>
      <c r="B23" s="18">
        <v>21</v>
      </c>
      <c r="C23" s="18">
        <v>0</v>
      </c>
      <c r="D23" s="2">
        <f t="shared" si="0"/>
        <v>21</v>
      </c>
      <c r="E23" s="2"/>
      <c r="F23" s="2"/>
      <c r="G23" s="2"/>
      <c r="H23" s="2"/>
      <c r="I23" s="2"/>
      <c r="J23" s="2"/>
      <c r="K23" s="49" t="s">
        <v>922</v>
      </c>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7" activePane="bottomLeft" state="frozen"/>
      <selection pane="bottomLeft" activeCell="K8" sqref="K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37" priority="1" operator="lessThan">
      <formula>0</formula>
    </cfRule>
    <cfRule type="cellIs" dxfId="13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L44"/>
  <sheetViews>
    <sheetView workbookViewId="0">
      <pane ySplit="6" topLeftCell="A7" activePane="bottomLeft" state="frozen"/>
      <selection pane="bottomLeft" activeCell="K16" sqref="K16:L16"/>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140</v>
      </c>
    </row>
    <row r="3" spans="1:12" ht="15.75" thickBot="1" x14ac:dyDescent="0.3">
      <c r="A3" s="5"/>
      <c r="B3" s="2"/>
      <c r="C3" s="2"/>
      <c r="D3" s="2"/>
      <c r="E3" s="2"/>
      <c r="F3" s="2">
        <f>'12.20'!F6</f>
        <v>448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454</v>
      </c>
      <c r="G6" s="30">
        <f>SUM(B:B)</f>
        <v>134</v>
      </c>
      <c r="H6" s="30">
        <f>SUM(C:C)</f>
        <v>128</v>
      </c>
      <c r="I6" s="30"/>
      <c r="J6" s="33">
        <f>SUM(G6:H6)+SUM(E:E)</f>
        <v>379</v>
      </c>
      <c r="K6" s="34"/>
      <c r="L6" s="50">
        <f>J6/K1</f>
        <v>0.63804713804713808</v>
      </c>
    </row>
    <row r="7" spans="1:12" ht="61.5" customHeight="1" x14ac:dyDescent="0.25">
      <c r="A7" s="17">
        <v>44203</v>
      </c>
      <c r="B7" s="18">
        <v>0</v>
      </c>
      <c r="C7" s="18">
        <v>31</v>
      </c>
      <c r="D7" s="2">
        <f t="shared" ref="D7:D44" si="0">B7-C7</f>
        <v>-31</v>
      </c>
      <c r="E7" s="2"/>
      <c r="F7" s="2"/>
      <c r="G7" s="2"/>
      <c r="H7" s="2"/>
      <c r="I7" s="2"/>
      <c r="J7" s="2"/>
      <c r="K7" s="19" t="s">
        <v>923</v>
      </c>
    </row>
    <row r="8" spans="1:12" ht="15" customHeight="1" x14ac:dyDescent="0.25">
      <c r="A8" s="17">
        <v>44203</v>
      </c>
      <c r="B8" s="18">
        <v>3</v>
      </c>
      <c r="C8" s="18">
        <v>0</v>
      </c>
      <c r="D8" s="2">
        <f t="shared" si="0"/>
        <v>3</v>
      </c>
      <c r="E8" s="2"/>
      <c r="F8" s="2"/>
      <c r="G8" s="2"/>
      <c r="H8" s="2"/>
      <c r="I8" s="2"/>
      <c r="J8" s="2"/>
      <c r="K8" s="19" t="s">
        <v>924</v>
      </c>
    </row>
    <row r="9" spans="1:12" ht="15" customHeight="1" x14ac:dyDescent="0.25">
      <c r="A9" s="17">
        <v>44209</v>
      </c>
      <c r="B9" s="18">
        <v>0</v>
      </c>
      <c r="C9" s="18">
        <v>0</v>
      </c>
      <c r="D9" s="2">
        <f t="shared" si="0"/>
        <v>0</v>
      </c>
      <c r="E9" s="2">
        <v>37</v>
      </c>
      <c r="F9" s="2"/>
      <c r="G9" s="2"/>
      <c r="H9" s="2"/>
      <c r="I9" s="2"/>
      <c r="J9" s="2"/>
      <c r="K9" s="19" t="s">
        <v>107</v>
      </c>
      <c r="L9" s="53" t="s">
        <v>925</v>
      </c>
    </row>
    <row r="10" spans="1:12" ht="38.25" customHeight="1" x14ac:dyDescent="0.3">
      <c r="A10" s="17">
        <v>44209</v>
      </c>
      <c r="B10" s="18">
        <v>0</v>
      </c>
      <c r="C10" s="18">
        <v>16</v>
      </c>
      <c r="D10" s="2">
        <f t="shared" si="0"/>
        <v>-16</v>
      </c>
      <c r="E10" s="2"/>
      <c r="F10" s="2"/>
      <c r="G10" s="2"/>
      <c r="H10" s="2"/>
      <c r="I10" s="2"/>
      <c r="J10" s="2"/>
      <c r="K10" s="19" t="s">
        <v>926</v>
      </c>
      <c r="L10" s="38"/>
    </row>
    <row r="11" spans="1:12" ht="15" customHeight="1" x14ac:dyDescent="0.25">
      <c r="A11" s="17">
        <v>44209</v>
      </c>
      <c r="B11" s="18">
        <v>0</v>
      </c>
      <c r="C11" s="18">
        <v>10</v>
      </c>
      <c r="D11" s="2">
        <f t="shared" si="0"/>
        <v>-10</v>
      </c>
      <c r="E11" s="2"/>
      <c r="F11" s="2"/>
      <c r="G11" s="2"/>
      <c r="H11" s="2"/>
      <c r="I11" s="2"/>
      <c r="J11" s="2"/>
      <c r="K11" s="19" t="s">
        <v>927</v>
      </c>
      <c r="L11" s="53" t="s">
        <v>928</v>
      </c>
    </row>
    <row r="12" spans="1:12" ht="33.75" customHeight="1" x14ac:dyDescent="0.25">
      <c r="A12" s="17">
        <v>44209</v>
      </c>
      <c r="B12" s="18">
        <v>5</v>
      </c>
      <c r="C12" s="18">
        <v>5</v>
      </c>
      <c r="D12" s="2">
        <f t="shared" si="0"/>
        <v>0</v>
      </c>
      <c r="E12" s="2">
        <v>5</v>
      </c>
      <c r="F12" s="2"/>
      <c r="G12" s="2"/>
      <c r="H12" s="2"/>
      <c r="I12" s="2"/>
      <c r="J12" s="2"/>
      <c r="K12" s="19" t="s">
        <v>929</v>
      </c>
    </row>
    <row r="13" spans="1:12" ht="15" customHeight="1" x14ac:dyDescent="0.25">
      <c r="A13" s="17">
        <v>44209</v>
      </c>
      <c r="B13" s="18">
        <v>10</v>
      </c>
      <c r="C13" s="18">
        <v>0</v>
      </c>
      <c r="D13" s="2">
        <f t="shared" si="0"/>
        <v>10</v>
      </c>
      <c r="E13" s="2"/>
      <c r="F13" s="2"/>
      <c r="G13" s="2"/>
      <c r="H13" s="2"/>
      <c r="I13" s="2"/>
      <c r="J13" s="2"/>
      <c r="K13" s="19" t="s">
        <v>930</v>
      </c>
    </row>
    <row r="14" spans="1:12" ht="67.5" customHeight="1" x14ac:dyDescent="0.25">
      <c r="A14" s="17">
        <v>44209</v>
      </c>
      <c r="B14" s="18">
        <v>37</v>
      </c>
      <c r="C14" s="18">
        <v>0</v>
      </c>
      <c r="D14" s="2">
        <f t="shared" si="0"/>
        <v>37</v>
      </c>
      <c r="E14" s="2"/>
      <c r="F14" s="2"/>
      <c r="G14" s="2"/>
      <c r="H14" s="2"/>
      <c r="I14" s="2"/>
      <c r="J14" s="2"/>
      <c r="K14" s="19" t="s">
        <v>932</v>
      </c>
      <c r="L14" s="53" t="s">
        <v>931</v>
      </c>
    </row>
    <row r="15" spans="1:12" ht="29.25" customHeight="1" x14ac:dyDescent="0.25">
      <c r="A15" s="17">
        <v>44210</v>
      </c>
      <c r="B15" s="18">
        <v>1</v>
      </c>
      <c r="C15" s="18">
        <v>1</v>
      </c>
      <c r="D15" s="2">
        <f t="shared" si="0"/>
        <v>0</v>
      </c>
      <c r="E15" s="2">
        <v>1</v>
      </c>
      <c r="F15" s="2"/>
      <c r="G15" s="2"/>
      <c r="H15" s="2"/>
      <c r="I15" s="2"/>
      <c r="J15" s="2"/>
      <c r="K15" s="19" t="s">
        <v>933</v>
      </c>
    </row>
    <row r="16" spans="1:12" ht="15" customHeight="1" x14ac:dyDescent="0.25">
      <c r="A16" s="17">
        <v>44211</v>
      </c>
      <c r="B16" s="18">
        <v>0</v>
      </c>
      <c r="C16" s="18">
        <v>0</v>
      </c>
      <c r="D16" s="2">
        <f t="shared" si="0"/>
        <v>0</v>
      </c>
      <c r="E16" s="2">
        <v>34</v>
      </c>
      <c r="F16" s="2"/>
      <c r="G16" s="2"/>
      <c r="H16" s="2"/>
      <c r="I16" s="2"/>
      <c r="J16" s="2"/>
      <c r="K16" s="19" t="s">
        <v>107</v>
      </c>
      <c r="L16" s="53" t="s">
        <v>934</v>
      </c>
    </row>
    <row r="17" spans="1:12" ht="63.75" customHeight="1" x14ac:dyDescent="0.25">
      <c r="A17" s="17">
        <v>44211</v>
      </c>
      <c r="B17" s="18">
        <v>34</v>
      </c>
      <c r="C17" s="18">
        <v>0</v>
      </c>
      <c r="D17" s="2">
        <f t="shared" si="0"/>
        <v>34</v>
      </c>
      <c r="E17" s="2"/>
      <c r="F17" s="2"/>
      <c r="G17" s="2"/>
      <c r="H17" s="2"/>
      <c r="I17" s="2"/>
      <c r="J17" s="2"/>
      <c r="K17" s="19" t="s">
        <v>936</v>
      </c>
      <c r="L17" s="53" t="s">
        <v>935</v>
      </c>
    </row>
    <row r="18" spans="1:12" ht="15" customHeight="1" x14ac:dyDescent="0.25">
      <c r="A18" s="17">
        <v>44216</v>
      </c>
      <c r="B18" s="18">
        <v>4</v>
      </c>
      <c r="C18" s="18">
        <v>4</v>
      </c>
      <c r="D18" s="2">
        <f t="shared" si="0"/>
        <v>0</v>
      </c>
      <c r="E18" s="2"/>
      <c r="F18" s="2"/>
      <c r="G18" s="2"/>
      <c r="H18" s="2"/>
      <c r="I18" s="2"/>
      <c r="J18" s="2"/>
      <c r="K18" s="19" t="s">
        <v>937</v>
      </c>
      <c r="L18" s="53" t="s">
        <v>938</v>
      </c>
    </row>
    <row r="19" spans="1:12" ht="55.5" customHeight="1" x14ac:dyDescent="0.25">
      <c r="A19" s="17">
        <v>44217</v>
      </c>
      <c r="B19" s="18">
        <v>0</v>
      </c>
      <c r="C19" s="18">
        <v>29</v>
      </c>
      <c r="D19" s="2">
        <f t="shared" si="0"/>
        <v>-29</v>
      </c>
      <c r="E19" s="2"/>
      <c r="F19" s="2"/>
      <c r="G19" s="2"/>
      <c r="H19" s="2"/>
      <c r="I19" s="2"/>
      <c r="J19" s="2"/>
      <c r="K19" s="19" t="s">
        <v>939</v>
      </c>
    </row>
    <row r="20" spans="1:12" ht="15" customHeight="1" x14ac:dyDescent="0.25">
      <c r="A20" s="17">
        <v>44221</v>
      </c>
      <c r="B20" s="18">
        <v>0</v>
      </c>
      <c r="C20" s="18">
        <v>0</v>
      </c>
      <c r="D20" s="2">
        <f t="shared" si="0"/>
        <v>0</v>
      </c>
      <c r="E20" s="2">
        <v>22</v>
      </c>
      <c r="F20" s="2"/>
      <c r="G20" s="2"/>
      <c r="H20" s="2"/>
      <c r="I20" s="2"/>
      <c r="J20" s="2"/>
      <c r="K20" s="19" t="s">
        <v>107</v>
      </c>
      <c r="L20" s="53" t="s">
        <v>940</v>
      </c>
    </row>
    <row r="21" spans="1:12" ht="15" customHeight="1" x14ac:dyDescent="0.25">
      <c r="A21" s="21">
        <v>44221</v>
      </c>
      <c r="B21" s="22">
        <v>0</v>
      </c>
      <c r="C21" s="22">
        <v>0</v>
      </c>
      <c r="D21" s="2">
        <f t="shared" si="0"/>
        <v>0</v>
      </c>
      <c r="E21" s="23">
        <v>18</v>
      </c>
      <c r="F21" s="23"/>
      <c r="G21" s="23"/>
      <c r="H21" s="23"/>
      <c r="I21" s="23"/>
      <c r="J21" s="23"/>
      <c r="K21" s="19" t="s">
        <v>107</v>
      </c>
      <c r="L21" s="53" t="s">
        <v>941</v>
      </c>
    </row>
    <row r="22" spans="1:12" ht="54" customHeight="1" x14ac:dyDescent="0.25">
      <c r="A22" s="17">
        <v>44221</v>
      </c>
      <c r="B22" s="18">
        <v>22</v>
      </c>
      <c r="C22" s="18">
        <v>0</v>
      </c>
      <c r="D22" s="2">
        <f t="shared" si="0"/>
        <v>22</v>
      </c>
      <c r="E22" s="2"/>
      <c r="F22" s="2"/>
      <c r="G22" s="2"/>
      <c r="H22" s="2"/>
      <c r="I22" s="2"/>
      <c r="J22" s="2"/>
      <c r="K22" s="19" t="s">
        <v>942</v>
      </c>
      <c r="L22" s="53" t="s">
        <v>943</v>
      </c>
    </row>
    <row r="23" spans="1:12" ht="39.75" customHeight="1" x14ac:dyDescent="0.25">
      <c r="A23" s="17">
        <v>44221</v>
      </c>
      <c r="B23" s="18">
        <v>18</v>
      </c>
      <c r="C23" s="18">
        <v>0</v>
      </c>
      <c r="D23" s="2">
        <f t="shared" si="0"/>
        <v>18</v>
      </c>
      <c r="E23" s="2"/>
      <c r="F23" s="2"/>
      <c r="G23" s="2"/>
      <c r="H23" s="2"/>
      <c r="I23" s="2"/>
      <c r="J23" s="2"/>
      <c r="K23" s="49" t="s">
        <v>944</v>
      </c>
      <c r="L23" s="53" t="s">
        <v>945</v>
      </c>
    </row>
    <row r="24" spans="1:12" ht="68.25" customHeight="1" x14ac:dyDescent="0.25">
      <c r="A24" s="17">
        <v>44224</v>
      </c>
      <c r="B24" s="18">
        <v>0</v>
      </c>
      <c r="C24" s="18">
        <v>32</v>
      </c>
      <c r="D24" s="2">
        <f t="shared" si="0"/>
        <v>-32</v>
      </c>
      <c r="E24" s="2"/>
      <c r="F24" s="2"/>
      <c r="G24" s="2"/>
      <c r="H24" s="2"/>
      <c r="I24" s="2"/>
      <c r="J24" s="2"/>
      <c r="K24" s="19" t="s">
        <v>947</v>
      </c>
      <c r="L24" s="53" t="s">
        <v>946</v>
      </c>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KtHSPSI7fgDiQqC0yF6mxfouNZPp0KcGSLijPwb8bSVdjTaB6bNFLKHtpif6//jIiAoV8qjx+1tT6fJ2G7o1jg==" saltValue="Vb4bNofD8qcDqAyRcmIscQ==" spinCount="100000" sheet="1" objects="1" scenarios="1" selectLockedCells="1" selectUnlockedCells="1"/>
  <customSheetViews>
    <customSheetView guid="{E5A7B818-645B-417C-A128-9FE559D9B124}" fitToPage="1">
      <pane ySplit="6" topLeftCell="A7" activePane="bottomLeft" state="frozen"/>
      <selection pane="bottomLeft" activeCell="K16" sqref="K16:L1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35" priority="1" operator="lessThan">
      <formula>0</formula>
    </cfRule>
    <cfRule type="cellIs" dxfId="13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L44"/>
  <sheetViews>
    <sheetView workbookViewId="0">
      <pane ySplit="6" topLeftCell="A7" activePane="bottomLeft" state="frozen"/>
      <selection pane="bottomLeft" activeCell="K18" sqref="K18:L18"/>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53"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38</v>
      </c>
    </row>
    <row r="3" spans="1:12" ht="15.75" thickBot="1" x14ac:dyDescent="0.3">
      <c r="A3" s="5"/>
      <c r="B3" s="2"/>
      <c r="C3" s="2"/>
      <c r="D3" s="2"/>
      <c r="E3" s="2"/>
      <c r="F3" s="2">
        <f>'01.21'!F6</f>
        <v>454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54" t="s">
        <v>18</v>
      </c>
    </row>
    <row r="6" spans="1:12" s="35" customFormat="1" ht="15.75" thickBot="1" x14ac:dyDescent="0.3">
      <c r="A6" s="29"/>
      <c r="B6" s="30"/>
      <c r="C6" s="30"/>
      <c r="D6" s="30"/>
      <c r="E6" s="30"/>
      <c r="F6" s="32">
        <f>SUM(D:D)+F3</f>
        <v>556</v>
      </c>
      <c r="G6" s="30">
        <f>SUM(B:B)</f>
        <v>259</v>
      </c>
      <c r="H6" s="30">
        <f>SUM(C:C)</f>
        <v>157</v>
      </c>
      <c r="I6" s="30"/>
      <c r="J6" s="33">
        <f>SUM(G6:H6)+SUM(E:E)</f>
        <v>579</v>
      </c>
      <c r="K6" s="34"/>
      <c r="L6" s="55">
        <f>J6/K1</f>
        <v>0.9747474747474747</v>
      </c>
    </row>
    <row r="7" spans="1:12" ht="15" customHeight="1" x14ac:dyDescent="0.25">
      <c r="A7" s="17">
        <v>44228</v>
      </c>
      <c r="B7" s="18">
        <v>1</v>
      </c>
      <c r="C7" s="18">
        <v>1</v>
      </c>
      <c r="D7" s="2">
        <f t="shared" ref="D7:D44" si="0">B7-C7</f>
        <v>0</v>
      </c>
      <c r="E7" s="2">
        <v>1</v>
      </c>
      <c r="F7" s="2"/>
      <c r="G7" s="2"/>
      <c r="H7" s="2"/>
      <c r="I7" s="2"/>
      <c r="J7" s="2"/>
      <c r="K7" s="19" t="s">
        <v>948</v>
      </c>
    </row>
    <row r="8" spans="1:12" ht="39.75" customHeight="1" x14ac:dyDescent="0.25">
      <c r="A8" s="17">
        <v>44228</v>
      </c>
      <c r="B8" s="18">
        <v>19</v>
      </c>
      <c r="C8" s="18">
        <v>0</v>
      </c>
      <c r="D8" s="2">
        <f t="shared" si="0"/>
        <v>19</v>
      </c>
      <c r="E8" s="2"/>
      <c r="F8" s="2"/>
      <c r="G8" s="2"/>
      <c r="H8" s="2"/>
      <c r="I8" s="2"/>
      <c r="J8" s="2"/>
      <c r="K8" s="19" t="s">
        <v>949</v>
      </c>
    </row>
    <row r="9" spans="1:12" ht="51.75" customHeight="1" x14ac:dyDescent="0.25">
      <c r="A9" s="17">
        <v>44228</v>
      </c>
      <c r="B9" s="18">
        <v>24</v>
      </c>
      <c r="C9" s="18">
        <v>0</v>
      </c>
      <c r="D9" s="2">
        <f t="shared" si="0"/>
        <v>24</v>
      </c>
      <c r="E9" s="2"/>
      <c r="F9" s="2"/>
      <c r="G9" s="2"/>
      <c r="H9" s="2"/>
      <c r="I9" s="2"/>
      <c r="J9" s="2"/>
      <c r="K9" s="19" t="s">
        <v>950</v>
      </c>
    </row>
    <row r="10" spans="1:12" ht="15" customHeight="1" x14ac:dyDescent="0.25">
      <c r="A10" s="17">
        <v>44228</v>
      </c>
      <c r="B10" s="18">
        <v>0</v>
      </c>
      <c r="C10" s="18">
        <v>8</v>
      </c>
      <c r="D10" s="2">
        <f t="shared" si="0"/>
        <v>-8</v>
      </c>
      <c r="E10" s="2"/>
      <c r="F10" s="2"/>
      <c r="G10" s="2"/>
      <c r="H10" s="2"/>
      <c r="I10" s="2"/>
      <c r="J10" s="2"/>
      <c r="K10" s="19" t="s">
        <v>951</v>
      </c>
      <c r="L10" s="53" t="s">
        <v>952</v>
      </c>
    </row>
    <row r="11" spans="1:12" ht="37.5" customHeight="1" x14ac:dyDescent="0.25">
      <c r="A11" s="17">
        <v>44229</v>
      </c>
      <c r="B11" s="18">
        <v>10</v>
      </c>
      <c r="C11" s="18">
        <v>10</v>
      </c>
      <c r="D11" s="2">
        <f t="shared" si="0"/>
        <v>0</v>
      </c>
      <c r="E11" s="2">
        <v>10</v>
      </c>
      <c r="F11" s="2"/>
      <c r="G11" s="2"/>
      <c r="H11" s="2"/>
      <c r="I11" s="2"/>
      <c r="J11" s="2"/>
      <c r="K11" s="19" t="s">
        <v>953</v>
      </c>
      <c r="L11" s="53" t="s">
        <v>954</v>
      </c>
    </row>
    <row r="12" spans="1:12" ht="15" customHeight="1" x14ac:dyDescent="0.25">
      <c r="A12" s="17">
        <v>44230</v>
      </c>
      <c r="B12" s="18">
        <v>0</v>
      </c>
      <c r="C12" s="18">
        <v>0</v>
      </c>
      <c r="D12" s="2">
        <f t="shared" si="0"/>
        <v>0</v>
      </c>
      <c r="E12" s="2">
        <v>23</v>
      </c>
      <c r="F12" s="2"/>
      <c r="G12" s="2"/>
      <c r="H12" s="2"/>
      <c r="I12" s="2"/>
      <c r="J12" s="2"/>
      <c r="K12" s="19" t="s">
        <v>107</v>
      </c>
      <c r="L12" s="53" t="s">
        <v>955</v>
      </c>
    </row>
    <row r="13" spans="1:12" ht="54" customHeight="1" x14ac:dyDescent="0.25">
      <c r="A13" s="17">
        <v>44231</v>
      </c>
      <c r="B13" s="18">
        <v>0</v>
      </c>
      <c r="C13" s="18">
        <v>30</v>
      </c>
      <c r="D13" s="2">
        <f t="shared" si="0"/>
        <v>-30</v>
      </c>
      <c r="E13" s="2"/>
      <c r="F13" s="2"/>
      <c r="G13" s="2"/>
      <c r="H13" s="2"/>
      <c r="I13" s="2"/>
      <c r="J13" s="2"/>
      <c r="K13" s="19" t="s">
        <v>956</v>
      </c>
    </row>
    <row r="14" spans="1:12" ht="55.5" customHeight="1" x14ac:dyDescent="0.25">
      <c r="A14" s="17">
        <v>44231</v>
      </c>
      <c r="B14" s="18">
        <v>23</v>
      </c>
      <c r="C14" s="18">
        <v>0</v>
      </c>
      <c r="D14" s="2">
        <f t="shared" si="0"/>
        <v>23</v>
      </c>
      <c r="E14" s="2"/>
      <c r="F14" s="2"/>
      <c r="G14" s="2"/>
      <c r="H14" s="2"/>
      <c r="I14" s="2"/>
      <c r="J14" s="2"/>
      <c r="K14" s="19" t="s">
        <v>958</v>
      </c>
      <c r="L14" s="53" t="s">
        <v>957</v>
      </c>
    </row>
    <row r="15" spans="1:12" ht="15" customHeight="1" x14ac:dyDescent="0.25">
      <c r="A15" s="17">
        <v>44232</v>
      </c>
      <c r="B15" s="18">
        <v>0</v>
      </c>
      <c r="C15" s="18">
        <v>5</v>
      </c>
      <c r="D15" s="2">
        <f t="shared" si="0"/>
        <v>-5</v>
      </c>
      <c r="E15" s="2"/>
      <c r="F15" s="2"/>
      <c r="G15" s="2"/>
      <c r="H15" s="2"/>
      <c r="I15" s="2"/>
      <c r="J15" s="2"/>
      <c r="K15" s="19" t="s">
        <v>959</v>
      </c>
    </row>
    <row r="16" spans="1:12" ht="15" customHeight="1" x14ac:dyDescent="0.25">
      <c r="A16" s="17">
        <v>44232</v>
      </c>
      <c r="B16" s="18">
        <v>7</v>
      </c>
      <c r="C16" s="18">
        <v>0</v>
      </c>
      <c r="D16" s="2">
        <f t="shared" si="0"/>
        <v>7</v>
      </c>
      <c r="E16" s="2"/>
      <c r="F16" s="2"/>
      <c r="G16" s="2"/>
      <c r="H16" s="2"/>
      <c r="I16" s="2"/>
      <c r="J16" s="2"/>
      <c r="K16" s="19" t="s">
        <v>960</v>
      </c>
    </row>
    <row r="17" spans="1:12" ht="69" customHeight="1" x14ac:dyDescent="0.25">
      <c r="A17" s="17">
        <v>44239</v>
      </c>
      <c r="B17" s="18">
        <v>0</v>
      </c>
      <c r="C17" s="18">
        <v>34</v>
      </c>
      <c r="D17" s="2">
        <f t="shared" si="0"/>
        <v>-34</v>
      </c>
      <c r="E17" s="2"/>
      <c r="F17" s="2"/>
      <c r="G17" s="2"/>
      <c r="H17" s="2"/>
      <c r="I17" s="2"/>
      <c r="J17" s="2"/>
      <c r="K17" s="19" t="s">
        <v>962</v>
      </c>
    </row>
    <row r="18" spans="1:12" ht="15" customHeight="1" x14ac:dyDescent="0.25">
      <c r="A18" s="17">
        <v>44239</v>
      </c>
      <c r="B18" s="18">
        <v>0</v>
      </c>
      <c r="C18" s="18">
        <v>0</v>
      </c>
      <c r="D18" s="2">
        <f t="shared" si="0"/>
        <v>0</v>
      </c>
      <c r="E18" s="2">
        <v>6</v>
      </c>
      <c r="F18" s="2"/>
      <c r="G18" s="2"/>
      <c r="H18" s="2"/>
      <c r="I18" s="2"/>
      <c r="J18" s="2"/>
      <c r="K18" s="19" t="s">
        <v>107</v>
      </c>
      <c r="L18" s="53" t="s">
        <v>961</v>
      </c>
    </row>
    <row r="19" spans="1:12" ht="15" customHeight="1" x14ac:dyDescent="0.25">
      <c r="A19" s="17">
        <v>44239</v>
      </c>
      <c r="B19" s="18">
        <v>7</v>
      </c>
      <c r="C19" s="18">
        <v>0</v>
      </c>
      <c r="D19" s="2">
        <f t="shared" si="0"/>
        <v>7</v>
      </c>
      <c r="E19" s="2"/>
      <c r="F19" s="2"/>
      <c r="G19" s="2"/>
      <c r="H19" s="2"/>
      <c r="I19" s="2"/>
      <c r="J19" s="2"/>
      <c r="K19" s="19" t="s">
        <v>963</v>
      </c>
    </row>
    <row r="20" spans="1:12" ht="15" customHeight="1" x14ac:dyDescent="0.25">
      <c r="A20" s="17">
        <v>44242</v>
      </c>
      <c r="B20" s="18">
        <v>0</v>
      </c>
      <c r="C20" s="18">
        <v>2</v>
      </c>
      <c r="D20" s="2">
        <f t="shared" si="0"/>
        <v>-2</v>
      </c>
      <c r="E20" s="2"/>
      <c r="F20" s="2"/>
      <c r="G20" s="2"/>
      <c r="H20" s="2"/>
      <c r="I20" s="2"/>
      <c r="J20" s="2"/>
      <c r="K20" s="19" t="s">
        <v>964</v>
      </c>
      <c r="L20" s="53" t="s">
        <v>965</v>
      </c>
    </row>
    <row r="21" spans="1:12" ht="15" customHeight="1" x14ac:dyDescent="0.25">
      <c r="A21" s="21">
        <v>44242</v>
      </c>
      <c r="B21" s="22">
        <v>6</v>
      </c>
      <c r="C21" s="22">
        <v>0</v>
      </c>
      <c r="D21" s="2">
        <f t="shared" si="0"/>
        <v>6</v>
      </c>
      <c r="E21" s="23"/>
      <c r="F21" s="23"/>
      <c r="G21" s="23"/>
      <c r="H21" s="23"/>
      <c r="I21" s="23"/>
      <c r="J21" s="23"/>
      <c r="K21" s="25" t="s">
        <v>966</v>
      </c>
      <c r="L21" s="53" t="s">
        <v>967</v>
      </c>
    </row>
    <row r="22" spans="1:12" ht="64.5" customHeight="1" x14ac:dyDescent="0.25">
      <c r="A22" s="17">
        <v>44245</v>
      </c>
      <c r="B22" s="18">
        <v>0</v>
      </c>
      <c r="C22" s="18">
        <v>34</v>
      </c>
      <c r="D22" s="2">
        <f t="shared" si="0"/>
        <v>-34</v>
      </c>
      <c r="E22" s="2"/>
      <c r="F22" s="2"/>
      <c r="G22" s="2"/>
      <c r="H22" s="2"/>
      <c r="I22" s="2"/>
      <c r="J22" s="2"/>
      <c r="K22" s="19" t="s">
        <v>968</v>
      </c>
    </row>
    <row r="23" spans="1:12" ht="39" customHeight="1" x14ac:dyDescent="0.25">
      <c r="A23" s="17">
        <v>44245</v>
      </c>
      <c r="B23" s="18">
        <v>12</v>
      </c>
      <c r="C23" s="18">
        <v>0</v>
      </c>
      <c r="D23" s="2">
        <f t="shared" si="0"/>
        <v>12</v>
      </c>
      <c r="E23" s="2"/>
      <c r="F23" s="2"/>
      <c r="G23" s="2"/>
      <c r="H23" s="2"/>
      <c r="I23" s="2"/>
      <c r="J23" s="2"/>
      <c r="K23" s="49" t="s">
        <v>969</v>
      </c>
    </row>
    <row r="24" spans="1:12" ht="15" customHeight="1" x14ac:dyDescent="0.25">
      <c r="A24" s="17">
        <v>44249</v>
      </c>
      <c r="B24" s="18">
        <v>0</v>
      </c>
      <c r="C24" s="18">
        <v>0</v>
      </c>
      <c r="D24" s="2">
        <f t="shared" si="0"/>
        <v>0</v>
      </c>
      <c r="E24" s="2">
        <v>27</v>
      </c>
      <c r="F24" s="2"/>
      <c r="G24" s="2"/>
      <c r="H24" s="2"/>
      <c r="I24" s="2"/>
      <c r="J24" s="2"/>
      <c r="K24" s="19" t="s">
        <v>107</v>
      </c>
      <c r="L24" s="53" t="s">
        <v>970</v>
      </c>
    </row>
    <row r="25" spans="1:12" ht="15" customHeight="1" x14ac:dyDescent="0.25">
      <c r="A25" s="17">
        <v>44249</v>
      </c>
      <c r="B25" s="18">
        <v>3</v>
      </c>
      <c r="C25" s="18">
        <v>0</v>
      </c>
      <c r="D25" s="2">
        <f t="shared" si="0"/>
        <v>3</v>
      </c>
      <c r="E25" s="2"/>
      <c r="F25" s="2"/>
      <c r="G25" s="2"/>
      <c r="H25" s="2"/>
      <c r="I25" s="2"/>
      <c r="J25" s="2"/>
      <c r="K25" s="19" t="s">
        <v>971</v>
      </c>
      <c r="L25" s="91" t="s">
        <v>974</v>
      </c>
    </row>
    <row r="26" spans="1:12" ht="15" customHeight="1" x14ac:dyDescent="0.25">
      <c r="A26" s="17">
        <v>44250</v>
      </c>
      <c r="B26" s="18">
        <v>8</v>
      </c>
      <c r="C26" s="18">
        <v>8</v>
      </c>
      <c r="D26" s="2">
        <f t="shared" si="0"/>
        <v>0</v>
      </c>
      <c r="E26" s="2">
        <v>8</v>
      </c>
      <c r="F26" s="2"/>
      <c r="G26" s="2"/>
      <c r="H26" s="2"/>
      <c r="I26" s="2"/>
      <c r="J26" s="2"/>
      <c r="K26" s="20" t="s">
        <v>972</v>
      </c>
      <c r="L26" s="53" t="s">
        <v>973</v>
      </c>
    </row>
    <row r="27" spans="1:12" ht="52.5" customHeight="1" x14ac:dyDescent="0.25">
      <c r="A27" s="17">
        <v>44250</v>
      </c>
      <c r="B27" s="18">
        <v>27</v>
      </c>
      <c r="C27" s="18">
        <v>0</v>
      </c>
      <c r="D27" s="2">
        <f t="shared" si="0"/>
        <v>27</v>
      </c>
      <c r="E27" s="2"/>
      <c r="F27" s="2"/>
      <c r="G27" s="2"/>
      <c r="H27" s="2"/>
      <c r="I27" s="2"/>
      <c r="J27" s="2"/>
      <c r="K27" s="19" t="s">
        <v>976</v>
      </c>
      <c r="L27" s="53" t="s">
        <v>975</v>
      </c>
    </row>
    <row r="28" spans="1:12" x14ac:dyDescent="0.25">
      <c r="A28" s="17">
        <v>44250</v>
      </c>
      <c r="B28" s="18">
        <v>0</v>
      </c>
      <c r="C28" s="18">
        <v>0</v>
      </c>
      <c r="D28" s="2">
        <f t="shared" si="0"/>
        <v>0</v>
      </c>
      <c r="E28" s="2">
        <v>25</v>
      </c>
      <c r="F28" s="2"/>
      <c r="G28" s="2"/>
      <c r="H28" s="2"/>
      <c r="I28" s="2"/>
      <c r="J28" s="2"/>
      <c r="K28" s="19" t="s">
        <v>107</v>
      </c>
      <c r="L28" s="53" t="s">
        <v>977</v>
      </c>
    </row>
    <row r="29" spans="1:12" ht="52.5" customHeight="1" x14ac:dyDescent="0.25">
      <c r="A29" s="17">
        <v>44251</v>
      </c>
      <c r="B29" s="18">
        <v>25</v>
      </c>
      <c r="C29" s="18">
        <v>0</v>
      </c>
      <c r="D29" s="2">
        <f t="shared" si="0"/>
        <v>25</v>
      </c>
      <c r="E29" s="2"/>
      <c r="F29" s="2"/>
      <c r="G29" s="2"/>
      <c r="H29" s="2"/>
      <c r="I29" s="2"/>
      <c r="J29" s="2"/>
      <c r="K29" s="19" t="s">
        <v>978</v>
      </c>
      <c r="L29" s="53" t="s">
        <v>979</v>
      </c>
    </row>
    <row r="30" spans="1:12" x14ac:dyDescent="0.25">
      <c r="A30" s="17">
        <v>44251</v>
      </c>
      <c r="B30" s="18">
        <v>0</v>
      </c>
      <c r="C30" s="18">
        <v>0</v>
      </c>
      <c r="D30" s="2">
        <f t="shared" si="0"/>
        <v>0</v>
      </c>
      <c r="E30" s="2">
        <v>27</v>
      </c>
      <c r="F30" s="2"/>
      <c r="G30" s="2"/>
      <c r="H30" s="2"/>
      <c r="I30" s="2"/>
      <c r="J30" s="2"/>
      <c r="K30" s="19" t="s">
        <v>107</v>
      </c>
      <c r="L30" s="53" t="s">
        <v>980</v>
      </c>
    </row>
    <row r="31" spans="1:12" ht="51" customHeight="1" x14ac:dyDescent="0.25">
      <c r="A31" s="17">
        <v>44251</v>
      </c>
      <c r="B31" s="18">
        <v>27</v>
      </c>
      <c r="C31" s="18">
        <v>0</v>
      </c>
      <c r="D31" s="2">
        <f t="shared" si="0"/>
        <v>27</v>
      </c>
      <c r="E31" s="2"/>
      <c r="F31" s="2"/>
      <c r="G31" s="2"/>
      <c r="H31" s="2"/>
      <c r="I31" s="2"/>
      <c r="J31" s="2"/>
      <c r="K31" s="19" t="s">
        <v>982</v>
      </c>
      <c r="L31" s="53" t="s">
        <v>983</v>
      </c>
    </row>
    <row r="32" spans="1:12" x14ac:dyDescent="0.25">
      <c r="A32" s="17">
        <v>44251</v>
      </c>
      <c r="B32" s="18">
        <v>2</v>
      </c>
      <c r="C32" s="18">
        <v>2</v>
      </c>
      <c r="D32" s="2">
        <f t="shared" si="0"/>
        <v>0</v>
      </c>
      <c r="E32" s="2">
        <v>2</v>
      </c>
      <c r="F32" s="2"/>
      <c r="G32" s="2"/>
      <c r="H32" s="2"/>
      <c r="I32" s="2"/>
      <c r="J32" s="2"/>
      <c r="K32" s="20" t="s">
        <v>981</v>
      </c>
    </row>
    <row r="33" spans="1:12" x14ac:dyDescent="0.25">
      <c r="A33" s="17">
        <v>44251</v>
      </c>
      <c r="B33" s="18">
        <v>0</v>
      </c>
      <c r="C33" s="18">
        <v>6</v>
      </c>
      <c r="D33" s="2">
        <f t="shared" si="0"/>
        <v>-6</v>
      </c>
      <c r="E33" s="2"/>
      <c r="F33" s="2"/>
      <c r="G33" s="2"/>
      <c r="H33" s="2"/>
      <c r="I33" s="2"/>
      <c r="J33" s="2"/>
      <c r="K33" s="19" t="s">
        <v>984</v>
      </c>
      <c r="L33" s="53" t="s">
        <v>985</v>
      </c>
    </row>
    <row r="34" spans="1:12" x14ac:dyDescent="0.25">
      <c r="A34" s="17">
        <v>44251</v>
      </c>
      <c r="B34" s="18">
        <v>5</v>
      </c>
      <c r="C34" s="18">
        <v>0</v>
      </c>
      <c r="D34" s="2">
        <f t="shared" si="0"/>
        <v>5</v>
      </c>
      <c r="E34" s="2"/>
      <c r="F34" s="2"/>
      <c r="G34" s="2"/>
      <c r="H34" s="2"/>
      <c r="I34" s="2"/>
      <c r="J34" s="2"/>
      <c r="K34" s="20" t="s">
        <v>986</v>
      </c>
    </row>
    <row r="35" spans="1:12" ht="45" x14ac:dyDescent="0.25">
      <c r="A35" s="17">
        <v>44252</v>
      </c>
      <c r="B35" s="18">
        <v>0</v>
      </c>
      <c r="C35" s="18">
        <v>17</v>
      </c>
      <c r="D35" s="2">
        <f t="shared" si="0"/>
        <v>-17</v>
      </c>
      <c r="E35" s="2"/>
      <c r="F35" s="2"/>
      <c r="G35" s="2"/>
      <c r="H35" s="2"/>
      <c r="I35" s="2"/>
      <c r="J35" s="2"/>
      <c r="K35" s="19" t="s">
        <v>987</v>
      </c>
    </row>
    <row r="36" spans="1:12" x14ac:dyDescent="0.25">
      <c r="A36" s="17">
        <v>44252</v>
      </c>
      <c r="B36" s="18">
        <v>6</v>
      </c>
      <c r="C36" s="18">
        <v>0</v>
      </c>
      <c r="D36" s="2">
        <f t="shared" si="0"/>
        <v>6</v>
      </c>
      <c r="E36" s="2"/>
      <c r="F36" s="2"/>
      <c r="G36" s="2"/>
      <c r="H36" s="2"/>
      <c r="I36" s="2"/>
      <c r="J36" s="2"/>
      <c r="K36" s="20" t="s">
        <v>988</v>
      </c>
    </row>
    <row r="37" spans="1:12" x14ac:dyDescent="0.25">
      <c r="A37" s="17">
        <v>44253</v>
      </c>
      <c r="B37" s="18">
        <v>0</v>
      </c>
      <c r="C37" s="18">
        <v>0</v>
      </c>
      <c r="D37" s="2">
        <f t="shared" si="0"/>
        <v>0</v>
      </c>
      <c r="E37" s="2">
        <v>34</v>
      </c>
      <c r="F37" s="2"/>
      <c r="G37" s="2"/>
      <c r="H37" s="2"/>
      <c r="I37" s="2"/>
      <c r="J37" s="2"/>
      <c r="K37" s="19" t="s">
        <v>107</v>
      </c>
      <c r="L37" s="53" t="s">
        <v>989</v>
      </c>
    </row>
    <row r="38" spans="1:12" ht="40.5" customHeight="1" x14ac:dyDescent="0.25">
      <c r="A38" s="17">
        <v>44253</v>
      </c>
      <c r="B38" s="18">
        <v>13</v>
      </c>
      <c r="C38" s="18">
        <v>0</v>
      </c>
      <c r="D38" s="2">
        <f>B38-C38</f>
        <v>13</v>
      </c>
      <c r="E38" s="2"/>
      <c r="F38" s="2"/>
      <c r="G38" s="2"/>
      <c r="H38" s="2"/>
      <c r="I38" s="2"/>
      <c r="J38" s="2"/>
      <c r="K38" s="19" t="s">
        <v>992</v>
      </c>
    </row>
    <row r="39" spans="1:12" ht="70.5" customHeight="1" x14ac:dyDescent="0.25">
      <c r="A39" s="17">
        <v>44254</v>
      </c>
      <c r="B39" s="18">
        <v>34</v>
      </c>
      <c r="C39" s="18">
        <v>0</v>
      </c>
      <c r="D39" s="2">
        <f>B39-C39</f>
        <v>34</v>
      </c>
      <c r="E39" s="2"/>
      <c r="F39" s="2"/>
      <c r="G39" s="2"/>
      <c r="H39" s="2"/>
      <c r="I39" s="2"/>
      <c r="J39" s="2"/>
      <c r="K39" s="19" t="s">
        <v>991</v>
      </c>
      <c r="L39" s="53" t="s">
        <v>990</v>
      </c>
    </row>
    <row r="40" spans="1:12" x14ac:dyDescent="0.25">
      <c r="A40" s="17"/>
      <c r="B40" s="18"/>
      <c r="C40" s="18"/>
      <c r="D40" s="2">
        <f t="shared" si="0"/>
        <v>0</v>
      </c>
      <c r="E40" s="2"/>
      <c r="F40" s="2"/>
      <c r="G40" s="2"/>
      <c r="H40" s="2"/>
      <c r="I40" s="2"/>
      <c r="J40" s="2"/>
      <c r="K40" s="19"/>
    </row>
    <row r="41" spans="1:12" x14ac:dyDescent="0.25">
      <c r="A41" s="17"/>
      <c r="B41" s="18"/>
      <c r="C41" s="18"/>
      <c r="D41" s="2">
        <f t="shared" si="0"/>
        <v>0</v>
      </c>
      <c r="E41" s="2"/>
      <c r="F41" s="2"/>
      <c r="G41" s="2"/>
      <c r="H41" s="2"/>
      <c r="I41" s="2"/>
      <c r="J41" s="2"/>
      <c r="K41" s="20"/>
    </row>
    <row r="42" spans="1:12" x14ac:dyDescent="0.25">
      <c r="A42" s="17"/>
      <c r="B42" s="18"/>
      <c r="C42" s="18"/>
      <c r="D42" s="2">
        <f t="shared" si="0"/>
        <v>0</v>
      </c>
      <c r="E42" s="2"/>
      <c r="F42" s="2"/>
      <c r="G42" s="2"/>
      <c r="H42" s="2"/>
      <c r="I42" s="2"/>
      <c r="J42" s="2"/>
      <c r="K42" s="20"/>
    </row>
    <row r="43" spans="1:12" x14ac:dyDescent="0.25">
      <c r="A43" s="17"/>
      <c r="B43" s="18"/>
      <c r="C43" s="18"/>
      <c r="D43" s="2">
        <f t="shared" si="0"/>
        <v>0</v>
      </c>
      <c r="E43" s="2"/>
      <c r="F43" s="2"/>
      <c r="G43" s="2"/>
      <c r="H43" s="2"/>
      <c r="I43" s="2"/>
      <c r="J43" s="2"/>
      <c r="K43" s="20"/>
    </row>
    <row r="44" spans="1:12" x14ac:dyDescent="0.25">
      <c r="A44" s="17"/>
      <c r="B44" s="18"/>
      <c r="C44" s="18"/>
      <c r="D44" s="2">
        <f t="shared" si="0"/>
        <v>0</v>
      </c>
      <c r="E44" s="2"/>
      <c r="F44" s="2"/>
      <c r="G44" s="2"/>
      <c r="H44" s="2"/>
      <c r="I44" s="2"/>
      <c r="J44" s="2"/>
      <c r="K44" s="20"/>
    </row>
  </sheetData>
  <sheetProtection algorithmName="SHA-512" hashValue="3CCMs9TMCRY+kxL2mueslRB/GpdM22xrpHaK3Tz7Buhl1zgKmc/XYHSZtZbpbaFO99Tm0qdJBEvWcOi2sT9QfA==" saltValue="lP60hTDw1Ok67NOjXd5YXA==" spinCount="100000" sheet="1" objects="1" scenarios="1" selectLockedCells="1" selectUnlockedCells="1"/>
  <sortState xmlns:xlrd2="http://schemas.microsoft.com/office/spreadsheetml/2017/richdata2" ref="A38:L39">
    <sortCondition ref="A38"/>
  </sortState>
  <customSheetViews>
    <customSheetView guid="{E5A7B818-645B-417C-A128-9FE559D9B124}" fitToPage="1">
      <pane ySplit="6" topLeftCell="A7" activePane="bottomLeft" state="frozen"/>
      <selection pane="bottomLeft" activeCell="K18" sqref="K18:L1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33" priority="1" operator="lessThan">
      <formula>0</formula>
    </cfRule>
    <cfRule type="cellIs" dxfId="13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L44"/>
  <sheetViews>
    <sheetView workbookViewId="0">
      <pane ySplit="6" topLeftCell="A7" activePane="bottomLeft" state="frozen"/>
      <selection pane="bottomLeft" sqref="A1:XFD1048576"/>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65</v>
      </c>
    </row>
    <row r="3" spans="1:12" ht="15.75" thickBot="1" x14ac:dyDescent="0.3">
      <c r="A3" s="5"/>
      <c r="B3" s="2"/>
      <c r="C3" s="2"/>
      <c r="D3" s="2"/>
      <c r="E3" s="2"/>
      <c r="F3" s="2">
        <f>'02.21'!F6</f>
        <v>556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529</v>
      </c>
      <c r="G6" s="30">
        <f>SUM(B:B)</f>
        <v>117</v>
      </c>
      <c r="H6" s="30">
        <f>SUM(C:C)</f>
        <v>144</v>
      </c>
      <c r="I6" s="30"/>
      <c r="J6" s="33">
        <f>SUM(G6:H6)+SUM(E:E)</f>
        <v>339</v>
      </c>
      <c r="K6" s="34"/>
      <c r="L6" s="50">
        <f>J6/K1</f>
        <v>0.57070707070707072</v>
      </c>
    </row>
    <row r="7" spans="1:12" ht="15" customHeight="1" x14ac:dyDescent="0.25">
      <c r="A7" s="17">
        <v>44257</v>
      </c>
      <c r="B7" s="18">
        <v>0</v>
      </c>
      <c r="C7" s="18">
        <v>5</v>
      </c>
      <c r="D7" s="2">
        <f t="shared" ref="D7:D44" si="0">B7-C7</f>
        <v>-5</v>
      </c>
      <c r="E7" s="2"/>
      <c r="F7" s="2"/>
      <c r="G7" s="2"/>
      <c r="H7" s="2"/>
      <c r="I7" s="2"/>
      <c r="J7" s="2"/>
      <c r="K7" s="19" t="s">
        <v>993</v>
      </c>
      <c r="L7" s="27" t="s">
        <v>994</v>
      </c>
    </row>
    <row r="8" spans="1:12" ht="15" customHeight="1" x14ac:dyDescent="0.25">
      <c r="A8" s="17">
        <v>44257</v>
      </c>
      <c r="B8" s="18">
        <v>5</v>
      </c>
      <c r="C8" s="18">
        <v>0</v>
      </c>
      <c r="D8" s="2">
        <f t="shared" si="0"/>
        <v>5</v>
      </c>
      <c r="E8" s="2"/>
      <c r="F8" s="2"/>
      <c r="G8" s="2"/>
      <c r="H8" s="2"/>
      <c r="I8" s="2"/>
      <c r="J8" s="2"/>
      <c r="K8" s="19" t="s">
        <v>995</v>
      </c>
    </row>
    <row r="9" spans="1:12" ht="53.25" customHeight="1" x14ac:dyDescent="0.25">
      <c r="A9" s="17">
        <v>44259</v>
      </c>
      <c r="B9" s="18">
        <v>0</v>
      </c>
      <c r="C9" s="18">
        <v>29</v>
      </c>
      <c r="D9" s="2">
        <f t="shared" si="0"/>
        <v>-29</v>
      </c>
      <c r="E9" s="2"/>
      <c r="F9" s="2"/>
      <c r="G9" s="2"/>
      <c r="H9" s="2"/>
      <c r="I9" s="2"/>
      <c r="J9" s="2"/>
      <c r="K9" s="19" t="s">
        <v>996</v>
      </c>
    </row>
    <row r="10" spans="1:12" ht="15" customHeight="1" x14ac:dyDescent="0.25">
      <c r="A10" s="17">
        <v>44263</v>
      </c>
      <c r="B10" s="18">
        <v>0</v>
      </c>
      <c r="C10" s="18">
        <v>0</v>
      </c>
      <c r="D10" s="2">
        <f t="shared" si="0"/>
        <v>0</v>
      </c>
      <c r="E10" s="2">
        <v>22</v>
      </c>
      <c r="F10" s="2"/>
      <c r="G10" s="2"/>
      <c r="H10" s="2"/>
      <c r="I10" s="2"/>
      <c r="J10" s="2"/>
      <c r="K10" s="19" t="s">
        <v>107</v>
      </c>
      <c r="L10" s="53" t="s">
        <v>997</v>
      </c>
    </row>
    <row r="11" spans="1:12" ht="54" customHeight="1" x14ac:dyDescent="0.25">
      <c r="A11" s="17">
        <v>44263</v>
      </c>
      <c r="B11" s="18">
        <v>22</v>
      </c>
      <c r="C11" s="18">
        <v>0</v>
      </c>
      <c r="D11" s="2">
        <f t="shared" si="0"/>
        <v>22</v>
      </c>
      <c r="E11" s="2"/>
      <c r="F11" s="2"/>
      <c r="G11" s="2"/>
      <c r="H11" s="2"/>
      <c r="I11" s="2"/>
      <c r="J11" s="2"/>
      <c r="K11" s="19" t="s">
        <v>999</v>
      </c>
      <c r="L11" s="53" t="s">
        <v>998</v>
      </c>
    </row>
    <row r="12" spans="1:12" ht="15" customHeight="1" x14ac:dyDescent="0.25">
      <c r="A12" s="17">
        <v>44265</v>
      </c>
      <c r="B12" s="18">
        <v>6</v>
      </c>
      <c r="C12" s="18">
        <v>6</v>
      </c>
      <c r="D12" s="2">
        <f t="shared" si="0"/>
        <v>0</v>
      </c>
      <c r="E12" s="2">
        <v>6</v>
      </c>
      <c r="F12" s="2"/>
      <c r="G12" s="2"/>
      <c r="H12" s="2"/>
      <c r="I12" s="2"/>
      <c r="J12" s="2"/>
      <c r="K12" s="19" t="s">
        <v>1000</v>
      </c>
    </row>
    <row r="13" spans="1:12" ht="52.5" customHeight="1" x14ac:dyDescent="0.25">
      <c r="A13" s="17">
        <v>44265</v>
      </c>
      <c r="B13" s="18">
        <v>0</v>
      </c>
      <c r="C13" s="18">
        <v>25</v>
      </c>
      <c r="D13" s="2">
        <f t="shared" si="0"/>
        <v>-25</v>
      </c>
      <c r="E13" s="2"/>
      <c r="F13" s="2"/>
      <c r="G13" s="2"/>
      <c r="H13" s="2"/>
      <c r="I13" s="2"/>
      <c r="J13" s="2"/>
      <c r="K13" s="19" t="s">
        <v>1001</v>
      </c>
    </row>
    <row r="14" spans="1:12" ht="15" customHeight="1" x14ac:dyDescent="0.25">
      <c r="A14" s="17">
        <v>44265</v>
      </c>
      <c r="B14" s="18">
        <v>0</v>
      </c>
      <c r="C14" s="18">
        <v>2</v>
      </c>
      <c r="D14" s="2">
        <f t="shared" si="0"/>
        <v>-2</v>
      </c>
      <c r="E14" s="2"/>
      <c r="F14" s="2"/>
      <c r="G14" s="2"/>
      <c r="H14" s="2"/>
      <c r="I14" s="2"/>
      <c r="J14" s="2"/>
      <c r="K14" s="19" t="s">
        <v>1002</v>
      </c>
      <c r="L14" s="27" t="s">
        <v>1003</v>
      </c>
    </row>
    <row r="15" spans="1:12" ht="15" customHeight="1" x14ac:dyDescent="0.25">
      <c r="A15" s="17">
        <v>44265</v>
      </c>
      <c r="B15" s="18">
        <v>8</v>
      </c>
      <c r="C15" s="18">
        <v>0</v>
      </c>
      <c r="D15" s="2">
        <f t="shared" si="0"/>
        <v>8</v>
      </c>
      <c r="E15" s="2"/>
      <c r="F15" s="2"/>
      <c r="G15" s="2"/>
      <c r="H15" s="2"/>
      <c r="I15" s="2"/>
      <c r="J15" s="2"/>
      <c r="K15" s="19" t="s">
        <v>1004</v>
      </c>
    </row>
    <row r="16" spans="1:12" ht="15" customHeight="1" x14ac:dyDescent="0.25">
      <c r="A16" s="17">
        <v>44270</v>
      </c>
      <c r="B16" s="18">
        <v>0</v>
      </c>
      <c r="C16" s="18">
        <v>5</v>
      </c>
      <c r="D16" s="2">
        <f t="shared" si="0"/>
        <v>-5</v>
      </c>
      <c r="E16" s="2"/>
      <c r="F16" s="2"/>
      <c r="G16" s="2"/>
      <c r="H16" s="2"/>
      <c r="I16" s="2"/>
      <c r="J16" s="2"/>
      <c r="K16" s="19" t="s">
        <v>1005</v>
      </c>
    </row>
    <row r="17" spans="1:12" ht="15" customHeight="1" x14ac:dyDescent="0.25">
      <c r="A17" s="17">
        <v>44270</v>
      </c>
      <c r="B17" s="18">
        <v>2</v>
      </c>
      <c r="C17" s="18">
        <v>0</v>
      </c>
      <c r="D17" s="2">
        <f t="shared" si="0"/>
        <v>2</v>
      </c>
      <c r="E17" s="2"/>
      <c r="F17" s="2"/>
      <c r="G17" s="2"/>
      <c r="H17" s="2"/>
      <c r="I17" s="2"/>
      <c r="J17" s="2"/>
      <c r="K17" s="19" t="s">
        <v>1006</v>
      </c>
    </row>
    <row r="18" spans="1:12" ht="38.25" customHeight="1" x14ac:dyDescent="0.25">
      <c r="A18" s="17">
        <v>44273</v>
      </c>
      <c r="B18" s="18">
        <v>0</v>
      </c>
      <c r="C18" s="18">
        <v>15</v>
      </c>
      <c r="D18" s="2">
        <f t="shared" si="0"/>
        <v>-15</v>
      </c>
      <c r="E18" s="2"/>
      <c r="F18" s="2"/>
      <c r="G18" s="2"/>
      <c r="H18" s="2"/>
      <c r="I18" s="2"/>
      <c r="J18" s="2"/>
      <c r="K18" s="19" t="s">
        <v>1007</v>
      </c>
      <c r="L18" s="27" t="s">
        <v>1008</v>
      </c>
    </row>
    <row r="19" spans="1:12" ht="15" customHeight="1" x14ac:dyDescent="0.25">
      <c r="A19" s="17">
        <v>44279</v>
      </c>
      <c r="B19" s="18">
        <v>0</v>
      </c>
      <c r="C19" s="18">
        <v>2</v>
      </c>
      <c r="D19" s="2">
        <f t="shared" si="0"/>
        <v>-2</v>
      </c>
      <c r="E19" s="2"/>
      <c r="F19" s="2"/>
      <c r="G19" s="2"/>
      <c r="H19" s="2"/>
      <c r="I19" s="2"/>
      <c r="J19" s="2"/>
      <c r="K19" s="19" t="s">
        <v>1009</v>
      </c>
      <c r="L19" s="27" t="s">
        <v>1010</v>
      </c>
    </row>
    <row r="20" spans="1:12" ht="15" customHeight="1" x14ac:dyDescent="0.25">
      <c r="A20" s="17">
        <v>44279</v>
      </c>
      <c r="B20" s="18">
        <v>10</v>
      </c>
      <c r="C20" s="18">
        <v>0</v>
      </c>
      <c r="D20" s="2">
        <f t="shared" si="0"/>
        <v>10</v>
      </c>
      <c r="E20" s="2"/>
      <c r="F20" s="2"/>
      <c r="G20" s="2"/>
      <c r="H20" s="2"/>
      <c r="I20" s="2"/>
      <c r="J20" s="2"/>
      <c r="K20" s="19" t="s">
        <v>1011</v>
      </c>
    </row>
    <row r="21" spans="1:12" ht="15" customHeight="1" x14ac:dyDescent="0.25">
      <c r="A21" s="21">
        <v>44280</v>
      </c>
      <c r="B21" s="22">
        <v>0</v>
      </c>
      <c r="C21" s="22">
        <v>0</v>
      </c>
      <c r="D21" s="2">
        <f t="shared" si="0"/>
        <v>0</v>
      </c>
      <c r="E21" s="23">
        <v>27</v>
      </c>
      <c r="F21" s="23"/>
      <c r="G21" s="23"/>
      <c r="H21" s="23"/>
      <c r="I21" s="23"/>
      <c r="J21" s="23"/>
      <c r="K21" s="19" t="s">
        <v>107</v>
      </c>
      <c r="L21" s="53" t="s">
        <v>1012</v>
      </c>
    </row>
    <row r="22" spans="1:12" ht="51" customHeight="1" x14ac:dyDescent="0.25">
      <c r="A22" s="17">
        <v>44280</v>
      </c>
      <c r="B22" s="18">
        <v>0</v>
      </c>
      <c r="C22" s="18">
        <f>7+9+8</f>
        <v>24</v>
      </c>
      <c r="D22" s="2">
        <f t="shared" si="0"/>
        <v>-24</v>
      </c>
      <c r="E22" s="2"/>
      <c r="F22" s="2"/>
      <c r="G22" s="2"/>
      <c r="H22" s="2"/>
      <c r="I22" s="2"/>
      <c r="J22" s="2"/>
      <c r="K22" s="19" t="s">
        <v>1013</v>
      </c>
    </row>
    <row r="23" spans="1:12" ht="15" customHeight="1" x14ac:dyDescent="0.25">
      <c r="A23" s="17">
        <v>44281</v>
      </c>
      <c r="B23" s="18">
        <v>0</v>
      </c>
      <c r="C23" s="18">
        <v>0</v>
      </c>
      <c r="D23" s="2">
        <f t="shared" si="0"/>
        <v>0</v>
      </c>
      <c r="E23" s="2">
        <v>23</v>
      </c>
      <c r="F23" s="2"/>
      <c r="G23" s="2"/>
      <c r="H23" s="2"/>
      <c r="I23" s="2"/>
      <c r="J23" s="2"/>
      <c r="K23" s="19" t="s">
        <v>107</v>
      </c>
      <c r="L23" s="53" t="s">
        <v>1017</v>
      </c>
    </row>
    <row r="24" spans="1:12" ht="55.5" customHeight="1" x14ac:dyDescent="0.25">
      <c r="A24" s="17">
        <v>44281</v>
      </c>
      <c r="B24" s="18">
        <v>27</v>
      </c>
      <c r="C24" s="18">
        <v>0</v>
      </c>
      <c r="D24" s="2">
        <f t="shared" si="0"/>
        <v>27</v>
      </c>
      <c r="E24" s="2"/>
      <c r="F24" s="2"/>
      <c r="G24" s="2"/>
      <c r="H24" s="2"/>
      <c r="I24" s="2"/>
      <c r="J24" s="2"/>
      <c r="K24" s="19" t="s">
        <v>1015</v>
      </c>
      <c r="L24" s="27" t="s">
        <v>1014</v>
      </c>
    </row>
    <row r="25" spans="1:12" ht="54" customHeight="1" x14ac:dyDescent="0.25">
      <c r="A25" s="17">
        <v>44281</v>
      </c>
      <c r="B25" s="18">
        <v>23</v>
      </c>
      <c r="C25" s="18">
        <v>0</v>
      </c>
      <c r="D25" s="2">
        <f t="shared" si="0"/>
        <v>23</v>
      </c>
      <c r="E25" s="2"/>
      <c r="F25" s="2"/>
      <c r="G25" s="2"/>
      <c r="H25" s="2"/>
      <c r="I25" s="2"/>
      <c r="J25" s="2"/>
      <c r="K25" s="19" t="s">
        <v>1018</v>
      </c>
      <c r="L25" s="27" t="s">
        <v>1016</v>
      </c>
    </row>
    <row r="26" spans="1:12" ht="15" customHeight="1" x14ac:dyDescent="0.25">
      <c r="A26" s="17">
        <v>44284</v>
      </c>
      <c r="B26" s="18">
        <v>0</v>
      </c>
      <c r="C26" s="18">
        <v>7</v>
      </c>
      <c r="D26" s="2">
        <f t="shared" si="0"/>
        <v>-7</v>
      </c>
      <c r="E26" s="2"/>
      <c r="F26" s="2"/>
      <c r="G26" s="2"/>
      <c r="H26" s="2"/>
      <c r="I26" s="2"/>
      <c r="J26" s="2"/>
      <c r="K26" s="20" t="s">
        <v>1020</v>
      </c>
      <c r="L26" s="27" t="s">
        <v>1019</v>
      </c>
    </row>
    <row r="27" spans="1:12" x14ac:dyDescent="0.25">
      <c r="A27" s="17">
        <v>44285</v>
      </c>
      <c r="B27" s="18">
        <v>0</v>
      </c>
      <c r="C27" s="18">
        <v>3</v>
      </c>
      <c r="D27" s="2">
        <f t="shared" si="0"/>
        <v>-3</v>
      </c>
      <c r="E27" s="2"/>
      <c r="F27" s="2"/>
      <c r="G27" s="2"/>
      <c r="H27" s="2"/>
      <c r="I27" s="2"/>
      <c r="J27" s="2"/>
      <c r="K27" s="20" t="s">
        <v>1021</v>
      </c>
      <c r="L27" s="27" t="s">
        <v>1022</v>
      </c>
    </row>
    <row r="28" spans="1:12" ht="30" x14ac:dyDescent="0.25">
      <c r="A28" s="17">
        <v>44286</v>
      </c>
      <c r="B28" s="18">
        <v>9</v>
      </c>
      <c r="C28" s="18">
        <v>9</v>
      </c>
      <c r="D28" s="2">
        <f t="shared" si="0"/>
        <v>0</v>
      </c>
      <c r="E28" s="2"/>
      <c r="F28" s="2"/>
      <c r="G28" s="2"/>
      <c r="H28" s="2"/>
      <c r="I28" s="2"/>
      <c r="J28" s="2"/>
      <c r="K28" s="19" t="s">
        <v>1023</v>
      </c>
    </row>
    <row r="29" spans="1:12" ht="30" x14ac:dyDescent="0.25">
      <c r="A29" s="17">
        <v>44286</v>
      </c>
      <c r="B29" s="18">
        <v>0</v>
      </c>
      <c r="C29" s="18">
        <v>12</v>
      </c>
      <c r="D29" s="2">
        <f t="shared" si="0"/>
        <v>-12</v>
      </c>
      <c r="E29" s="2"/>
      <c r="F29" s="2"/>
      <c r="G29" s="2"/>
      <c r="H29" s="2"/>
      <c r="I29" s="2"/>
      <c r="J29" s="2"/>
      <c r="K29" s="19" t="s">
        <v>1024</v>
      </c>
    </row>
    <row r="30" spans="1:12" x14ac:dyDescent="0.25">
      <c r="A30" s="17">
        <v>44286</v>
      </c>
      <c r="B30" s="18">
        <v>5</v>
      </c>
      <c r="C30" s="18">
        <v>0</v>
      </c>
      <c r="D30" s="2">
        <f t="shared" si="0"/>
        <v>5</v>
      </c>
      <c r="E30" s="2"/>
      <c r="F30" s="2"/>
      <c r="G30" s="2"/>
      <c r="H30" s="2"/>
      <c r="I30" s="2"/>
      <c r="J30" s="2"/>
      <c r="K30" s="19" t="s">
        <v>1025</v>
      </c>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gwwMa55Bc3SPaoCNHUzECuBQx3wcF6k7GbNwMJ9rFUZ5Z6unFB2cFQWnh+tkfHMxxYuUlH1apyjYCD8L/RfdaA==" saltValue="g/yAPjuuWQh5R0mSPs27FQ==" spinCount="100000" sheet="1" objects="1" scenarios="1" selectLockedCells="1" selectUnlockedCells="1"/>
  <customSheetViews>
    <customSheetView guid="{E5A7B818-645B-417C-A128-9FE559D9B124}" fitToPage="1">
      <pane ySplit="6" topLeftCell="A7" activePane="bottomLeft" state="frozen"/>
      <selection pane="bottomLeft"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31" priority="1" operator="lessThan">
      <formula>0</formula>
    </cfRule>
    <cfRule type="cellIs" dxfId="13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L44"/>
  <sheetViews>
    <sheetView workbookViewId="0">
      <pane ySplit="6" topLeftCell="A25" activePane="bottomLeft" state="frozen"/>
      <selection pane="bottomLeft" activeCell="L34" sqref="L34"/>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151</v>
      </c>
    </row>
    <row r="3" spans="1:12" ht="15.75" thickBot="1" x14ac:dyDescent="0.3">
      <c r="A3" s="5"/>
      <c r="B3" s="2"/>
      <c r="C3" s="2"/>
      <c r="D3" s="2"/>
      <c r="E3" s="2"/>
      <c r="F3" s="2">
        <f>'03.21'!F6</f>
        <v>529</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443</v>
      </c>
      <c r="G6" s="30">
        <f>SUM(B:B)</f>
        <v>92</v>
      </c>
      <c r="H6" s="30">
        <f>SUM(C:C)</f>
        <v>178</v>
      </c>
      <c r="I6" s="30"/>
      <c r="J6" s="33">
        <f>SUM(G6:H6)+SUM(E:E)</f>
        <v>325</v>
      </c>
      <c r="K6" s="34"/>
      <c r="L6" s="50">
        <f>J6/K1</f>
        <v>0.54713804713804715</v>
      </c>
    </row>
    <row r="7" spans="1:12" ht="15" customHeight="1" x14ac:dyDescent="0.25">
      <c r="A7" s="17">
        <v>44287</v>
      </c>
      <c r="B7" s="18">
        <v>0</v>
      </c>
      <c r="C7" s="18">
        <v>2</v>
      </c>
      <c r="D7" s="2">
        <f t="shared" ref="D7:D44" si="0">B7-C7</f>
        <v>-2</v>
      </c>
      <c r="E7" s="2"/>
      <c r="F7" s="2"/>
      <c r="G7" s="2"/>
      <c r="H7" s="2"/>
      <c r="I7" s="2"/>
      <c r="J7" s="2"/>
      <c r="K7" s="19" t="s">
        <v>1026</v>
      </c>
      <c r="L7" s="27" t="s">
        <v>1027</v>
      </c>
    </row>
    <row r="8" spans="1:12" ht="15" customHeight="1" x14ac:dyDescent="0.25">
      <c r="A8" s="17">
        <v>44292</v>
      </c>
      <c r="B8" s="18">
        <v>0</v>
      </c>
      <c r="C8" s="18">
        <v>10</v>
      </c>
      <c r="D8" s="2">
        <f t="shared" si="0"/>
        <v>-10</v>
      </c>
      <c r="E8" s="2"/>
      <c r="F8" s="2"/>
      <c r="G8" s="2"/>
      <c r="H8" s="2"/>
      <c r="I8" s="2"/>
      <c r="J8" s="2"/>
      <c r="K8" s="19" t="s">
        <v>1028</v>
      </c>
    </row>
    <row r="9" spans="1:12" ht="15" customHeight="1" x14ac:dyDescent="0.25">
      <c r="A9" s="17">
        <v>44292</v>
      </c>
      <c r="B9" s="18">
        <v>0</v>
      </c>
      <c r="C9" s="18">
        <v>0</v>
      </c>
      <c r="D9" s="2">
        <f t="shared" si="0"/>
        <v>0</v>
      </c>
      <c r="E9" s="2">
        <v>12</v>
      </c>
      <c r="F9" s="2"/>
      <c r="G9" s="2"/>
      <c r="H9" s="2"/>
      <c r="I9" s="2"/>
      <c r="J9" s="2"/>
      <c r="K9" s="19" t="s">
        <v>107</v>
      </c>
      <c r="L9" s="53" t="s">
        <v>1032</v>
      </c>
    </row>
    <row r="10" spans="1:12" ht="36" customHeight="1" x14ac:dyDescent="0.25">
      <c r="A10" s="17">
        <v>44292</v>
      </c>
      <c r="B10" s="18">
        <v>12</v>
      </c>
      <c r="C10" s="18">
        <v>0</v>
      </c>
      <c r="D10" s="2">
        <f t="shared" si="0"/>
        <v>12</v>
      </c>
      <c r="E10" s="2"/>
      <c r="F10" s="2"/>
      <c r="G10" s="2"/>
      <c r="H10" s="2"/>
      <c r="I10" s="2"/>
      <c r="J10" s="2"/>
      <c r="K10" s="19" t="s">
        <v>1030</v>
      </c>
      <c r="L10" s="53" t="s">
        <v>1029</v>
      </c>
    </row>
    <row r="11" spans="1:12" ht="15" customHeight="1" x14ac:dyDescent="0.25">
      <c r="A11" s="17">
        <v>44293</v>
      </c>
      <c r="B11" s="18">
        <v>0</v>
      </c>
      <c r="C11" s="18">
        <v>1</v>
      </c>
      <c r="D11" s="2">
        <f t="shared" si="0"/>
        <v>-1</v>
      </c>
      <c r="E11" s="2"/>
      <c r="F11" s="2"/>
      <c r="G11" s="2"/>
      <c r="H11" s="2"/>
      <c r="I11" s="2"/>
      <c r="J11" s="2"/>
      <c r="K11" s="92">
        <v>558560</v>
      </c>
      <c r="L11" s="27" t="s">
        <v>1031</v>
      </c>
    </row>
    <row r="12" spans="1:12" ht="15" customHeight="1" x14ac:dyDescent="0.25">
      <c r="A12" s="17">
        <v>44294</v>
      </c>
      <c r="B12" s="18">
        <v>0</v>
      </c>
      <c r="C12" s="18">
        <v>0</v>
      </c>
      <c r="D12" s="2">
        <f t="shared" si="0"/>
        <v>0</v>
      </c>
      <c r="E12" s="2">
        <v>13</v>
      </c>
      <c r="F12" s="2"/>
      <c r="G12" s="2"/>
      <c r="H12" s="2"/>
      <c r="I12" s="2"/>
      <c r="J12" s="2"/>
      <c r="K12" s="19" t="s">
        <v>107</v>
      </c>
      <c r="L12" s="53" t="s">
        <v>1033</v>
      </c>
    </row>
    <row r="13" spans="1:12" ht="15" customHeight="1" x14ac:dyDescent="0.25">
      <c r="A13" s="17">
        <v>44294</v>
      </c>
      <c r="B13" s="18">
        <v>13</v>
      </c>
      <c r="C13" s="18">
        <v>0</v>
      </c>
      <c r="D13" s="2">
        <f t="shared" si="0"/>
        <v>13</v>
      </c>
      <c r="E13" s="2"/>
      <c r="F13" s="2"/>
      <c r="G13" s="2"/>
      <c r="H13" s="2"/>
      <c r="I13" s="2"/>
      <c r="J13" s="2"/>
      <c r="K13" s="19" t="s">
        <v>1034</v>
      </c>
      <c r="L13" s="53" t="s">
        <v>1035</v>
      </c>
    </row>
    <row r="14" spans="1:12" ht="15" customHeight="1" x14ac:dyDescent="0.25">
      <c r="A14" s="17">
        <v>44294</v>
      </c>
      <c r="B14" s="18">
        <v>0</v>
      </c>
      <c r="C14" s="18">
        <v>0</v>
      </c>
      <c r="D14" s="2">
        <f t="shared" si="0"/>
        <v>0</v>
      </c>
      <c r="E14" s="2">
        <v>8</v>
      </c>
      <c r="F14" s="2"/>
      <c r="G14" s="2"/>
      <c r="H14" s="2"/>
      <c r="I14" s="2"/>
      <c r="J14" s="2"/>
      <c r="K14" s="19" t="s">
        <v>107</v>
      </c>
      <c r="L14" s="53" t="s">
        <v>1036</v>
      </c>
    </row>
    <row r="15" spans="1:12" ht="84.75" customHeight="1" x14ac:dyDescent="0.25">
      <c r="A15" s="17">
        <v>44295</v>
      </c>
      <c r="B15" s="18">
        <v>0</v>
      </c>
      <c r="C15" s="18">
        <v>41</v>
      </c>
      <c r="D15" s="2">
        <f t="shared" si="0"/>
        <v>-41</v>
      </c>
      <c r="E15" s="2"/>
      <c r="F15" s="2"/>
      <c r="G15" s="2"/>
      <c r="H15" s="2"/>
      <c r="I15" s="2"/>
      <c r="J15" s="2"/>
      <c r="K15" s="19" t="s">
        <v>1037</v>
      </c>
    </row>
    <row r="16" spans="1:12" ht="15" customHeight="1" x14ac:dyDescent="0.25">
      <c r="A16" s="17">
        <v>44295</v>
      </c>
      <c r="B16" s="18">
        <v>6</v>
      </c>
      <c r="C16" s="18">
        <v>0</v>
      </c>
      <c r="D16" s="2">
        <f t="shared" si="0"/>
        <v>6</v>
      </c>
      <c r="E16" s="2"/>
      <c r="F16" s="2"/>
      <c r="G16" s="2"/>
      <c r="H16" s="2"/>
      <c r="I16" s="2"/>
      <c r="J16" s="2"/>
      <c r="K16" s="19" t="s">
        <v>1038</v>
      </c>
    </row>
    <row r="17" spans="1:12" ht="15" customHeight="1" x14ac:dyDescent="0.25">
      <c r="A17" s="17">
        <v>44295</v>
      </c>
      <c r="B17" s="18">
        <v>8</v>
      </c>
      <c r="C17" s="18">
        <v>0</v>
      </c>
      <c r="D17" s="2">
        <f t="shared" si="0"/>
        <v>8</v>
      </c>
      <c r="E17" s="2"/>
      <c r="F17" s="2"/>
      <c r="G17" s="2"/>
      <c r="H17" s="2"/>
      <c r="I17" s="2"/>
      <c r="J17" s="2"/>
      <c r="K17" s="19" t="s">
        <v>1040</v>
      </c>
      <c r="L17" s="53" t="s">
        <v>1039</v>
      </c>
    </row>
    <row r="18" spans="1:12" ht="15" customHeight="1" x14ac:dyDescent="0.25">
      <c r="A18" s="17">
        <v>44299</v>
      </c>
      <c r="B18" s="18">
        <v>0</v>
      </c>
      <c r="C18" s="18">
        <v>4</v>
      </c>
      <c r="D18" s="2">
        <f t="shared" si="0"/>
        <v>-4</v>
      </c>
      <c r="E18" s="2"/>
      <c r="F18" s="2"/>
      <c r="G18" s="2"/>
      <c r="H18" s="2"/>
      <c r="I18" s="2"/>
      <c r="J18" s="2"/>
      <c r="K18" s="19" t="s">
        <v>1041</v>
      </c>
      <c r="L18" s="27" t="s">
        <v>1042</v>
      </c>
    </row>
    <row r="19" spans="1:12" ht="15" customHeight="1" x14ac:dyDescent="0.25">
      <c r="A19" s="17">
        <v>44300</v>
      </c>
      <c r="B19" s="18">
        <v>0</v>
      </c>
      <c r="C19" s="18">
        <v>1</v>
      </c>
      <c r="D19" s="2">
        <f t="shared" si="0"/>
        <v>-1</v>
      </c>
      <c r="E19" s="2"/>
      <c r="F19" s="2"/>
      <c r="G19" s="2"/>
      <c r="H19" s="2"/>
      <c r="I19" s="2"/>
      <c r="J19" s="2"/>
      <c r="K19" s="19">
        <v>94</v>
      </c>
      <c r="L19" s="27" t="s">
        <v>1043</v>
      </c>
    </row>
    <row r="20" spans="1:12" ht="15" customHeight="1" x14ac:dyDescent="0.25">
      <c r="A20" s="17">
        <v>44301</v>
      </c>
      <c r="B20" s="18">
        <v>0</v>
      </c>
      <c r="C20" s="18">
        <v>0</v>
      </c>
      <c r="D20" s="2">
        <f t="shared" si="0"/>
        <v>0</v>
      </c>
      <c r="E20" s="2">
        <v>12</v>
      </c>
      <c r="F20" s="2"/>
      <c r="G20" s="2"/>
      <c r="H20" s="2"/>
      <c r="I20" s="2"/>
      <c r="J20" s="2"/>
      <c r="K20" s="19" t="s">
        <v>107</v>
      </c>
      <c r="L20" s="53" t="s">
        <v>1046</v>
      </c>
    </row>
    <row r="21" spans="1:12" ht="51.75" customHeight="1" x14ac:dyDescent="0.25">
      <c r="A21" s="21">
        <v>44302</v>
      </c>
      <c r="B21" s="22">
        <v>0</v>
      </c>
      <c r="C21" s="22">
        <v>21</v>
      </c>
      <c r="D21" s="2">
        <f t="shared" si="0"/>
        <v>-21</v>
      </c>
      <c r="E21" s="23"/>
      <c r="F21" s="23"/>
      <c r="G21" s="23"/>
      <c r="H21" s="23"/>
      <c r="I21" s="23"/>
      <c r="J21" s="23"/>
      <c r="K21" s="25" t="s">
        <v>1044</v>
      </c>
    </row>
    <row r="22" spans="1:12" ht="33" customHeight="1" x14ac:dyDescent="0.25">
      <c r="A22" s="17">
        <v>44302</v>
      </c>
      <c r="B22" s="18">
        <v>12</v>
      </c>
      <c r="C22" s="18">
        <v>0</v>
      </c>
      <c r="D22" s="2">
        <f t="shared" si="0"/>
        <v>12</v>
      </c>
      <c r="E22" s="2"/>
      <c r="F22" s="2"/>
      <c r="G22" s="2"/>
      <c r="H22" s="2"/>
      <c r="I22" s="2"/>
      <c r="J22" s="2"/>
      <c r="K22" s="19" t="s">
        <v>1047</v>
      </c>
      <c r="L22" s="27" t="s">
        <v>1045</v>
      </c>
    </row>
    <row r="23" spans="1:12" ht="40.5" customHeight="1" x14ac:dyDescent="0.25">
      <c r="A23" s="17">
        <v>44302</v>
      </c>
      <c r="B23" s="18">
        <v>15</v>
      </c>
      <c r="C23" s="18">
        <v>0</v>
      </c>
      <c r="D23" s="2">
        <f t="shared" si="0"/>
        <v>15</v>
      </c>
      <c r="E23" s="2"/>
      <c r="F23" s="2"/>
      <c r="G23" s="2"/>
      <c r="H23" s="2"/>
      <c r="I23" s="2"/>
      <c r="J23" s="2"/>
      <c r="K23" s="49" t="s">
        <v>1048</v>
      </c>
    </row>
    <row r="24" spans="1:12" ht="15" customHeight="1" x14ac:dyDescent="0.25">
      <c r="A24" s="17">
        <v>44305</v>
      </c>
      <c r="B24" s="18">
        <v>0</v>
      </c>
      <c r="C24" s="18">
        <v>5</v>
      </c>
      <c r="D24" s="2">
        <f t="shared" si="0"/>
        <v>-5</v>
      </c>
      <c r="E24" s="2"/>
      <c r="F24" s="2"/>
      <c r="G24" s="2"/>
      <c r="H24" s="2"/>
      <c r="I24" s="2"/>
      <c r="J24" s="2"/>
      <c r="K24" s="19" t="s">
        <v>986</v>
      </c>
      <c r="L24" s="27" t="s">
        <v>1049</v>
      </c>
    </row>
    <row r="25" spans="1:12" ht="15" customHeight="1" x14ac:dyDescent="0.25">
      <c r="A25" s="17">
        <v>44306</v>
      </c>
      <c r="B25" s="18">
        <v>0</v>
      </c>
      <c r="C25" s="18">
        <v>10</v>
      </c>
      <c r="D25" s="2">
        <f t="shared" si="0"/>
        <v>-10</v>
      </c>
      <c r="E25" s="2">
        <v>10</v>
      </c>
      <c r="F25" s="2"/>
      <c r="G25" s="2"/>
      <c r="H25" s="2"/>
      <c r="I25" s="2"/>
      <c r="J25" s="2"/>
      <c r="K25" s="19" t="s">
        <v>1050</v>
      </c>
      <c r="L25" s="27" t="s">
        <v>1051</v>
      </c>
    </row>
    <row r="26" spans="1:12" ht="15" customHeight="1" x14ac:dyDescent="0.25">
      <c r="A26" s="17">
        <v>44306</v>
      </c>
      <c r="B26" s="18">
        <v>10</v>
      </c>
      <c r="C26" s="18">
        <v>0</v>
      </c>
      <c r="D26" s="2">
        <f t="shared" si="0"/>
        <v>10</v>
      </c>
      <c r="E26" s="2"/>
      <c r="F26" s="2"/>
      <c r="G26" s="2"/>
      <c r="H26" s="2"/>
      <c r="I26" s="2"/>
      <c r="J26" s="2"/>
      <c r="K26" s="20" t="s">
        <v>1052</v>
      </c>
      <c r="L26" s="27" t="s">
        <v>1053</v>
      </c>
    </row>
    <row r="27" spans="1:12" ht="70.5" customHeight="1" x14ac:dyDescent="0.25">
      <c r="A27" s="17">
        <v>44308</v>
      </c>
      <c r="B27" s="18">
        <v>0</v>
      </c>
      <c r="C27" s="18">
        <v>35</v>
      </c>
      <c r="D27" s="2">
        <f t="shared" si="0"/>
        <v>-35</v>
      </c>
      <c r="E27" s="2"/>
      <c r="F27" s="2"/>
      <c r="G27" s="2"/>
      <c r="H27" s="2"/>
      <c r="I27" s="2"/>
      <c r="J27" s="2"/>
      <c r="K27" s="19" t="s">
        <v>1054</v>
      </c>
    </row>
    <row r="28" spans="1:12" x14ac:dyDescent="0.25">
      <c r="A28" s="17">
        <v>44308</v>
      </c>
      <c r="B28" s="18">
        <v>4</v>
      </c>
      <c r="C28" s="18">
        <v>0</v>
      </c>
      <c r="D28" s="2">
        <f t="shared" si="0"/>
        <v>4</v>
      </c>
      <c r="E28" s="2"/>
      <c r="F28" s="2"/>
      <c r="G28" s="2"/>
      <c r="H28" s="2"/>
      <c r="I28" s="2"/>
      <c r="J28" s="2"/>
      <c r="K28" s="20" t="s">
        <v>1055</v>
      </c>
    </row>
    <row r="29" spans="1:12" x14ac:dyDescent="0.25">
      <c r="A29" s="17">
        <v>44308</v>
      </c>
      <c r="B29" s="18">
        <v>0</v>
      </c>
      <c r="C29" s="18">
        <v>1</v>
      </c>
      <c r="D29" s="2">
        <f t="shared" si="0"/>
        <v>-1</v>
      </c>
      <c r="E29" s="2"/>
      <c r="F29" s="2"/>
      <c r="G29" s="2"/>
      <c r="H29" s="2"/>
      <c r="I29" s="2"/>
      <c r="J29" s="2"/>
      <c r="K29" s="19">
        <v>65</v>
      </c>
      <c r="L29" s="27" t="s">
        <v>1056</v>
      </c>
    </row>
    <row r="30" spans="1:12" ht="30" x14ac:dyDescent="0.25">
      <c r="A30" s="17">
        <v>44313</v>
      </c>
      <c r="B30" s="18">
        <v>12</v>
      </c>
      <c r="C30" s="18">
        <v>0</v>
      </c>
      <c r="D30" s="2">
        <f t="shared" si="0"/>
        <v>12</v>
      </c>
      <c r="E30" s="2"/>
      <c r="F30" s="2"/>
      <c r="G30" s="2"/>
      <c r="H30" s="2"/>
      <c r="I30" s="2"/>
      <c r="J30" s="2"/>
      <c r="K30" s="19" t="s">
        <v>1057</v>
      </c>
    </row>
    <row r="31" spans="1:12" x14ac:dyDescent="0.25">
      <c r="A31" s="17">
        <v>44314</v>
      </c>
      <c r="B31" s="18">
        <v>0</v>
      </c>
      <c r="C31" s="18">
        <v>4</v>
      </c>
      <c r="D31" s="2">
        <f t="shared" si="0"/>
        <v>-4</v>
      </c>
      <c r="E31" s="2"/>
      <c r="F31" s="2"/>
      <c r="G31" s="2"/>
      <c r="H31" s="2"/>
      <c r="I31" s="2"/>
      <c r="J31" s="2"/>
      <c r="K31" s="20" t="s">
        <v>1058</v>
      </c>
      <c r="L31" s="27" t="s">
        <v>1059</v>
      </c>
    </row>
    <row r="32" spans="1:12" ht="75" customHeight="1" x14ac:dyDescent="0.25">
      <c r="A32" s="17">
        <v>44315</v>
      </c>
      <c r="B32" s="18">
        <v>0</v>
      </c>
      <c r="C32" s="18">
        <v>37</v>
      </c>
      <c r="D32" s="2">
        <f t="shared" si="0"/>
        <v>-37</v>
      </c>
      <c r="E32" s="2"/>
      <c r="F32" s="2"/>
      <c r="G32" s="2"/>
      <c r="H32" s="2"/>
      <c r="I32" s="2"/>
      <c r="J32" s="2"/>
      <c r="K32" s="19" t="s">
        <v>1060</v>
      </c>
    </row>
    <row r="33" spans="1:12" x14ac:dyDescent="0.25">
      <c r="A33" s="17">
        <v>44316</v>
      </c>
      <c r="B33" s="18">
        <v>0</v>
      </c>
      <c r="C33" s="18">
        <v>3</v>
      </c>
      <c r="D33" s="2">
        <f t="shared" si="0"/>
        <v>-3</v>
      </c>
      <c r="E33" s="2"/>
      <c r="F33" s="2"/>
      <c r="G33" s="2"/>
      <c r="H33" s="2"/>
      <c r="I33" s="2"/>
      <c r="J33" s="2"/>
      <c r="K33" s="19" t="s">
        <v>1061</v>
      </c>
    </row>
    <row r="34" spans="1:12" x14ac:dyDescent="0.25">
      <c r="A34" s="17">
        <v>44316</v>
      </c>
      <c r="B34" s="18">
        <v>0</v>
      </c>
      <c r="C34" s="18">
        <v>3</v>
      </c>
      <c r="D34" s="2">
        <f t="shared" si="0"/>
        <v>-3</v>
      </c>
      <c r="E34" s="2"/>
      <c r="F34" s="2"/>
      <c r="G34" s="2"/>
      <c r="H34" s="2"/>
      <c r="I34" s="2"/>
      <c r="J34" s="2"/>
      <c r="K34" s="20" t="s">
        <v>1062</v>
      </c>
      <c r="L34" s="27" t="s">
        <v>1063</v>
      </c>
    </row>
    <row r="35" spans="1:12" x14ac:dyDescent="0.25">
      <c r="A35" s="17"/>
      <c r="B35" s="18"/>
      <c r="C35" s="18"/>
      <c r="D35" s="2">
        <f t="shared" si="0"/>
        <v>0</v>
      </c>
      <c r="E35" s="2"/>
      <c r="F35" s="2"/>
      <c r="G35" s="2"/>
      <c r="H35" s="2"/>
      <c r="I35" s="2"/>
      <c r="J35" s="2"/>
      <c r="K35" s="20"/>
    </row>
    <row r="36" spans="1:12" x14ac:dyDescent="0.25">
      <c r="A36" s="17"/>
      <c r="B36" s="18"/>
      <c r="C36" s="18"/>
      <c r="D36" s="2">
        <f t="shared" si="0"/>
        <v>0</v>
      </c>
      <c r="E36" s="2"/>
      <c r="F36" s="2"/>
      <c r="G36" s="2"/>
      <c r="H36" s="2"/>
      <c r="I36" s="2"/>
      <c r="J36" s="2"/>
      <c r="K36" s="20"/>
    </row>
    <row r="37" spans="1:12" x14ac:dyDescent="0.25">
      <c r="A37" s="17"/>
      <c r="B37" s="18"/>
      <c r="C37" s="18"/>
      <c r="D37" s="2">
        <f t="shared" si="0"/>
        <v>0</v>
      </c>
      <c r="E37" s="2"/>
      <c r="F37" s="2"/>
      <c r="G37" s="2"/>
      <c r="H37" s="2"/>
      <c r="I37" s="2"/>
      <c r="J37" s="2"/>
      <c r="K37" s="20"/>
    </row>
    <row r="38" spans="1:12" x14ac:dyDescent="0.25">
      <c r="A38" s="17"/>
      <c r="B38" s="18"/>
      <c r="C38" s="18"/>
      <c r="D38" s="2">
        <f t="shared" si="0"/>
        <v>0</v>
      </c>
      <c r="E38" s="2"/>
      <c r="F38" s="2"/>
      <c r="G38" s="2"/>
      <c r="H38" s="2"/>
      <c r="I38" s="2"/>
      <c r="J38" s="2"/>
      <c r="K38" s="20"/>
    </row>
    <row r="39" spans="1:12" x14ac:dyDescent="0.25">
      <c r="A39" s="17"/>
      <c r="B39" s="18"/>
      <c r="C39" s="18"/>
      <c r="D39" s="2">
        <f t="shared" si="0"/>
        <v>0</v>
      </c>
      <c r="E39" s="2"/>
      <c r="F39" s="2"/>
      <c r="G39" s="2"/>
      <c r="H39" s="2"/>
      <c r="I39" s="2"/>
      <c r="J39" s="2"/>
      <c r="K39" s="20"/>
    </row>
    <row r="40" spans="1:12" x14ac:dyDescent="0.25">
      <c r="A40" s="17"/>
      <c r="B40" s="18"/>
      <c r="C40" s="18"/>
      <c r="D40" s="2">
        <f t="shared" si="0"/>
        <v>0</v>
      </c>
      <c r="E40" s="2"/>
      <c r="F40" s="2"/>
      <c r="G40" s="2"/>
      <c r="H40" s="2"/>
      <c r="I40" s="2"/>
      <c r="J40" s="2"/>
      <c r="K40" s="19"/>
    </row>
    <row r="41" spans="1:12" x14ac:dyDescent="0.25">
      <c r="A41" s="17"/>
      <c r="B41" s="18"/>
      <c r="C41" s="18"/>
      <c r="D41" s="2">
        <f t="shared" si="0"/>
        <v>0</v>
      </c>
      <c r="E41" s="2"/>
      <c r="F41" s="2"/>
      <c r="G41" s="2"/>
      <c r="H41" s="2"/>
      <c r="I41" s="2"/>
      <c r="J41" s="2"/>
      <c r="K41" s="20"/>
    </row>
    <row r="42" spans="1:12" x14ac:dyDescent="0.25">
      <c r="A42" s="17"/>
      <c r="B42" s="18"/>
      <c r="C42" s="18"/>
      <c r="D42" s="2">
        <f t="shared" si="0"/>
        <v>0</v>
      </c>
      <c r="E42" s="2"/>
      <c r="F42" s="2"/>
      <c r="G42" s="2"/>
      <c r="H42" s="2"/>
      <c r="I42" s="2"/>
      <c r="J42" s="2"/>
      <c r="K42" s="20"/>
    </row>
    <row r="43" spans="1:12" x14ac:dyDescent="0.25">
      <c r="A43" s="17"/>
      <c r="B43" s="18"/>
      <c r="C43" s="18"/>
      <c r="D43" s="2">
        <f t="shared" si="0"/>
        <v>0</v>
      </c>
      <c r="E43" s="2"/>
      <c r="F43" s="2"/>
      <c r="G43" s="2"/>
      <c r="H43" s="2"/>
      <c r="I43" s="2"/>
      <c r="J43" s="2"/>
      <c r="K43" s="20"/>
    </row>
    <row r="44" spans="1:12" x14ac:dyDescent="0.25">
      <c r="A44" s="17"/>
      <c r="B44" s="18"/>
      <c r="C44" s="18"/>
      <c r="D44" s="2">
        <f t="shared" si="0"/>
        <v>0</v>
      </c>
      <c r="E44" s="2"/>
      <c r="F44" s="2"/>
      <c r="G44" s="2"/>
      <c r="H44" s="2"/>
      <c r="I44" s="2"/>
      <c r="J44" s="2"/>
      <c r="K44" s="20"/>
    </row>
  </sheetData>
  <sheetProtection algorithmName="SHA-512" hashValue="EyVFQKJlWe6M67+5PLma0B0k/PVKtmyhRejsCInvO3kH+P8dYu0pEu3EkCUYnzPh1Z/W+OfVSuHf8auSGbXe4A==" saltValue="ssQr/FpSPpcKo97CbDm7jw==" spinCount="100000" sheet="1" objects="1" scenarios="1" selectLockedCells="1" selectUnlockedCells="1"/>
  <customSheetViews>
    <customSheetView guid="{E5A7B818-645B-417C-A128-9FE559D9B124}" fitToPage="1">
      <pane ySplit="6" topLeftCell="A25" activePane="bottomLeft" state="frozen"/>
      <selection pane="bottomLeft" activeCell="L34" sqref="L34"/>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29" priority="1" operator="lessThan">
      <formula>0</formula>
    </cfRule>
    <cfRule type="cellIs" dxfId="12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L44"/>
  <sheetViews>
    <sheetView workbookViewId="0">
      <pane ySplit="6" topLeftCell="A25" activePane="bottomLeft" state="frozen"/>
      <selection pane="bottomLeft" activeCell="G45" sqref="G45"/>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110</v>
      </c>
    </row>
    <row r="3" spans="1:12" ht="15.75" thickBot="1" x14ac:dyDescent="0.3">
      <c r="A3" s="5"/>
      <c r="B3" s="2"/>
      <c r="C3" s="2"/>
      <c r="D3" s="2"/>
      <c r="E3" s="2"/>
      <c r="F3" s="2">
        <f>'04.21'!F6</f>
        <v>443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484</v>
      </c>
      <c r="G6" s="30">
        <f>SUM(B:B)</f>
        <v>211</v>
      </c>
      <c r="H6" s="30">
        <f>SUM(C:C)</f>
        <v>170</v>
      </c>
      <c r="I6" s="30"/>
      <c r="J6" s="33">
        <f>SUM(G6:H6)+SUM(E:E)</f>
        <v>563</v>
      </c>
      <c r="K6" s="34"/>
      <c r="L6" s="50">
        <f>J6/K1</f>
        <v>0.94781144781144777</v>
      </c>
    </row>
    <row r="7" spans="1:12" ht="15" customHeight="1" x14ac:dyDescent="0.25">
      <c r="A7" s="17">
        <v>44319</v>
      </c>
      <c r="B7" s="18">
        <v>0</v>
      </c>
      <c r="C7" s="18">
        <v>0</v>
      </c>
      <c r="D7" s="2">
        <f t="shared" ref="D7:D44" si="0">B7-C7</f>
        <v>0</v>
      </c>
      <c r="E7" s="2">
        <v>20</v>
      </c>
      <c r="F7" s="2"/>
      <c r="G7" s="2"/>
      <c r="H7" s="2"/>
      <c r="I7" s="2"/>
      <c r="J7" s="2"/>
      <c r="K7" s="19" t="s">
        <v>107</v>
      </c>
      <c r="L7" s="53" t="s">
        <v>1064</v>
      </c>
    </row>
    <row r="8" spans="1:12" ht="39.75" customHeight="1" x14ac:dyDescent="0.25">
      <c r="A8" s="17">
        <v>44320</v>
      </c>
      <c r="B8" s="18">
        <v>20</v>
      </c>
      <c r="C8" s="18">
        <v>0</v>
      </c>
      <c r="D8" s="2">
        <f t="shared" si="0"/>
        <v>20</v>
      </c>
      <c r="E8" s="2"/>
      <c r="F8" s="2"/>
      <c r="G8" s="2"/>
      <c r="H8" s="2"/>
      <c r="I8" s="2"/>
      <c r="J8" s="2"/>
      <c r="K8" s="19" t="s">
        <v>1065</v>
      </c>
      <c r="L8" s="27" t="s">
        <v>1066</v>
      </c>
    </row>
    <row r="9" spans="1:12" ht="15" customHeight="1" x14ac:dyDescent="0.25">
      <c r="A9" s="17">
        <v>44320</v>
      </c>
      <c r="B9" s="18">
        <v>0</v>
      </c>
      <c r="C9" s="18">
        <v>0</v>
      </c>
      <c r="D9" s="2">
        <f t="shared" si="0"/>
        <v>0</v>
      </c>
      <c r="E9" s="2">
        <v>26</v>
      </c>
      <c r="F9" s="2"/>
      <c r="G9" s="2"/>
      <c r="H9" s="2"/>
      <c r="I9" s="2"/>
      <c r="J9" s="2"/>
      <c r="K9" s="19" t="s">
        <v>107</v>
      </c>
      <c r="L9" s="53" t="s">
        <v>1067</v>
      </c>
    </row>
    <row r="10" spans="1:12" ht="15" customHeight="1" x14ac:dyDescent="0.25">
      <c r="A10" s="17">
        <v>44320</v>
      </c>
      <c r="B10" s="18">
        <v>0</v>
      </c>
      <c r="C10" s="18">
        <v>0</v>
      </c>
      <c r="D10" s="2">
        <f t="shared" si="0"/>
        <v>0</v>
      </c>
      <c r="E10" s="2">
        <v>22</v>
      </c>
      <c r="F10" s="2"/>
      <c r="G10" s="2"/>
      <c r="H10" s="2"/>
      <c r="I10" s="2"/>
      <c r="J10" s="2"/>
      <c r="K10" s="19" t="s">
        <v>107</v>
      </c>
      <c r="L10" s="53" t="s">
        <v>1068</v>
      </c>
    </row>
    <row r="11" spans="1:12" ht="15" customHeight="1" x14ac:dyDescent="0.25">
      <c r="A11" s="17">
        <v>44320</v>
      </c>
      <c r="B11" s="18">
        <v>0</v>
      </c>
      <c r="C11" s="18">
        <v>0</v>
      </c>
      <c r="D11" s="2">
        <f t="shared" si="0"/>
        <v>0</v>
      </c>
      <c r="E11" s="2">
        <v>13</v>
      </c>
      <c r="F11" s="2"/>
      <c r="G11" s="2"/>
      <c r="H11" s="2"/>
      <c r="I11" s="2"/>
      <c r="J11" s="2"/>
      <c r="K11" s="19" t="s">
        <v>107</v>
      </c>
      <c r="L11" s="53" t="s">
        <v>1069</v>
      </c>
    </row>
    <row r="12" spans="1:12" ht="15" customHeight="1" x14ac:dyDescent="0.25">
      <c r="A12" s="17">
        <v>44321</v>
      </c>
      <c r="B12" s="18">
        <v>5</v>
      </c>
      <c r="C12" s="18">
        <v>5</v>
      </c>
      <c r="D12" s="2">
        <f t="shared" si="0"/>
        <v>0</v>
      </c>
      <c r="E12" s="2">
        <v>5</v>
      </c>
      <c r="F12" s="2"/>
      <c r="G12" s="2"/>
      <c r="H12" s="2"/>
      <c r="I12" s="2"/>
      <c r="J12" s="2"/>
      <c r="K12" s="19" t="s">
        <v>1070</v>
      </c>
    </row>
    <row r="13" spans="1:12" ht="53.25" customHeight="1" x14ac:dyDescent="0.25">
      <c r="A13" s="17">
        <v>44321</v>
      </c>
      <c r="B13" s="18">
        <v>26</v>
      </c>
      <c r="C13" s="18">
        <v>0</v>
      </c>
      <c r="D13" s="2">
        <f t="shared" si="0"/>
        <v>26</v>
      </c>
      <c r="E13" s="2"/>
      <c r="F13" s="2"/>
      <c r="G13" s="2"/>
      <c r="H13" s="2"/>
      <c r="I13" s="2"/>
      <c r="J13" s="2"/>
      <c r="K13" s="19" t="s">
        <v>1072</v>
      </c>
      <c r="L13" s="27" t="s">
        <v>1071</v>
      </c>
    </row>
    <row r="14" spans="1:12" ht="51" customHeight="1" x14ac:dyDescent="0.25">
      <c r="A14" s="17">
        <v>44321</v>
      </c>
      <c r="B14" s="18">
        <v>22</v>
      </c>
      <c r="C14" s="18">
        <v>0</v>
      </c>
      <c r="D14" s="2">
        <f t="shared" si="0"/>
        <v>22</v>
      </c>
      <c r="E14" s="2"/>
      <c r="F14" s="2"/>
      <c r="G14" s="2"/>
      <c r="H14" s="2"/>
      <c r="I14" s="2"/>
      <c r="J14" s="2"/>
      <c r="K14" s="19" t="s">
        <v>1074</v>
      </c>
      <c r="L14" s="27" t="s">
        <v>1073</v>
      </c>
    </row>
    <row r="15" spans="1:12" ht="15" customHeight="1" x14ac:dyDescent="0.25">
      <c r="A15" s="17">
        <v>44322</v>
      </c>
      <c r="B15" s="18">
        <v>1</v>
      </c>
      <c r="C15" s="18">
        <v>1</v>
      </c>
      <c r="D15" s="2">
        <f t="shared" si="0"/>
        <v>0</v>
      </c>
      <c r="E15" s="2">
        <v>1</v>
      </c>
      <c r="F15" s="2"/>
      <c r="G15" s="2"/>
      <c r="H15" s="2"/>
      <c r="I15" s="2"/>
      <c r="J15" s="2"/>
      <c r="K15" s="19" t="s">
        <v>1075</v>
      </c>
    </row>
    <row r="16" spans="1:12" ht="53.25" customHeight="1" x14ac:dyDescent="0.25">
      <c r="A16" s="17">
        <v>44323</v>
      </c>
      <c r="B16" s="18">
        <v>0</v>
      </c>
      <c r="C16" s="18">
        <v>26</v>
      </c>
      <c r="D16" s="2">
        <f t="shared" si="0"/>
        <v>-26</v>
      </c>
      <c r="E16" s="2"/>
      <c r="F16" s="2"/>
      <c r="G16" s="2"/>
      <c r="H16" s="2"/>
      <c r="I16" s="2"/>
      <c r="J16" s="2"/>
      <c r="K16" s="19" t="s">
        <v>1076</v>
      </c>
    </row>
    <row r="17" spans="1:12" ht="39" customHeight="1" x14ac:dyDescent="0.25">
      <c r="A17" s="17">
        <v>44323</v>
      </c>
      <c r="B17" s="18">
        <v>13</v>
      </c>
      <c r="C17" s="18">
        <v>0</v>
      </c>
      <c r="D17" s="2">
        <f t="shared" si="0"/>
        <v>13</v>
      </c>
      <c r="E17" s="2"/>
      <c r="F17" s="2"/>
      <c r="G17" s="2"/>
      <c r="H17" s="2"/>
      <c r="I17" s="2"/>
      <c r="J17" s="2"/>
      <c r="K17" s="19" t="s">
        <v>1078</v>
      </c>
      <c r="L17" s="27" t="s">
        <v>1077</v>
      </c>
    </row>
    <row r="18" spans="1:12" ht="15" customHeight="1" x14ac:dyDescent="0.25">
      <c r="A18" s="17">
        <v>44323</v>
      </c>
      <c r="B18" s="18">
        <v>9</v>
      </c>
      <c r="C18" s="18">
        <v>0</v>
      </c>
      <c r="D18" s="2">
        <f t="shared" si="0"/>
        <v>9</v>
      </c>
      <c r="E18" s="2"/>
      <c r="F18" s="2"/>
      <c r="G18" s="2"/>
      <c r="H18" s="2"/>
      <c r="I18" s="2"/>
      <c r="J18" s="2"/>
      <c r="K18" s="19" t="s">
        <v>1079</v>
      </c>
    </row>
    <row r="19" spans="1:12" ht="53.25" customHeight="1" x14ac:dyDescent="0.25">
      <c r="A19" s="17">
        <v>44328</v>
      </c>
      <c r="B19" s="18">
        <v>0</v>
      </c>
      <c r="C19" s="18">
        <v>30</v>
      </c>
      <c r="D19" s="2">
        <f t="shared" si="0"/>
        <v>-30</v>
      </c>
      <c r="E19" s="2"/>
      <c r="F19" s="2"/>
      <c r="G19" s="2"/>
      <c r="H19" s="2"/>
      <c r="I19" s="2"/>
      <c r="J19" s="2"/>
      <c r="K19" s="19" t="s">
        <v>1080</v>
      </c>
    </row>
    <row r="20" spans="1:12" ht="15" customHeight="1" x14ac:dyDescent="0.25">
      <c r="A20" s="17">
        <v>44328</v>
      </c>
      <c r="B20" s="18">
        <v>6</v>
      </c>
      <c r="C20" s="18">
        <v>0</v>
      </c>
      <c r="D20" s="2">
        <f t="shared" si="0"/>
        <v>6</v>
      </c>
      <c r="E20" s="2"/>
      <c r="F20" s="2"/>
      <c r="G20" s="2"/>
      <c r="H20" s="2"/>
      <c r="I20" s="2"/>
      <c r="J20" s="2"/>
      <c r="K20" s="19" t="s">
        <v>1081</v>
      </c>
    </row>
    <row r="21" spans="1:12" ht="15" customHeight="1" x14ac:dyDescent="0.25">
      <c r="A21" s="21">
        <v>44333</v>
      </c>
      <c r="B21" s="22">
        <v>0</v>
      </c>
      <c r="C21" s="22">
        <v>6</v>
      </c>
      <c r="D21" s="2">
        <f t="shared" si="0"/>
        <v>-6</v>
      </c>
      <c r="E21" s="23"/>
      <c r="F21" s="23"/>
      <c r="G21" s="23"/>
      <c r="H21" s="23"/>
      <c r="I21" s="23"/>
      <c r="J21" s="23"/>
      <c r="K21" s="25" t="s">
        <v>1082</v>
      </c>
      <c r="L21" s="27" t="s">
        <v>1083</v>
      </c>
    </row>
    <row r="22" spans="1:12" ht="15" customHeight="1" x14ac:dyDescent="0.25">
      <c r="A22" s="17">
        <v>44334</v>
      </c>
      <c r="B22" s="18">
        <v>0</v>
      </c>
      <c r="C22" s="18">
        <v>2</v>
      </c>
      <c r="D22" s="2">
        <f t="shared" si="0"/>
        <v>-2</v>
      </c>
      <c r="E22" s="2"/>
      <c r="F22" s="2"/>
      <c r="G22" s="2"/>
      <c r="H22" s="2"/>
      <c r="I22" s="2"/>
      <c r="J22" s="2"/>
      <c r="K22" s="19" t="s">
        <v>1085</v>
      </c>
      <c r="L22" s="27" t="s">
        <v>1084</v>
      </c>
    </row>
    <row r="23" spans="1:12" ht="15" customHeight="1" x14ac:dyDescent="0.25">
      <c r="A23" s="17">
        <v>44334</v>
      </c>
      <c r="B23" s="18">
        <v>0</v>
      </c>
      <c r="C23" s="18">
        <v>0</v>
      </c>
      <c r="D23" s="2">
        <f t="shared" si="0"/>
        <v>0</v>
      </c>
      <c r="E23" s="2">
        <v>25</v>
      </c>
      <c r="F23" s="2"/>
      <c r="G23" s="2"/>
      <c r="H23" s="2"/>
      <c r="I23" s="2"/>
      <c r="J23" s="2"/>
      <c r="K23" s="19" t="s">
        <v>107</v>
      </c>
      <c r="L23" s="53" t="s">
        <v>1086</v>
      </c>
    </row>
    <row r="24" spans="1:12" ht="15" customHeight="1" x14ac:dyDescent="0.25">
      <c r="A24" s="17">
        <v>44334</v>
      </c>
      <c r="B24" s="18">
        <v>4</v>
      </c>
      <c r="C24" s="18">
        <v>4</v>
      </c>
      <c r="D24" s="2">
        <f t="shared" si="0"/>
        <v>0</v>
      </c>
      <c r="E24" s="2">
        <v>4</v>
      </c>
      <c r="F24" s="2"/>
      <c r="G24" s="2"/>
      <c r="H24" s="2"/>
      <c r="I24" s="2"/>
      <c r="J24" s="2"/>
      <c r="K24" s="19" t="s">
        <v>1087</v>
      </c>
    </row>
    <row r="25" spans="1:12" ht="52.5" customHeight="1" x14ac:dyDescent="0.25">
      <c r="A25" s="17">
        <v>44335</v>
      </c>
      <c r="B25" s="18">
        <v>25</v>
      </c>
      <c r="C25" s="18">
        <v>0</v>
      </c>
      <c r="D25" s="2">
        <f t="shared" si="0"/>
        <v>25</v>
      </c>
      <c r="E25" s="2"/>
      <c r="F25" s="2"/>
      <c r="G25" s="2"/>
      <c r="H25" s="2"/>
      <c r="I25" s="2"/>
      <c r="J25" s="2"/>
      <c r="K25" s="19" t="s">
        <v>1089</v>
      </c>
      <c r="L25" s="27" t="s">
        <v>1088</v>
      </c>
    </row>
    <row r="26" spans="1:12" ht="15" customHeight="1" x14ac:dyDescent="0.25">
      <c r="A26" s="17">
        <v>44336</v>
      </c>
      <c r="B26" s="18">
        <v>0</v>
      </c>
      <c r="C26" s="18">
        <v>2</v>
      </c>
      <c r="D26" s="2">
        <f t="shared" si="0"/>
        <v>-2</v>
      </c>
      <c r="E26" s="2"/>
      <c r="F26" s="2"/>
      <c r="G26" s="2"/>
      <c r="H26" s="2"/>
      <c r="I26" s="2"/>
      <c r="J26" s="2"/>
      <c r="K26" s="20" t="s">
        <v>1090</v>
      </c>
      <c r="L26" s="27" t="s">
        <v>1091</v>
      </c>
    </row>
    <row r="27" spans="1:12" ht="48.75" customHeight="1" x14ac:dyDescent="0.25">
      <c r="A27" s="17">
        <v>44336</v>
      </c>
      <c r="B27" s="18">
        <v>0</v>
      </c>
      <c r="C27" s="18">
        <v>21</v>
      </c>
      <c r="D27" s="2">
        <f t="shared" si="0"/>
        <v>-21</v>
      </c>
      <c r="E27" s="2"/>
      <c r="F27" s="2"/>
      <c r="G27" s="2"/>
      <c r="H27" s="2"/>
      <c r="I27" s="2"/>
      <c r="J27" s="2"/>
      <c r="K27" s="19" t="s">
        <v>1092</v>
      </c>
    </row>
    <row r="28" spans="1:12" ht="51" customHeight="1" x14ac:dyDescent="0.25">
      <c r="A28" s="17">
        <v>44337</v>
      </c>
      <c r="B28" s="18">
        <v>0</v>
      </c>
      <c r="C28" s="18">
        <v>21</v>
      </c>
      <c r="D28" s="2">
        <f t="shared" si="0"/>
        <v>-21</v>
      </c>
      <c r="E28" s="2"/>
      <c r="F28" s="2"/>
      <c r="G28" s="2"/>
      <c r="H28" s="2"/>
      <c r="I28" s="2"/>
      <c r="J28" s="2"/>
      <c r="K28" s="19" t="s">
        <v>1093</v>
      </c>
    </row>
    <row r="29" spans="1:12" x14ac:dyDescent="0.25">
      <c r="A29" s="17">
        <v>44336</v>
      </c>
      <c r="B29" s="18">
        <v>5</v>
      </c>
      <c r="C29" s="18">
        <v>0</v>
      </c>
      <c r="D29" s="2">
        <f t="shared" si="0"/>
        <v>5</v>
      </c>
      <c r="E29" s="2"/>
      <c r="F29" s="2"/>
      <c r="G29" s="2"/>
      <c r="H29" s="2"/>
      <c r="I29" s="2"/>
      <c r="J29" s="2"/>
      <c r="K29" s="19" t="s">
        <v>1094</v>
      </c>
    </row>
    <row r="30" spans="1:12" x14ac:dyDescent="0.25">
      <c r="A30" s="17">
        <v>44337</v>
      </c>
      <c r="B30" s="18">
        <v>0</v>
      </c>
      <c r="C30" s="18">
        <v>0</v>
      </c>
      <c r="D30" s="2">
        <f t="shared" si="0"/>
        <v>0</v>
      </c>
      <c r="E30" s="2">
        <v>7</v>
      </c>
      <c r="F30" s="2"/>
      <c r="G30" s="2"/>
      <c r="H30" s="2"/>
      <c r="I30" s="2"/>
      <c r="J30" s="2"/>
      <c r="K30" s="19" t="s">
        <v>107</v>
      </c>
      <c r="L30" s="53" t="s">
        <v>1095</v>
      </c>
    </row>
    <row r="31" spans="1:12" x14ac:dyDescent="0.25">
      <c r="A31" s="17">
        <v>44337</v>
      </c>
      <c r="B31" s="18">
        <v>0</v>
      </c>
      <c r="C31" s="18">
        <v>0</v>
      </c>
      <c r="D31" s="2">
        <f t="shared" si="0"/>
        <v>0</v>
      </c>
      <c r="E31" s="2">
        <v>13</v>
      </c>
      <c r="F31" s="2"/>
      <c r="G31" s="2"/>
      <c r="H31" s="2"/>
      <c r="I31" s="2"/>
      <c r="J31" s="2"/>
      <c r="K31" s="19" t="s">
        <v>107</v>
      </c>
      <c r="L31" s="53" t="s">
        <v>1096</v>
      </c>
    </row>
    <row r="32" spans="1:12" ht="30" x14ac:dyDescent="0.25">
      <c r="A32" s="17">
        <v>44337</v>
      </c>
      <c r="B32" s="18">
        <v>2</v>
      </c>
      <c r="C32" s="18">
        <v>2</v>
      </c>
      <c r="D32" s="2">
        <f>B32-C32</f>
        <v>0</v>
      </c>
      <c r="E32" s="2">
        <v>2</v>
      </c>
      <c r="F32" s="2"/>
      <c r="G32" s="2"/>
      <c r="H32" s="2"/>
      <c r="I32" s="2"/>
      <c r="J32" s="2"/>
      <c r="K32" s="19" t="s">
        <v>1097</v>
      </c>
    </row>
    <row r="33" spans="1:12" ht="30" x14ac:dyDescent="0.25">
      <c r="A33" s="17">
        <v>44337</v>
      </c>
      <c r="B33" s="18">
        <v>16</v>
      </c>
      <c r="C33" s="18">
        <v>0</v>
      </c>
      <c r="D33" s="2">
        <f t="shared" si="0"/>
        <v>16</v>
      </c>
      <c r="E33" s="2"/>
      <c r="F33" s="2"/>
      <c r="G33" s="2"/>
      <c r="H33" s="2"/>
      <c r="I33" s="2"/>
      <c r="J33" s="2"/>
      <c r="K33" s="19" t="s">
        <v>1098</v>
      </c>
      <c r="L33" s="27" t="s">
        <v>1099</v>
      </c>
    </row>
    <row r="34" spans="1:12" x14ac:dyDescent="0.25">
      <c r="A34" s="17">
        <v>44337</v>
      </c>
      <c r="B34" s="18">
        <v>7</v>
      </c>
      <c r="C34" s="18">
        <v>0</v>
      </c>
      <c r="D34" s="2">
        <f t="shared" si="0"/>
        <v>7</v>
      </c>
      <c r="E34" s="2"/>
      <c r="F34" s="2"/>
      <c r="G34" s="2"/>
      <c r="H34" s="2"/>
      <c r="I34" s="2"/>
      <c r="J34" s="2"/>
      <c r="K34" s="20" t="s">
        <v>1102</v>
      </c>
      <c r="L34" s="27" t="s">
        <v>1100</v>
      </c>
    </row>
    <row r="35" spans="1:12" ht="38.25" customHeight="1" x14ac:dyDescent="0.25">
      <c r="A35" s="17">
        <v>44337</v>
      </c>
      <c r="B35" s="18">
        <v>13</v>
      </c>
      <c r="C35" s="18">
        <v>0</v>
      </c>
      <c r="D35" s="2">
        <f t="shared" si="0"/>
        <v>13</v>
      </c>
      <c r="E35" s="2"/>
      <c r="F35" s="2"/>
      <c r="G35" s="2"/>
      <c r="H35" s="2"/>
      <c r="I35" s="2"/>
      <c r="J35" s="2"/>
      <c r="K35" s="19" t="s">
        <v>1103</v>
      </c>
      <c r="L35" s="27" t="s">
        <v>1101</v>
      </c>
    </row>
    <row r="36" spans="1:12" x14ac:dyDescent="0.25">
      <c r="A36" s="17">
        <v>44341</v>
      </c>
      <c r="B36" s="18">
        <v>0</v>
      </c>
      <c r="C36" s="18">
        <v>4</v>
      </c>
      <c r="D36" s="2">
        <f t="shared" si="0"/>
        <v>-4</v>
      </c>
      <c r="E36" s="2"/>
      <c r="F36" s="2"/>
      <c r="G36" s="2"/>
      <c r="H36" s="2"/>
      <c r="I36" s="2"/>
      <c r="J36" s="2"/>
      <c r="K36" s="20" t="s">
        <v>1104</v>
      </c>
    </row>
    <row r="37" spans="1:12" x14ac:dyDescent="0.25">
      <c r="A37" s="17">
        <v>44341</v>
      </c>
      <c r="B37" s="18">
        <v>0</v>
      </c>
      <c r="C37" s="18">
        <v>0</v>
      </c>
      <c r="D37" s="2">
        <f t="shared" si="0"/>
        <v>0</v>
      </c>
      <c r="E37" s="2">
        <v>8</v>
      </c>
      <c r="F37" s="2"/>
      <c r="G37" s="2"/>
      <c r="H37" s="2"/>
      <c r="I37" s="2"/>
      <c r="J37" s="2"/>
      <c r="K37" s="19" t="s">
        <v>107</v>
      </c>
      <c r="L37" s="53" t="s">
        <v>1105</v>
      </c>
    </row>
    <row r="38" spans="1:12" x14ac:dyDescent="0.25">
      <c r="A38" s="17">
        <v>44342</v>
      </c>
      <c r="B38" s="18">
        <v>0</v>
      </c>
      <c r="C38" s="18">
        <v>0</v>
      </c>
      <c r="D38" s="2">
        <f t="shared" si="0"/>
        <v>0</v>
      </c>
      <c r="E38" s="2">
        <v>29</v>
      </c>
      <c r="F38" s="2"/>
      <c r="G38" s="2"/>
      <c r="H38" s="2"/>
      <c r="I38" s="2"/>
      <c r="J38" s="2"/>
      <c r="K38" s="19" t="s">
        <v>107</v>
      </c>
      <c r="L38" s="53" t="s">
        <v>1106</v>
      </c>
    </row>
    <row r="39" spans="1:12" x14ac:dyDescent="0.25">
      <c r="A39" s="17">
        <v>44342</v>
      </c>
      <c r="B39" s="18">
        <v>0</v>
      </c>
      <c r="C39" s="18">
        <v>9</v>
      </c>
      <c r="D39" s="2">
        <f t="shared" si="0"/>
        <v>-9</v>
      </c>
      <c r="E39" s="2"/>
      <c r="F39" s="2"/>
      <c r="G39" s="2"/>
      <c r="H39" s="2"/>
      <c r="I39" s="2"/>
      <c r="J39" s="2"/>
      <c r="K39" s="20" t="s">
        <v>1107</v>
      </c>
      <c r="L39" s="27" t="s">
        <v>1108</v>
      </c>
    </row>
    <row r="40" spans="1:12" x14ac:dyDescent="0.25">
      <c r="A40" s="17">
        <v>44342</v>
      </c>
      <c r="B40" s="18">
        <v>8</v>
      </c>
      <c r="C40" s="18">
        <v>0</v>
      </c>
      <c r="D40" s="2">
        <f t="shared" si="0"/>
        <v>8</v>
      </c>
      <c r="E40" s="2"/>
      <c r="F40" s="2"/>
      <c r="G40" s="2"/>
      <c r="H40" s="2"/>
      <c r="I40" s="2"/>
      <c r="J40" s="2"/>
      <c r="K40" s="19" t="s">
        <v>1110</v>
      </c>
      <c r="L40" s="27" t="s">
        <v>1109</v>
      </c>
    </row>
    <row r="41" spans="1:12" ht="60.75" customHeight="1" x14ac:dyDescent="0.25">
      <c r="A41" s="17">
        <v>44342</v>
      </c>
      <c r="B41" s="18">
        <v>29</v>
      </c>
      <c r="C41" s="18">
        <v>0</v>
      </c>
      <c r="D41" s="2">
        <f t="shared" si="0"/>
        <v>29</v>
      </c>
      <c r="E41" s="2"/>
      <c r="F41" s="2"/>
      <c r="G41" s="2"/>
      <c r="H41" s="2"/>
      <c r="I41" s="2"/>
      <c r="J41" s="2"/>
      <c r="K41" s="19" t="s">
        <v>1111</v>
      </c>
      <c r="L41" s="27" t="s">
        <v>1112</v>
      </c>
    </row>
    <row r="42" spans="1:12" ht="68.25" customHeight="1" x14ac:dyDescent="0.25">
      <c r="A42" s="17">
        <v>44344</v>
      </c>
      <c r="B42" s="18">
        <v>0</v>
      </c>
      <c r="C42" s="18">
        <v>36</v>
      </c>
      <c r="D42" s="2">
        <f t="shared" si="0"/>
        <v>-36</v>
      </c>
      <c r="E42" s="2"/>
      <c r="F42" s="2"/>
      <c r="G42" s="2"/>
      <c r="H42" s="2"/>
      <c r="I42" s="2"/>
      <c r="J42" s="2"/>
      <c r="K42" s="19" t="s">
        <v>1113</v>
      </c>
    </row>
    <row r="43" spans="1:12" x14ac:dyDescent="0.25">
      <c r="A43" s="17">
        <v>44344</v>
      </c>
      <c r="B43" s="18">
        <v>0</v>
      </c>
      <c r="C43" s="18">
        <v>1</v>
      </c>
      <c r="D43" s="2">
        <f t="shared" si="0"/>
        <v>-1</v>
      </c>
      <c r="E43" s="2"/>
      <c r="F43" s="2"/>
      <c r="G43" s="2"/>
      <c r="H43" s="2"/>
      <c r="I43" s="2"/>
      <c r="J43" s="2"/>
      <c r="K43" s="20">
        <v>558546</v>
      </c>
      <c r="L43" s="27" t="s">
        <v>1114</v>
      </c>
    </row>
    <row r="44" spans="1:12" x14ac:dyDescent="0.25">
      <c r="A44" s="17">
        <v>44347</v>
      </c>
      <c r="B44" s="18">
        <v>0</v>
      </c>
      <c r="C44" s="18">
        <v>0</v>
      </c>
      <c r="D44" s="2">
        <f t="shared" si="0"/>
        <v>0</v>
      </c>
      <c r="E44" s="2">
        <v>7</v>
      </c>
      <c r="F44" s="2"/>
      <c r="G44" s="2"/>
      <c r="H44" s="2"/>
      <c r="I44" s="2"/>
      <c r="J44" s="2"/>
      <c r="K44" s="19" t="s">
        <v>107</v>
      </c>
      <c r="L44" s="53" t="s">
        <v>1115</v>
      </c>
    </row>
  </sheetData>
  <sheetProtection algorithmName="SHA-512" hashValue="m1CrlKD4e+nWrfTWGhcPDJCnqTuD8X1j2f/ORAVlVOmF2C9C7zlVoRs80j/6CU1PxqrBaDxRp2y+NQt8dbl5Kw==" saltValue="uMf8E2DuMPuE7KQa8APXOg==" spinCount="100000" sheet="1" objects="1" scenarios="1" selectLockedCells="1" selectUnlockedCells="1"/>
  <customSheetViews>
    <customSheetView guid="{E5A7B818-645B-417C-A128-9FE559D9B124}" fitToPage="1">
      <pane ySplit="6" topLeftCell="A25" activePane="bottomLeft" state="frozen"/>
      <selection pane="bottomLeft" activeCell="G45" sqref="G45"/>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27" priority="1" operator="lessThan">
      <formula>0</formula>
    </cfRule>
    <cfRule type="cellIs" dxfId="12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L57"/>
  <sheetViews>
    <sheetView workbookViewId="0">
      <pane ySplit="6" topLeftCell="A16" activePane="bottomLeft" state="frozen"/>
      <selection pane="bottomLeft" activeCell="K16" sqref="A1:XFD1048576"/>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118</v>
      </c>
    </row>
    <row r="3" spans="1:12" ht="15.75" thickBot="1" x14ac:dyDescent="0.3">
      <c r="A3" s="5"/>
      <c r="B3" s="2"/>
      <c r="C3" s="2"/>
      <c r="D3" s="2"/>
      <c r="E3" s="2"/>
      <c r="F3" s="2">
        <f>'05.21'!F6</f>
        <v>484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476</v>
      </c>
      <c r="G6" s="30">
        <f>SUM(B:B)</f>
        <v>221</v>
      </c>
      <c r="H6" s="30">
        <f>SUM(C:C)</f>
        <v>229</v>
      </c>
      <c r="I6" s="30"/>
      <c r="J6" s="33">
        <f>SUM(G6:H6)+SUM(E:E)</f>
        <v>656</v>
      </c>
      <c r="K6" s="34"/>
      <c r="L6" s="50">
        <f>J6/K1</f>
        <v>1.1043771043771045</v>
      </c>
    </row>
    <row r="7" spans="1:12" ht="15" customHeight="1" x14ac:dyDescent="0.25">
      <c r="A7" s="17">
        <v>44348</v>
      </c>
      <c r="B7" s="18">
        <v>7</v>
      </c>
      <c r="C7" s="18">
        <v>0</v>
      </c>
      <c r="D7" s="2">
        <f t="shared" ref="D7:D57" si="0">B7-C7</f>
        <v>7</v>
      </c>
      <c r="E7" s="2"/>
      <c r="F7" s="2"/>
      <c r="G7" s="2"/>
      <c r="H7" s="2"/>
      <c r="I7" s="2"/>
      <c r="J7" s="2"/>
      <c r="K7" s="19" t="s">
        <v>1116</v>
      </c>
    </row>
    <row r="8" spans="1:12" ht="15" customHeight="1" x14ac:dyDescent="0.25">
      <c r="A8" s="17">
        <v>44348</v>
      </c>
      <c r="B8" s="18">
        <v>0</v>
      </c>
      <c r="C8" s="18">
        <v>0</v>
      </c>
      <c r="D8" s="2">
        <f t="shared" si="0"/>
        <v>0</v>
      </c>
      <c r="E8" s="2">
        <v>12</v>
      </c>
      <c r="F8" s="2"/>
      <c r="G8" s="2"/>
      <c r="H8" s="2"/>
      <c r="I8" s="2"/>
      <c r="J8" s="2"/>
      <c r="K8" s="19" t="s">
        <v>107</v>
      </c>
      <c r="L8" s="53" t="s">
        <v>1117</v>
      </c>
    </row>
    <row r="9" spans="1:12" ht="15" customHeight="1" x14ac:dyDescent="0.25">
      <c r="A9" s="17">
        <v>44348</v>
      </c>
      <c r="B9" s="18">
        <v>0</v>
      </c>
      <c r="C9" s="18">
        <v>0</v>
      </c>
      <c r="D9" s="2">
        <f t="shared" si="0"/>
        <v>0</v>
      </c>
      <c r="E9" s="2">
        <v>21</v>
      </c>
      <c r="F9" s="2"/>
      <c r="G9" s="2"/>
      <c r="H9" s="2"/>
      <c r="I9" s="2"/>
      <c r="J9" s="2"/>
      <c r="K9" s="19" t="s">
        <v>107</v>
      </c>
      <c r="L9" s="53" t="s">
        <v>1118</v>
      </c>
    </row>
    <row r="10" spans="1:12" ht="15" customHeight="1" x14ac:dyDescent="0.25">
      <c r="A10" s="17">
        <v>44348</v>
      </c>
      <c r="B10" s="18">
        <v>0</v>
      </c>
      <c r="C10" s="18">
        <v>0</v>
      </c>
      <c r="D10" s="2">
        <f t="shared" si="0"/>
        <v>0</v>
      </c>
      <c r="E10" s="2">
        <v>20</v>
      </c>
      <c r="F10" s="2"/>
      <c r="G10" s="2"/>
      <c r="H10" s="2"/>
      <c r="I10" s="2"/>
      <c r="J10" s="2"/>
      <c r="K10" s="19" t="s">
        <v>107</v>
      </c>
      <c r="L10" s="53" t="s">
        <v>1119</v>
      </c>
    </row>
    <row r="11" spans="1:12" ht="38.25" customHeight="1" x14ac:dyDescent="0.25">
      <c r="A11" s="17">
        <v>44349</v>
      </c>
      <c r="B11" s="18">
        <v>12</v>
      </c>
      <c r="C11" s="18">
        <v>0</v>
      </c>
      <c r="D11" s="2">
        <f t="shared" si="0"/>
        <v>12</v>
      </c>
      <c r="E11" s="2"/>
      <c r="F11" s="2"/>
      <c r="G11" s="2"/>
      <c r="H11" s="2"/>
      <c r="I11" s="2"/>
      <c r="J11" s="2"/>
      <c r="K11" s="19" t="s">
        <v>1121</v>
      </c>
      <c r="L11" s="53" t="s">
        <v>1120</v>
      </c>
    </row>
    <row r="12" spans="1:12" ht="54" customHeight="1" x14ac:dyDescent="0.25">
      <c r="A12" s="17">
        <v>44349</v>
      </c>
      <c r="B12" s="18">
        <v>21</v>
      </c>
      <c r="C12" s="18">
        <v>0</v>
      </c>
      <c r="D12" s="2">
        <f t="shared" si="0"/>
        <v>21</v>
      </c>
      <c r="E12" s="2"/>
      <c r="F12" s="2"/>
      <c r="G12" s="2"/>
      <c r="H12" s="2"/>
      <c r="I12" s="2"/>
      <c r="J12" s="2"/>
      <c r="K12" s="19" t="s">
        <v>1123</v>
      </c>
      <c r="L12" s="53" t="s">
        <v>1122</v>
      </c>
    </row>
    <row r="13" spans="1:12" ht="37.5" customHeight="1" x14ac:dyDescent="0.25">
      <c r="A13" s="17">
        <v>44349</v>
      </c>
      <c r="B13" s="18">
        <v>20</v>
      </c>
      <c r="C13" s="18">
        <v>0</v>
      </c>
      <c r="D13" s="2">
        <f t="shared" si="0"/>
        <v>20</v>
      </c>
      <c r="E13" s="2"/>
      <c r="F13" s="2"/>
      <c r="G13" s="2"/>
      <c r="H13" s="2"/>
      <c r="I13" s="2"/>
      <c r="J13" s="2"/>
      <c r="K13" s="19" t="s">
        <v>1124</v>
      </c>
      <c r="L13" s="53" t="s">
        <v>1125</v>
      </c>
    </row>
    <row r="14" spans="1:12" ht="15" customHeight="1" x14ac:dyDescent="0.25">
      <c r="A14" s="17">
        <v>44349</v>
      </c>
      <c r="B14" s="18">
        <v>2</v>
      </c>
      <c r="C14" s="18">
        <v>2</v>
      </c>
      <c r="D14" s="2">
        <f t="shared" si="0"/>
        <v>0</v>
      </c>
      <c r="E14" s="2">
        <v>2</v>
      </c>
      <c r="F14" s="2"/>
      <c r="G14" s="2"/>
      <c r="H14" s="2"/>
      <c r="I14" s="2"/>
      <c r="J14" s="2"/>
      <c r="K14" s="19" t="s">
        <v>1126</v>
      </c>
    </row>
    <row r="15" spans="1:12" ht="15" customHeight="1" x14ac:dyDescent="0.25">
      <c r="A15" s="17">
        <v>44350</v>
      </c>
      <c r="B15" s="18">
        <v>0</v>
      </c>
      <c r="C15" s="18">
        <v>1</v>
      </c>
      <c r="D15" s="2">
        <f t="shared" si="0"/>
        <v>-1</v>
      </c>
      <c r="E15" s="2"/>
      <c r="F15" s="2"/>
      <c r="G15" s="2"/>
      <c r="H15" s="2"/>
      <c r="I15" s="2"/>
      <c r="J15" s="2"/>
      <c r="K15" s="19">
        <v>558597</v>
      </c>
    </row>
    <row r="16" spans="1:12" ht="84.75" customHeight="1" x14ac:dyDescent="0.25">
      <c r="A16" s="17">
        <v>44350</v>
      </c>
      <c r="B16" s="18">
        <v>0</v>
      </c>
      <c r="C16" s="18">
        <v>45</v>
      </c>
      <c r="D16" s="2">
        <f t="shared" si="0"/>
        <v>-45</v>
      </c>
      <c r="E16" s="2"/>
      <c r="F16" s="2"/>
      <c r="G16" s="2"/>
      <c r="H16" s="2"/>
      <c r="I16" s="2"/>
      <c r="J16" s="2"/>
      <c r="K16" s="19" t="s">
        <v>1127</v>
      </c>
    </row>
    <row r="17" spans="1:12" ht="15" customHeight="1" x14ac:dyDescent="0.25">
      <c r="A17" s="17">
        <v>44350</v>
      </c>
      <c r="B17" s="18">
        <v>0</v>
      </c>
      <c r="C17" s="18">
        <v>0</v>
      </c>
      <c r="D17" s="2">
        <f t="shared" si="0"/>
        <v>0</v>
      </c>
      <c r="E17" s="2">
        <v>24</v>
      </c>
      <c r="F17" s="2"/>
      <c r="G17" s="2"/>
      <c r="H17" s="2"/>
      <c r="I17" s="2"/>
      <c r="J17" s="2"/>
      <c r="K17" s="19" t="s">
        <v>107</v>
      </c>
      <c r="L17" s="53" t="s">
        <v>1128</v>
      </c>
    </row>
    <row r="18" spans="1:12" ht="37.5" customHeight="1" x14ac:dyDescent="0.25">
      <c r="A18" s="17">
        <v>44350</v>
      </c>
      <c r="B18" s="18">
        <v>12</v>
      </c>
      <c r="C18" s="18">
        <v>0</v>
      </c>
      <c r="D18" s="2">
        <f t="shared" si="0"/>
        <v>12</v>
      </c>
      <c r="E18" s="2"/>
      <c r="F18" s="2"/>
      <c r="G18" s="2"/>
      <c r="H18" s="2"/>
      <c r="I18" s="2"/>
      <c r="J18" s="2"/>
      <c r="K18" s="19" t="s">
        <v>1129</v>
      </c>
    </row>
    <row r="19" spans="1:12" ht="15" customHeight="1" x14ac:dyDescent="0.25">
      <c r="A19" s="17">
        <v>44354</v>
      </c>
      <c r="B19" s="18">
        <v>0</v>
      </c>
      <c r="C19" s="18">
        <v>0</v>
      </c>
      <c r="D19" s="2">
        <f t="shared" si="0"/>
        <v>0</v>
      </c>
      <c r="E19" s="2">
        <v>10</v>
      </c>
      <c r="F19" s="2"/>
      <c r="G19" s="2"/>
      <c r="H19" s="2"/>
      <c r="I19" s="2"/>
      <c r="J19" s="2"/>
      <c r="K19" s="19" t="s">
        <v>107</v>
      </c>
      <c r="L19" s="53" t="s">
        <v>1130</v>
      </c>
    </row>
    <row r="20" spans="1:12" ht="54.75" customHeight="1" x14ac:dyDescent="0.25">
      <c r="A20" s="17">
        <v>44354</v>
      </c>
      <c r="B20" s="18">
        <v>24</v>
      </c>
      <c r="C20" s="18">
        <v>0</v>
      </c>
      <c r="D20" s="2">
        <f t="shared" si="0"/>
        <v>24</v>
      </c>
      <c r="E20" s="2"/>
      <c r="F20" s="2"/>
      <c r="G20" s="2"/>
      <c r="H20" s="2"/>
      <c r="I20" s="2"/>
      <c r="J20" s="2"/>
      <c r="K20" s="19" t="s">
        <v>1132</v>
      </c>
      <c r="L20" s="27" t="s">
        <v>1131</v>
      </c>
    </row>
    <row r="21" spans="1:12" ht="15" customHeight="1" x14ac:dyDescent="0.25">
      <c r="A21" s="21">
        <v>44354</v>
      </c>
      <c r="B21" s="22">
        <v>10</v>
      </c>
      <c r="C21" s="22">
        <v>0</v>
      </c>
      <c r="D21" s="2">
        <f t="shared" si="0"/>
        <v>10</v>
      </c>
      <c r="E21" s="23"/>
      <c r="F21" s="23"/>
      <c r="G21" s="23"/>
      <c r="H21" s="23"/>
      <c r="I21" s="23"/>
      <c r="J21" s="23"/>
      <c r="K21" s="25" t="s">
        <v>1134</v>
      </c>
      <c r="L21" s="53" t="s">
        <v>1133</v>
      </c>
    </row>
    <row r="22" spans="1:12" ht="15" customHeight="1" x14ac:dyDescent="0.25">
      <c r="A22" s="17">
        <v>44355</v>
      </c>
      <c r="B22" s="18">
        <v>0</v>
      </c>
      <c r="C22" s="18">
        <v>7</v>
      </c>
      <c r="D22" s="2">
        <f t="shared" si="0"/>
        <v>-7</v>
      </c>
      <c r="E22" s="2"/>
      <c r="F22" s="2"/>
      <c r="G22" s="2"/>
      <c r="H22" s="2"/>
      <c r="I22" s="2"/>
      <c r="J22" s="2"/>
      <c r="K22" s="19" t="s">
        <v>1135</v>
      </c>
      <c r="L22" s="27" t="s">
        <v>1136</v>
      </c>
    </row>
    <row r="23" spans="1:12" ht="15" customHeight="1" x14ac:dyDescent="0.25">
      <c r="A23" s="17">
        <v>44355</v>
      </c>
      <c r="B23" s="18">
        <v>2</v>
      </c>
      <c r="C23" s="18">
        <v>0</v>
      </c>
      <c r="D23" s="2">
        <f t="shared" si="0"/>
        <v>2</v>
      </c>
      <c r="E23" s="2"/>
      <c r="F23" s="2"/>
      <c r="G23" s="2"/>
      <c r="H23" s="2"/>
      <c r="I23" s="2"/>
      <c r="J23" s="2"/>
      <c r="K23" s="45" t="s">
        <v>1137</v>
      </c>
    </row>
    <row r="24" spans="1:12" ht="15" customHeight="1" x14ac:dyDescent="0.25">
      <c r="A24" s="17">
        <v>44355</v>
      </c>
      <c r="B24" s="18">
        <v>3</v>
      </c>
      <c r="C24" s="18">
        <v>3</v>
      </c>
      <c r="D24" s="2">
        <f t="shared" si="0"/>
        <v>0</v>
      </c>
      <c r="E24" s="2">
        <v>3</v>
      </c>
      <c r="F24" s="2"/>
      <c r="G24" s="2"/>
      <c r="H24" s="2"/>
      <c r="I24" s="2"/>
      <c r="J24" s="2"/>
      <c r="K24" s="19" t="s">
        <v>1138</v>
      </c>
    </row>
    <row r="25" spans="1:12" ht="39" customHeight="1" x14ac:dyDescent="0.25">
      <c r="A25" s="17">
        <v>44356</v>
      </c>
      <c r="B25" s="18">
        <v>0</v>
      </c>
      <c r="C25" s="18">
        <v>11</v>
      </c>
      <c r="D25" s="2">
        <f t="shared" si="0"/>
        <v>-11</v>
      </c>
      <c r="E25" s="2"/>
      <c r="F25" s="2"/>
      <c r="G25" s="2"/>
      <c r="H25" s="2"/>
      <c r="I25" s="2"/>
      <c r="J25" s="2"/>
      <c r="K25" s="19" t="s">
        <v>1139</v>
      </c>
    </row>
    <row r="26" spans="1:12" ht="70.5" customHeight="1" x14ac:dyDescent="0.25">
      <c r="A26" s="17">
        <v>44357</v>
      </c>
      <c r="B26" s="18">
        <v>0</v>
      </c>
      <c r="C26" s="18">
        <v>40</v>
      </c>
      <c r="D26" s="2">
        <f t="shared" si="0"/>
        <v>-40</v>
      </c>
      <c r="E26" s="2"/>
      <c r="F26" s="2"/>
      <c r="G26" s="2"/>
      <c r="H26" s="2"/>
      <c r="I26" s="2"/>
      <c r="J26" s="2"/>
      <c r="K26" s="19" t="s">
        <v>1140</v>
      </c>
      <c r="L26" s="27" t="s">
        <v>1142</v>
      </c>
    </row>
    <row r="27" spans="1:12" x14ac:dyDescent="0.25">
      <c r="A27" s="17">
        <v>44357</v>
      </c>
      <c r="B27" s="18">
        <v>0</v>
      </c>
      <c r="C27" s="18">
        <v>7</v>
      </c>
      <c r="D27" s="2">
        <f t="shared" si="0"/>
        <v>-7</v>
      </c>
      <c r="E27" s="2"/>
      <c r="F27" s="2"/>
      <c r="G27" s="2"/>
      <c r="H27" s="2"/>
      <c r="I27" s="2"/>
      <c r="J27" s="2"/>
      <c r="K27" s="20" t="s">
        <v>1141</v>
      </c>
      <c r="L27" s="27" t="s">
        <v>1142</v>
      </c>
    </row>
    <row r="28" spans="1:12" x14ac:dyDescent="0.25">
      <c r="A28" s="17">
        <v>44358</v>
      </c>
      <c r="B28" s="18">
        <v>0</v>
      </c>
      <c r="C28" s="18">
        <v>0</v>
      </c>
      <c r="D28" s="2">
        <f t="shared" si="0"/>
        <v>0</v>
      </c>
      <c r="E28" s="2">
        <v>32</v>
      </c>
      <c r="F28" s="2"/>
      <c r="G28" s="2"/>
      <c r="H28" s="2"/>
      <c r="I28" s="2"/>
      <c r="J28" s="2"/>
      <c r="K28" s="19" t="s">
        <v>107</v>
      </c>
      <c r="L28" s="53" t="s">
        <v>1143</v>
      </c>
    </row>
    <row r="29" spans="1:12" x14ac:dyDescent="0.25">
      <c r="A29" s="17">
        <v>44358</v>
      </c>
      <c r="B29" s="18">
        <v>0</v>
      </c>
      <c r="C29" s="18">
        <v>0</v>
      </c>
      <c r="D29" s="2">
        <f t="shared" si="0"/>
        <v>0</v>
      </c>
      <c r="E29" s="2">
        <v>5</v>
      </c>
      <c r="F29" s="2"/>
      <c r="G29" s="2"/>
      <c r="H29" s="2"/>
      <c r="I29" s="2"/>
      <c r="J29" s="2"/>
      <c r="K29" s="19" t="s">
        <v>107</v>
      </c>
      <c r="L29" s="53" t="s">
        <v>1144</v>
      </c>
    </row>
    <row r="30" spans="1:12" ht="60" x14ac:dyDescent="0.25">
      <c r="A30" s="17">
        <v>44361</v>
      </c>
      <c r="B30" s="18">
        <v>32</v>
      </c>
      <c r="C30" s="18">
        <v>0</v>
      </c>
      <c r="D30" s="2">
        <f t="shared" si="0"/>
        <v>32</v>
      </c>
      <c r="E30" s="2"/>
      <c r="F30" s="2"/>
      <c r="G30" s="2"/>
      <c r="H30" s="2"/>
      <c r="I30" s="2"/>
      <c r="J30" s="2"/>
      <c r="K30" s="19" t="s">
        <v>1146</v>
      </c>
      <c r="L30" s="27" t="s">
        <v>1145</v>
      </c>
    </row>
    <row r="31" spans="1:12" x14ac:dyDescent="0.25">
      <c r="A31" s="17">
        <v>44361</v>
      </c>
      <c r="B31" s="18">
        <v>5</v>
      </c>
      <c r="C31" s="18">
        <v>0</v>
      </c>
      <c r="D31" s="2">
        <f t="shared" si="0"/>
        <v>5</v>
      </c>
      <c r="E31" s="2"/>
      <c r="F31" s="2"/>
      <c r="G31" s="2"/>
      <c r="H31" s="2"/>
      <c r="I31" s="2"/>
      <c r="J31" s="2"/>
      <c r="K31" s="20" t="s">
        <v>1147</v>
      </c>
      <c r="L31" s="27" t="s">
        <v>1148</v>
      </c>
    </row>
    <row r="32" spans="1:12" x14ac:dyDescent="0.25">
      <c r="A32" s="17">
        <v>44361</v>
      </c>
      <c r="B32" s="18">
        <v>0</v>
      </c>
      <c r="C32" s="18">
        <v>4</v>
      </c>
      <c r="D32" s="2">
        <f t="shared" si="0"/>
        <v>-4</v>
      </c>
      <c r="E32" s="2"/>
      <c r="F32" s="2"/>
      <c r="G32" s="2"/>
      <c r="H32" s="2"/>
      <c r="I32" s="2"/>
      <c r="J32" s="2"/>
      <c r="K32" s="20" t="s">
        <v>1149</v>
      </c>
      <c r="L32" s="27" t="s">
        <v>1150</v>
      </c>
    </row>
    <row r="33" spans="1:12" x14ac:dyDescent="0.25">
      <c r="A33" s="17">
        <v>44362</v>
      </c>
      <c r="B33" s="18">
        <v>0</v>
      </c>
      <c r="C33" s="18">
        <v>7</v>
      </c>
      <c r="D33" s="2">
        <f t="shared" si="0"/>
        <v>-7</v>
      </c>
      <c r="E33" s="2"/>
      <c r="F33" s="2"/>
      <c r="G33" s="2"/>
      <c r="H33" s="2"/>
      <c r="I33" s="2"/>
      <c r="J33" s="2"/>
      <c r="K33" s="19" t="s">
        <v>1151</v>
      </c>
      <c r="L33" s="27" t="s">
        <v>1152</v>
      </c>
    </row>
    <row r="34" spans="1:12" x14ac:dyDescent="0.25">
      <c r="A34" s="17">
        <v>44363</v>
      </c>
      <c r="B34" s="18">
        <v>0</v>
      </c>
      <c r="C34" s="18">
        <v>5</v>
      </c>
      <c r="D34" s="2">
        <f t="shared" si="0"/>
        <v>-5</v>
      </c>
      <c r="E34" s="2"/>
      <c r="F34" s="2"/>
      <c r="G34" s="2"/>
      <c r="H34" s="2"/>
      <c r="I34" s="2"/>
      <c r="J34" s="2"/>
      <c r="K34" s="20" t="s">
        <v>1153</v>
      </c>
      <c r="L34" s="27" t="s">
        <v>1154</v>
      </c>
    </row>
    <row r="35" spans="1:12" x14ac:dyDescent="0.25">
      <c r="A35" s="17">
        <v>44363</v>
      </c>
      <c r="B35" s="18">
        <v>0</v>
      </c>
      <c r="C35" s="18">
        <v>0</v>
      </c>
      <c r="D35" s="2">
        <f t="shared" si="0"/>
        <v>0</v>
      </c>
      <c r="E35" s="2">
        <v>10</v>
      </c>
      <c r="F35" s="2"/>
      <c r="G35" s="2"/>
      <c r="H35" s="2"/>
      <c r="I35" s="2"/>
      <c r="J35" s="2"/>
      <c r="K35" s="19" t="s">
        <v>107</v>
      </c>
      <c r="L35" s="53" t="s">
        <v>1155</v>
      </c>
    </row>
    <row r="36" spans="1:12" x14ac:dyDescent="0.25">
      <c r="A36" s="17">
        <v>44364</v>
      </c>
      <c r="B36" s="18">
        <v>10</v>
      </c>
      <c r="C36" s="18">
        <v>0</v>
      </c>
      <c r="D36" s="2">
        <f t="shared" si="0"/>
        <v>10</v>
      </c>
      <c r="E36" s="2"/>
      <c r="F36" s="2"/>
      <c r="G36" s="2"/>
      <c r="H36" s="2"/>
      <c r="I36" s="2"/>
      <c r="J36" s="2"/>
      <c r="K36" s="20" t="s">
        <v>1156</v>
      </c>
      <c r="L36" s="27" t="s">
        <v>1161</v>
      </c>
    </row>
    <row r="37" spans="1:12" ht="51.75" customHeight="1" x14ac:dyDescent="0.25">
      <c r="A37" s="17">
        <v>44364</v>
      </c>
      <c r="B37" s="18">
        <v>0</v>
      </c>
      <c r="C37" s="18">
        <v>29</v>
      </c>
      <c r="D37" s="2">
        <f t="shared" si="0"/>
        <v>-29</v>
      </c>
      <c r="E37" s="2"/>
      <c r="F37" s="2"/>
      <c r="G37" s="2"/>
      <c r="H37" s="2"/>
      <c r="I37" s="2"/>
      <c r="J37" s="2"/>
      <c r="K37" s="19" t="s">
        <v>1157</v>
      </c>
    </row>
    <row r="38" spans="1:12" x14ac:dyDescent="0.25">
      <c r="A38" s="17">
        <v>44364</v>
      </c>
      <c r="B38" s="18">
        <v>4</v>
      </c>
      <c r="C38" s="18">
        <v>0</v>
      </c>
      <c r="D38" s="2">
        <f t="shared" si="0"/>
        <v>4</v>
      </c>
      <c r="E38" s="2"/>
      <c r="F38" s="2"/>
      <c r="G38" s="2"/>
      <c r="H38" s="2"/>
      <c r="I38" s="2"/>
      <c r="J38" s="2"/>
      <c r="K38" s="20" t="s">
        <v>1158</v>
      </c>
    </row>
    <row r="39" spans="1:12" x14ac:dyDescent="0.25">
      <c r="A39" s="17">
        <v>44364</v>
      </c>
      <c r="B39" s="18">
        <v>0</v>
      </c>
      <c r="C39" s="18">
        <v>2</v>
      </c>
      <c r="D39" s="2">
        <f t="shared" si="0"/>
        <v>-2</v>
      </c>
      <c r="E39" s="2"/>
      <c r="F39" s="2"/>
      <c r="G39" s="2"/>
      <c r="H39" s="2"/>
      <c r="I39" s="2"/>
      <c r="J39" s="2"/>
      <c r="K39" s="20" t="s">
        <v>1159</v>
      </c>
      <c r="L39" s="27" t="s">
        <v>1160</v>
      </c>
    </row>
    <row r="40" spans="1:12" x14ac:dyDescent="0.25">
      <c r="A40" s="17">
        <v>44365</v>
      </c>
      <c r="B40" s="18">
        <v>0</v>
      </c>
      <c r="C40" s="18">
        <v>0</v>
      </c>
      <c r="D40" s="2">
        <f t="shared" si="0"/>
        <v>0</v>
      </c>
      <c r="E40" s="2">
        <v>21</v>
      </c>
      <c r="F40" s="2"/>
      <c r="G40" s="2"/>
      <c r="H40" s="2"/>
      <c r="I40" s="2"/>
      <c r="J40" s="2"/>
      <c r="K40" s="19" t="s">
        <v>107</v>
      </c>
      <c r="L40" s="53" t="s">
        <v>1162</v>
      </c>
    </row>
    <row r="41" spans="1:12" ht="56.25" customHeight="1" x14ac:dyDescent="0.25">
      <c r="A41" s="17">
        <v>44368</v>
      </c>
      <c r="B41" s="18">
        <v>21</v>
      </c>
      <c r="C41" s="18">
        <v>0</v>
      </c>
      <c r="D41" s="2">
        <f t="shared" si="0"/>
        <v>21</v>
      </c>
      <c r="E41" s="2"/>
      <c r="F41" s="2"/>
      <c r="G41" s="2"/>
      <c r="H41" s="2"/>
      <c r="I41" s="2"/>
      <c r="J41" s="2"/>
      <c r="K41" s="19" t="s">
        <v>1163</v>
      </c>
    </row>
    <row r="42" spans="1:12" x14ac:dyDescent="0.25">
      <c r="A42" s="17">
        <v>44368</v>
      </c>
      <c r="B42" s="18">
        <v>4</v>
      </c>
      <c r="C42" s="18">
        <v>4</v>
      </c>
      <c r="D42" s="2">
        <f t="shared" si="0"/>
        <v>0</v>
      </c>
      <c r="E42" s="2">
        <v>4</v>
      </c>
      <c r="F42" s="2"/>
      <c r="G42" s="2"/>
      <c r="H42" s="2"/>
      <c r="I42" s="2"/>
      <c r="J42" s="2"/>
      <c r="K42" s="20" t="s">
        <v>1164</v>
      </c>
    </row>
    <row r="43" spans="1:12" x14ac:dyDescent="0.25">
      <c r="A43" s="17">
        <v>44369</v>
      </c>
      <c r="B43" s="18">
        <v>0</v>
      </c>
      <c r="C43" s="18">
        <v>3</v>
      </c>
      <c r="D43" s="2">
        <f t="shared" si="0"/>
        <v>-3</v>
      </c>
      <c r="E43" s="2"/>
      <c r="F43" s="2"/>
      <c r="G43" s="2"/>
      <c r="H43" s="2"/>
      <c r="I43" s="2"/>
      <c r="J43" s="2"/>
      <c r="K43" s="20" t="s">
        <v>1165</v>
      </c>
      <c r="L43" s="27" t="s">
        <v>1166</v>
      </c>
    </row>
    <row r="44" spans="1:12" x14ac:dyDescent="0.25">
      <c r="A44" s="17">
        <v>44370</v>
      </c>
      <c r="B44" s="18">
        <v>0</v>
      </c>
      <c r="C44" s="18">
        <v>1</v>
      </c>
      <c r="D44" s="2">
        <f t="shared" si="0"/>
        <v>-1</v>
      </c>
      <c r="E44" s="2"/>
      <c r="F44" s="2"/>
      <c r="G44" s="2"/>
      <c r="H44" s="2"/>
      <c r="I44" s="2"/>
      <c r="J44" s="2"/>
      <c r="K44" s="20" t="s">
        <v>1168</v>
      </c>
      <c r="L44" s="27" t="s">
        <v>1167</v>
      </c>
    </row>
    <row r="45" spans="1:12" x14ac:dyDescent="0.25">
      <c r="A45" s="17">
        <v>44370</v>
      </c>
      <c r="B45" s="18">
        <v>0</v>
      </c>
      <c r="C45" s="18">
        <v>0</v>
      </c>
      <c r="D45" s="2">
        <f t="shared" si="0"/>
        <v>0</v>
      </c>
      <c r="E45" s="90">
        <v>5</v>
      </c>
      <c r="K45" s="19" t="s">
        <v>107</v>
      </c>
      <c r="L45" s="53" t="s">
        <v>1169</v>
      </c>
    </row>
    <row r="46" spans="1:12" x14ac:dyDescent="0.25">
      <c r="A46" s="17">
        <v>44370</v>
      </c>
      <c r="B46" s="18">
        <v>5</v>
      </c>
      <c r="C46" s="18">
        <v>0</v>
      </c>
      <c r="D46" s="2">
        <f t="shared" si="0"/>
        <v>5</v>
      </c>
      <c r="K46" s="20" t="s">
        <v>1170</v>
      </c>
      <c r="L46" s="53" t="s">
        <v>1171</v>
      </c>
    </row>
    <row r="47" spans="1:12" x14ac:dyDescent="0.25">
      <c r="A47" s="17">
        <v>44371</v>
      </c>
      <c r="B47" s="18">
        <v>0</v>
      </c>
      <c r="C47" s="18">
        <v>0</v>
      </c>
      <c r="D47" s="2">
        <f t="shared" si="0"/>
        <v>0</v>
      </c>
      <c r="E47" s="90">
        <v>14</v>
      </c>
      <c r="K47" s="19" t="s">
        <v>107</v>
      </c>
      <c r="L47" s="53" t="s">
        <v>1172</v>
      </c>
    </row>
    <row r="48" spans="1:12" ht="89.25" customHeight="1" x14ac:dyDescent="0.25">
      <c r="A48" s="17">
        <v>44371</v>
      </c>
      <c r="B48" s="18">
        <v>0</v>
      </c>
      <c r="C48" s="18">
        <v>42</v>
      </c>
      <c r="D48" s="2">
        <f t="shared" si="0"/>
        <v>-42</v>
      </c>
      <c r="K48" s="85" t="s">
        <v>1173</v>
      </c>
      <c r="L48" s="27" t="s">
        <v>1174</v>
      </c>
    </row>
    <row r="49" spans="1:12" x14ac:dyDescent="0.25">
      <c r="A49" s="17">
        <v>44375</v>
      </c>
      <c r="B49" s="18">
        <v>0</v>
      </c>
      <c r="C49" s="18">
        <v>0</v>
      </c>
      <c r="D49" s="2">
        <f t="shared" si="0"/>
        <v>0</v>
      </c>
      <c r="E49" s="90">
        <v>8</v>
      </c>
      <c r="K49" s="19" t="s">
        <v>107</v>
      </c>
      <c r="L49" s="53" t="s">
        <v>1175</v>
      </c>
    </row>
    <row r="50" spans="1:12" ht="45" x14ac:dyDescent="0.25">
      <c r="A50" s="17">
        <v>44375</v>
      </c>
      <c r="B50" s="18">
        <v>14</v>
      </c>
      <c r="C50" s="18">
        <v>0</v>
      </c>
      <c r="D50" s="2">
        <f t="shared" si="0"/>
        <v>14</v>
      </c>
      <c r="K50" s="85" t="s">
        <v>1177</v>
      </c>
      <c r="L50" s="53" t="s">
        <v>1176</v>
      </c>
    </row>
    <row r="51" spans="1:12" ht="45" x14ac:dyDescent="0.25">
      <c r="A51" s="17">
        <v>44376</v>
      </c>
      <c r="B51" s="18">
        <v>0</v>
      </c>
      <c r="C51" s="18">
        <v>15</v>
      </c>
      <c r="D51" s="2">
        <f t="shared" si="0"/>
        <v>-15</v>
      </c>
      <c r="K51" s="85" t="s">
        <v>1180</v>
      </c>
    </row>
    <row r="52" spans="1:12" x14ac:dyDescent="0.25">
      <c r="A52" s="17">
        <v>44376</v>
      </c>
      <c r="B52" s="18">
        <v>4</v>
      </c>
      <c r="C52" s="18">
        <v>0</v>
      </c>
      <c r="D52" s="2">
        <f t="shared" si="0"/>
        <v>4</v>
      </c>
      <c r="K52" s="85" t="s">
        <v>1183</v>
      </c>
    </row>
    <row r="53" spans="1:12" x14ac:dyDescent="0.25">
      <c r="A53" s="17">
        <v>44376</v>
      </c>
      <c r="B53" s="18">
        <v>1</v>
      </c>
      <c r="C53" s="18">
        <v>1</v>
      </c>
      <c r="D53" s="2">
        <f t="shared" si="0"/>
        <v>0</v>
      </c>
      <c r="E53" s="90">
        <v>1</v>
      </c>
      <c r="K53" s="85" t="s">
        <v>1182</v>
      </c>
      <c r="L53" s="27" t="s">
        <v>1181</v>
      </c>
    </row>
    <row r="54" spans="1:12" x14ac:dyDescent="0.25">
      <c r="A54" s="17">
        <v>44376</v>
      </c>
      <c r="B54" s="18">
        <v>8</v>
      </c>
      <c r="C54" s="18">
        <v>0</v>
      </c>
      <c r="D54" s="2">
        <f t="shared" si="0"/>
        <v>8</v>
      </c>
      <c r="K54" s="27" t="s">
        <v>1179</v>
      </c>
      <c r="L54" s="27" t="s">
        <v>1178</v>
      </c>
    </row>
    <row r="55" spans="1:12" x14ac:dyDescent="0.25">
      <c r="A55" s="17">
        <v>44377</v>
      </c>
      <c r="B55" s="18">
        <v>0</v>
      </c>
      <c r="C55" s="18">
        <v>0</v>
      </c>
      <c r="D55" s="2">
        <f t="shared" si="0"/>
        <v>0</v>
      </c>
      <c r="E55" s="90">
        <v>14</v>
      </c>
      <c r="K55" s="19" t="s">
        <v>107</v>
      </c>
      <c r="L55" s="53" t="s">
        <v>1184</v>
      </c>
    </row>
    <row r="56" spans="1:12" x14ac:dyDescent="0.25">
      <c r="A56" s="17"/>
      <c r="D56" s="2">
        <f t="shared" si="0"/>
        <v>0</v>
      </c>
    </row>
    <row r="57" spans="1:12" x14ac:dyDescent="0.25">
      <c r="A57" s="17"/>
      <c r="D57" s="2">
        <f t="shared" si="0"/>
        <v>0</v>
      </c>
    </row>
  </sheetData>
  <sheetProtection algorithmName="SHA-512" hashValue="w7oiW1n6eay+rkDN3hVd4Nf/OZd/wQkgFV68KNP+XxCryNWsnXA72zNtxm+ZyrrIsp3QHGRebr7CUSr4/iIpbw==" saltValue="Gq+YYOl6d4zGngvhym5RxQ==" spinCount="100000" sheet="1" objects="1" scenarios="1" selectLockedCells="1" selectUnlockedCells="1"/>
  <customSheetViews>
    <customSheetView guid="{E5A7B818-645B-417C-A128-9FE559D9B124}" fitToPage="1">
      <pane ySplit="6" topLeftCell="A16" activePane="bottomLeft" state="frozen"/>
      <selection pane="bottomLeft" activeCell="K16" sqref="A1:XFD1048576"/>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25" priority="1" operator="lessThan">
      <formula>0</formula>
    </cfRule>
    <cfRule type="cellIs" dxfId="12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L44"/>
  <sheetViews>
    <sheetView workbookViewId="0">
      <pane ySplit="6" topLeftCell="A7" activePane="bottomLeft" state="frozen"/>
      <selection pane="bottomLeft" activeCell="F24" sqref="F24"/>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31</v>
      </c>
    </row>
    <row r="3" spans="1:12" ht="15.75" thickBot="1" x14ac:dyDescent="0.3">
      <c r="A3" s="5"/>
      <c r="B3" s="2"/>
      <c r="C3" s="2"/>
      <c r="D3" s="2"/>
      <c r="E3" s="2"/>
      <c r="F3" s="2">
        <f>'06.21'!F6</f>
        <v>476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563</v>
      </c>
      <c r="G6" s="30">
        <f>SUM(B:B)</f>
        <v>136</v>
      </c>
      <c r="H6" s="30">
        <f>SUM(C:C)</f>
        <v>49</v>
      </c>
      <c r="I6" s="30"/>
      <c r="J6" s="33">
        <f>SUM(G6:H6)+SUM(E:E)</f>
        <v>266</v>
      </c>
      <c r="K6" s="34"/>
      <c r="L6" s="50">
        <f>J6/K1</f>
        <v>0.44781144781144783</v>
      </c>
    </row>
    <row r="7" spans="1:12" ht="15" customHeight="1" x14ac:dyDescent="0.25">
      <c r="A7" s="17">
        <v>44378</v>
      </c>
      <c r="B7" s="18">
        <v>1</v>
      </c>
      <c r="C7" s="18">
        <v>1</v>
      </c>
      <c r="D7" s="2">
        <f t="shared" ref="D7:D44" si="0">B7-C7</f>
        <v>0</v>
      </c>
      <c r="E7" s="2">
        <v>1</v>
      </c>
      <c r="F7" s="2"/>
      <c r="G7" s="2"/>
      <c r="H7" s="2"/>
      <c r="I7" s="2"/>
      <c r="J7" s="2"/>
      <c r="K7" s="19" t="s">
        <v>107</v>
      </c>
      <c r="L7" s="27" t="s">
        <v>1185</v>
      </c>
    </row>
    <row r="8" spans="1:12" ht="54" customHeight="1" x14ac:dyDescent="0.25">
      <c r="A8" s="17">
        <v>44378</v>
      </c>
      <c r="B8" s="18">
        <v>0</v>
      </c>
      <c r="C8" s="18">
        <v>23</v>
      </c>
      <c r="D8" s="2">
        <f t="shared" si="0"/>
        <v>-23</v>
      </c>
      <c r="E8" s="2"/>
      <c r="F8" s="2"/>
      <c r="G8" s="2"/>
      <c r="H8" s="2"/>
      <c r="I8" s="2"/>
      <c r="J8" s="2"/>
      <c r="K8" s="19" t="s">
        <v>1189</v>
      </c>
      <c r="L8" s="27" t="s">
        <v>1187</v>
      </c>
    </row>
    <row r="9" spans="1:12" ht="15" customHeight="1" x14ac:dyDescent="0.25">
      <c r="A9" s="17">
        <v>44378</v>
      </c>
      <c r="B9" s="18">
        <v>0</v>
      </c>
      <c r="C9" s="18">
        <v>2</v>
      </c>
      <c r="D9" s="2">
        <f t="shared" si="0"/>
        <v>-2</v>
      </c>
      <c r="E9" s="2"/>
      <c r="F9" s="2"/>
      <c r="G9" s="2"/>
      <c r="H9" s="2"/>
      <c r="I9" s="2"/>
      <c r="J9" s="2"/>
      <c r="K9" s="19" t="s">
        <v>1186</v>
      </c>
      <c r="L9" s="27" t="s">
        <v>1188</v>
      </c>
    </row>
    <row r="10" spans="1:12" ht="38.25" customHeight="1" x14ac:dyDescent="0.25">
      <c r="A10" s="17">
        <v>44378</v>
      </c>
      <c r="B10" s="18">
        <v>14</v>
      </c>
      <c r="C10" s="18">
        <v>0</v>
      </c>
      <c r="D10" s="2">
        <f t="shared" si="0"/>
        <v>14</v>
      </c>
      <c r="E10" s="2"/>
      <c r="F10" s="2"/>
      <c r="G10" s="2"/>
      <c r="H10" s="2"/>
      <c r="I10" s="2"/>
      <c r="J10" s="2"/>
      <c r="K10" s="19" t="s">
        <v>1190</v>
      </c>
      <c r="L10" s="53" t="s">
        <v>1191</v>
      </c>
    </row>
    <row r="11" spans="1:12" ht="15" customHeight="1" x14ac:dyDescent="0.25">
      <c r="A11" s="17">
        <v>44382</v>
      </c>
      <c r="B11" s="18">
        <v>0</v>
      </c>
      <c r="C11" s="18">
        <v>0</v>
      </c>
      <c r="D11" s="2">
        <f t="shared" si="0"/>
        <v>0</v>
      </c>
      <c r="E11" s="2">
        <v>9</v>
      </c>
      <c r="F11" s="2"/>
      <c r="G11" s="2"/>
      <c r="H11" s="2"/>
      <c r="I11" s="2"/>
      <c r="J11" s="2"/>
      <c r="K11" s="19" t="s">
        <v>107</v>
      </c>
      <c r="L11" s="53" t="s">
        <v>1192</v>
      </c>
    </row>
    <row r="12" spans="1:12" ht="15" customHeight="1" x14ac:dyDescent="0.25">
      <c r="A12" s="17">
        <v>44383</v>
      </c>
      <c r="B12" s="18">
        <v>9</v>
      </c>
      <c r="C12" s="18">
        <v>0</v>
      </c>
      <c r="D12" s="2">
        <f t="shared" si="0"/>
        <v>9</v>
      </c>
      <c r="E12" s="2"/>
      <c r="F12" s="2"/>
      <c r="G12" s="2"/>
      <c r="H12" s="2"/>
      <c r="I12" s="2"/>
      <c r="J12" s="2"/>
      <c r="K12" s="19" t="s">
        <v>1193</v>
      </c>
      <c r="L12" s="27" t="s">
        <v>1197</v>
      </c>
    </row>
    <row r="13" spans="1:12" ht="15" customHeight="1" x14ac:dyDescent="0.25">
      <c r="A13" s="17">
        <v>44385</v>
      </c>
      <c r="B13" s="18">
        <v>0</v>
      </c>
      <c r="C13" s="18">
        <v>7</v>
      </c>
      <c r="D13" s="2">
        <f t="shared" si="0"/>
        <v>-7</v>
      </c>
      <c r="E13" s="2"/>
      <c r="F13" s="2"/>
      <c r="G13" s="2"/>
      <c r="H13" s="2"/>
      <c r="I13" s="2"/>
      <c r="J13" s="2"/>
      <c r="K13" s="19" t="s">
        <v>1194</v>
      </c>
      <c r="L13" s="27" t="s">
        <v>1195</v>
      </c>
    </row>
    <row r="14" spans="1:12" ht="37.5" customHeight="1" x14ac:dyDescent="0.25">
      <c r="A14" s="17">
        <v>44392</v>
      </c>
      <c r="B14" s="18">
        <v>18</v>
      </c>
      <c r="C14" s="18">
        <v>0</v>
      </c>
      <c r="D14" s="2">
        <f t="shared" si="0"/>
        <v>18</v>
      </c>
      <c r="E14" s="2"/>
      <c r="F14" s="2"/>
      <c r="G14" s="2"/>
      <c r="H14" s="2"/>
      <c r="I14" s="2"/>
      <c r="J14" s="2"/>
      <c r="K14" s="19" t="s">
        <v>1196</v>
      </c>
    </row>
    <row r="15" spans="1:12" ht="15" customHeight="1" x14ac:dyDescent="0.25">
      <c r="A15" s="17">
        <v>44396</v>
      </c>
      <c r="B15" s="18">
        <v>0</v>
      </c>
      <c r="C15" s="18">
        <v>3</v>
      </c>
      <c r="D15" s="2">
        <f t="shared" si="0"/>
        <v>-3</v>
      </c>
      <c r="E15" s="2"/>
      <c r="F15" s="2"/>
      <c r="G15" s="2"/>
      <c r="H15" s="2"/>
      <c r="I15" s="2"/>
      <c r="J15" s="2"/>
      <c r="K15" s="19" t="s">
        <v>1198</v>
      </c>
      <c r="L15" s="27" t="s">
        <v>1199</v>
      </c>
    </row>
    <row r="16" spans="1:12" ht="15" customHeight="1" x14ac:dyDescent="0.25">
      <c r="A16" s="17">
        <v>44399</v>
      </c>
      <c r="B16" s="18">
        <v>3</v>
      </c>
      <c r="C16" s="18">
        <v>0</v>
      </c>
      <c r="D16" s="2">
        <f t="shared" si="0"/>
        <v>3</v>
      </c>
      <c r="E16" s="2"/>
      <c r="F16" s="2"/>
      <c r="G16" s="2"/>
      <c r="H16" s="2"/>
      <c r="I16" s="2"/>
      <c r="J16" s="2"/>
      <c r="K16" s="19" t="s">
        <v>1201</v>
      </c>
      <c r="L16" s="27" t="s">
        <v>1200</v>
      </c>
    </row>
    <row r="17" spans="1:12" ht="37.5" customHeight="1" x14ac:dyDescent="0.25">
      <c r="A17" s="17">
        <v>44400</v>
      </c>
      <c r="B17" s="18">
        <v>12</v>
      </c>
      <c r="C17" s="18">
        <v>0</v>
      </c>
      <c r="D17" s="2">
        <f t="shared" si="0"/>
        <v>12</v>
      </c>
      <c r="E17" s="2"/>
      <c r="F17" s="2"/>
      <c r="G17" s="2"/>
      <c r="H17" s="2"/>
      <c r="I17" s="2"/>
      <c r="J17" s="2"/>
      <c r="K17" s="19" t="s">
        <v>1202</v>
      </c>
      <c r="L17" s="27" t="s">
        <v>1203</v>
      </c>
    </row>
    <row r="18" spans="1:12" ht="15" customHeight="1" x14ac:dyDescent="0.25">
      <c r="A18" s="17">
        <v>44403</v>
      </c>
      <c r="B18" s="18">
        <v>0</v>
      </c>
      <c r="C18" s="18">
        <v>0</v>
      </c>
      <c r="D18" s="2">
        <f t="shared" si="0"/>
        <v>0</v>
      </c>
      <c r="E18" s="2">
        <v>20</v>
      </c>
      <c r="F18" s="2"/>
      <c r="G18" s="2"/>
      <c r="H18" s="2"/>
      <c r="I18" s="2"/>
      <c r="J18" s="2"/>
      <c r="K18" s="19" t="s">
        <v>107</v>
      </c>
      <c r="L18" s="53" t="s">
        <v>1204</v>
      </c>
    </row>
    <row r="19" spans="1:12" ht="15" customHeight="1" x14ac:dyDescent="0.25">
      <c r="A19" s="17">
        <v>44403</v>
      </c>
      <c r="B19" s="18">
        <v>0</v>
      </c>
      <c r="C19" s="18">
        <v>0</v>
      </c>
      <c r="D19" s="2">
        <f t="shared" si="0"/>
        <v>0</v>
      </c>
      <c r="E19" s="2">
        <v>21</v>
      </c>
      <c r="F19" s="2"/>
      <c r="G19" s="2"/>
      <c r="H19" s="2"/>
      <c r="I19" s="2"/>
      <c r="J19" s="2"/>
      <c r="K19" s="19" t="s">
        <v>107</v>
      </c>
      <c r="L19" s="53" t="s">
        <v>1205</v>
      </c>
    </row>
    <row r="20" spans="1:12" ht="56.25" customHeight="1" x14ac:dyDescent="0.25">
      <c r="A20" s="17">
        <v>44403</v>
      </c>
      <c r="B20" s="18">
        <v>21</v>
      </c>
      <c r="C20" s="18">
        <v>0</v>
      </c>
      <c r="D20" s="2">
        <f t="shared" si="0"/>
        <v>21</v>
      </c>
      <c r="E20" s="2"/>
      <c r="F20" s="2"/>
      <c r="G20" s="2"/>
      <c r="H20" s="2"/>
      <c r="I20" s="2"/>
      <c r="J20" s="2"/>
      <c r="K20" s="19" t="s">
        <v>1206</v>
      </c>
      <c r="L20" s="27" t="s">
        <v>1212</v>
      </c>
    </row>
    <row r="21" spans="1:12" ht="38.25" customHeight="1" x14ac:dyDescent="0.25">
      <c r="A21" s="21">
        <v>44404</v>
      </c>
      <c r="B21" s="22">
        <v>20</v>
      </c>
      <c r="C21" s="22">
        <v>0</v>
      </c>
      <c r="D21" s="2">
        <f t="shared" si="0"/>
        <v>20</v>
      </c>
      <c r="E21" s="23"/>
      <c r="F21" s="23"/>
      <c r="G21" s="23"/>
      <c r="H21" s="23"/>
      <c r="I21" s="23"/>
      <c r="J21" s="23"/>
      <c r="K21" s="25" t="s">
        <v>1207</v>
      </c>
      <c r="L21" s="27" t="s">
        <v>1213</v>
      </c>
    </row>
    <row r="22" spans="1:12" ht="15" customHeight="1" x14ac:dyDescent="0.25">
      <c r="A22" s="17">
        <v>44405</v>
      </c>
      <c r="B22" s="18">
        <v>8</v>
      </c>
      <c r="C22" s="18">
        <v>0</v>
      </c>
      <c r="D22" s="2">
        <f t="shared" si="0"/>
        <v>8</v>
      </c>
      <c r="E22" s="2"/>
      <c r="F22" s="2"/>
      <c r="G22" s="2"/>
      <c r="H22" s="2"/>
      <c r="I22" s="2"/>
      <c r="J22" s="2"/>
      <c r="K22" s="19" t="s">
        <v>1208</v>
      </c>
      <c r="L22" s="27" t="s">
        <v>1209</v>
      </c>
    </row>
    <row r="23" spans="1:12" ht="15" customHeight="1" x14ac:dyDescent="0.25">
      <c r="A23" s="17">
        <v>44406</v>
      </c>
      <c r="B23" s="18">
        <v>0</v>
      </c>
      <c r="C23" s="18">
        <v>0</v>
      </c>
      <c r="D23" s="2">
        <f t="shared" si="0"/>
        <v>0</v>
      </c>
      <c r="E23" s="2">
        <v>24</v>
      </c>
      <c r="F23" s="2"/>
      <c r="G23" s="2"/>
      <c r="H23" s="2"/>
      <c r="I23" s="2"/>
      <c r="J23" s="2"/>
      <c r="K23" s="19" t="s">
        <v>107</v>
      </c>
      <c r="L23" s="53" t="s">
        <v>1210</v>
      </c>
    </row>
    <row r="24" spans="1:12" ht="56.25" customHeight="1" x14ac:dyDescent="0.25">
      <c r="A24" s="17">
        <v>44407</v>
      </c>
      <c r="B24" s="18">
        <v>24</v>
      </c>
      <c r="C24" s="18">
        <v>0</v>
      </c>
      <c r="D24" s="2">
        <f t="shared" si="0"/>
        <v>24</v>
      </c>
      <c r="E24" s="2"/>
      <c r="F24" s="2"/>
      <c r="G24" s="2"/>
      <c r="H24" s="2"/>
      <c r="I24" s="2"/>
      <c r="J24" s="2"/>
      <c r="K24" s="19" t="s">
        <v>1211</v>
      </c>
      <c r="L24" s="27" t="s">
        <v>1214</v>
      </c>
    </row>
    <row r="25" spans="1:12" ht="38.25" customHeight="1" x14ac:dyDescent="0.25">
      <c r="A25" s="17">
        <v>44407</v>
      </c>
      <c r="B25" s="18">
        <v>6</v>
      </c>
      <c r="C25" s="18">
        <v>6</v>
      </c>
      <c r="D25" s="2">
        <f t="shared" si="0"/>
        <v>0</v>
      </c>
      <c r="E25" s="2">
        <v>6</v>
      </c>
      <c r="F25" s="2"/>
      <c r="G25" s="2"/>
      <c r="H25" s="2"/>
      <c r="I25" s="2"/>
      <c r="J25" s="2"/>
      <c r="K25" s="19" t="s">
        <v>1216</v>
      </c>
    </row>
    <row r="26" spans="1:12" ht="15" customHeight="1" x14ac:dyDescent="0.25">
      <c r="A26" s="17">
        <v>44407</v>
      </c>
      <c r="B26" s="18">
        <v>0</v>
      </c>
      <c r="C26" s="18">
        <v>7</v>
      </c>
      <c r="D26" s="2">
        <f t="shared" si="0"/>
        <v>-7</v>
      </c>
      <c r="E26" s="2"/>
      <c r="F26" s="2"/>
      <c r="G26" s="2"/>
      <c r="H26" s="2"/>
      <c r="I26" s="2"/>
      <c r="J26" s="2"/>
      <c r="K26" s="20" t="s">
        <v>1215</v>
      </c>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By5iInUpUHxLdxmEIPcmNA5TIr/zKz+0nqmoucRoDHpEYpBE3tioOxvaVDpRf4qSiWo+qdwDUh+UVxrzngTDbQ==" saltValue="dWXx9d4a7ewvL2yi91oHBg==" spinCount="100000" sheet="1" objects="1" scenarios="1" selectLockedCells="1" selectUnlockedCells="1"/>
  <customSheetViews>
    <customSheetView guid="{E5A7B818-645B-417C-A128-9FE559D9B124}" fitToPage="1">
      <pane ySplit="6" topLeftCell="A17" activePane="bottomLeft" state="frozen"/>
      <selection pane="bottomLeft" activeCell="F24" sqref="F24"/>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23" priority="1" operator="lessThan">
      <formula>0</formula>
    </cfRule>
    <cfRule type="cellIs" dxfId="12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L45"/>
  <sheetViews>
    <sheetView workbookViewId="0">
      <pane ySplit="6" topLeftCell="A7" activePane="bottomLeft" state="frozen"/>
      <selection pane="bottomLeft" activeCell="I13" sqref="I13"/>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f>
        <v>594</v>
      </c>
    </row>
    <row r="2" spans="1:12" ht="19.5" thickBot="1" x14ac:dyDescent="0.35">
      <c r="A2" s="5"/>
      <c r="B2" s="2"/>
      <c r="C2" s="2"/>
      <c r="D2" s="2"/>
      <c r="E2" s="2"/>
      <c r="F2" s="6" t="s">
        <v>1</v>
      </c>
      <c r="G2" s="2"/>
      <c r="H2" s="2"/>
      <c r="I2" s="2"/>
      <c r="J2" s="41" t="s">
        <v>38</v>
      </c>
      <c r="K2" s="42">
        <f>K1-F6</f>
        <v>107</v>
      </c>
    </row>
    <row r="3" spans="1:12" ht="15.75" thickBot="1" x14ac:dyDescent="0.3">
      <c r="A3" s="5"/>
      <c r="B3" s="2"/>
      <c r="C3" s="2"/>
      <c r="D3" s="2"/>
      <c r="E3" s="2"/>
      <c r="F3" s="2">
        <f>'07.21'!F6</f>
        <v>563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487</v>
      </c>
      <c r="G6" s="30">
        <f>SUM(B:B)</f>
        <v>72</v>
      </c>
      <c r="H6" s="30">
        <f>SUM(C:C)</f>
        <v>148</v>
      </c>
      <c r="I6" s="30"/>
      <c r="J6" s="33">
        <f>SUM(G6:H6)+SUM(E:E)</f>
        <v>269</v>
      </c>
      <c r="K6" s="34"/>
      <c r="L6" s="50">
        <f>J6/K1</f>
        <v>0.45286195286195285</v>
      </c>
    </row>
    <row r="7" spans="1:12" ht="15" customHeight="1" x14ac:dyDescent="0.25">
      <c r="A7" s="17">
        <v>44410</v>
      </c>
      <c r="B7" s="18">
        <v>0</v>
      </c>
      <c r="C7" s="18">
        <v>0</v>
      </c>
      <c r="D7" s="2">
        <f t="shared" ref="D7:D45" si="0">B7-C7</f>
        <v>0</v>
      </c>
      <c r="E7" s="2">
        <v>13</v>
      </c>
      <c r="F7" s="2"/>
      <c r="G7" s="2"/>
      <c r="H7" s="2"/>
      <c r="I7" s="2"/>
      <c r="J7" s="2"/>
      <c r="K7" s="19" t="s">
        <v>107</v>
      </c>
      <c r="L7" s="53" t="s">
        <v>1217</v>
      </c>
    </row>
    <row r="8" spans="1:12" ht="33" customHeight="1" x14ac:dyDescent="0.25">
      <c r="A8" s="17">
        <v>44410</v>
      </c>
      <c r="B8" s="18">
        <v>4</v>
      </c>
      <c r="C8" s="18">
        <v>4</v>
      </c>
      <c r="D8" s="2">
        <f t="shared" ref="D8" si="1">B8-C8</f>
        <v>0</v>
      </c>
      <c r="E8" s="2">
        <v>4</v>
      </c>
      <c r="F8" s="2"/>
      <c r="G8" s="2"/>
      <c r="H8" s="2"/>
      <c r="I8" s="2"/>
      <c r="J8" s="2"/>
      <c r="K8" s="19" t="s">
        <v>1220</v>
      </c>
      <c r="L8" s="53"/>
    </row>
    <row r="9" spans="1:12" ht="39" customHeight="1" x14ac:dyDescent="0.25">
      <c r="A9" s="17">
        <v>44411</v>
      </c>
      <c r="B9" s="18">
        <v>13</v>
      </c>
      <c r="C9" s="18">
        <v>0</v>
      </c>
      <c r="D9" s="2">
        <f t="shared" si="0"/>
        <v>13</v>
      </c>
      <c r="E9" s="2"/>
      <c r="F9" s="2"/>
      <c r="G9" s="2"/>
      <c r="H9" s="2"/>
      <c r="I9" s="2"/>
      <c r="J9" s="2"/>
      <c r="K9" s="19" t="s">
        <v>1218</v>
      </c>
      <c r="L9" s="27" t="s">
        <v>1219</v>
      </c>
    </row>
    <row r="10" spans="1:12" ht="36.75" customHeight="1" x14ac:dyDescent="0.25">
      <c r="A10" s="17">
        <v>44412</v>
      </c>
      <c r="B10" s="18">
        <v>0</v>
      </c>
      <c r="C10" s="18">
        <v>15</v>
      </c>
      <c r="D10" s="2">
        <f t="shared" si="0"/>
        <v>-15</v>
      </c>
      <c r="E10" s="2"/>
      <c r="F10" s="2"/>
      <c r="G10" s="2"/>
      <c r="H10" s="2"/>
      <c r="I10" s="2"/>
      <c r="J10" s="2"/>
      <c r="K10" s="19" t="s">
        <v>1221</v>
      </c>
    </row>
    <row r="11" spans="1:12" ht="15" customHeight="1" x14ac:dyDescent="0.3">
      <c r="A11" s="17">
        <v>44412</v>
      </c>
      <c r="B11" s="18">
        <v>0</v>
      </c>
      <c r="C11" s="18">
        <v>2</v>
      </c>
      <c r="D11" s="2">
        <f t="shared" si="0"/>
        <v>-2</v>
      </c>
      <c r="E11" s="2"/>
      <c r="F11" s="2"/>
      <c r="G11" s="2"/>
      <c r="H11" s="2"/>
      <c r="I11" s="2"/>
      <c r="J11" s="2"/>
      <c r="K11" s="19" t="s">
        <v>1222</v>
      </c>
      <c r="L11" s="38"/>
    </row>
    <row r="12" spans="1:12" ht="15" customHeight="1" x14ac:dyDescent="0.3">
      <c r="A12" s="17">
        <v>44412</v>
      </c>
      <c r="B12" s="18">
        <v>7</v>
      </c>
      <c r="C12" s="18">
        <v>0</v>
      </c>
      <c r="D12" s="2">
        <f t="shared" si="0"/>
        <v>7</v>
      </c>
      <c r="E12" s="2"/>
      <c r="F12" s="2"/>
      <c r="G12" s="2"/>
      <c r="H12" s="2"/>
      <c r="I12" s="2"/>
      <c r="J12" s="2"/>
      <c r="K12" s="19" t="s">
        <v>1223</v>
      </c>
      <c r="L12" s="38"/>
    </row>
    <row r="13" spans="1:12" ht="55.5" customHeight="1" x14ac:dyDescent="0.25">
      <c r="A13" s="17">
        <v>44414</v>
      </c>
      <c r="B13" s="18">
        <v>0</v>
      </c>
      <c r="C13" s="18">
        <v>23</v>
      </c>
      <c r="D13" s="2">
        <f t="shared" si="0"/>
        <v>-23</v>
      </c>
      <c r="E13" s="2"/>
      <c r="F13" s="2"/>
      <c r="G13" s="2"/>
      <c r="H13" s="2"/>
      <c r="I13" s="2"/>
      <c r="J13" s="2"/>
      <c r="K13" s="19" t="s">
        <v>1224</v>
      </c>
    </row>
    <row r="14" spans="1:12" ht="15" customHeight="1" x14ac:dyDescent="0.25">
      <c r="A14" s="17">
        <v>44417</v>
      </c>
      <c r="B14" s="18">
        <v>2</v>
      </c>
      <c r="C14" s="18">
        <v>0</v>
      </c>
      <c r="D14" s="2">
        <f t="shared" si="0"/>
        <v>2</v>
      </c>
      <c r="E14" s="2"/>
      <c r="F14" s="2"/>
      <c r="G14" s="2"/>
      <c r="H14" s="2"/>
      <c r="I14" s="2"/>
      <c r="J14" s="2"/>
      <c r="K14" s="19" t="s">
        <v>1225</v>
      </c>
    </row>
    <row r="15" spans="1:12" ht="39" customHeight="1" x14ac:dyDescent="0.25">
      <c r="A15" s="17">
        <v>44420</v>
      </c>
      <c r="B15" s="18">
        <v>0</v>
      </c>
      <c r="C15" s="18">
        <v>17</v>
      </c>
      <c r="D15" s="2">
        <f t="shared" si="0"/>
        <v>-17</v>
      </c>
      <c r="E15" s="2"/>
      <c r="F15" s="2"/>
      <c r="G15" s="2"/>
      <c r="H15" s="2"/>
      <c r="I15" s="2"/>
      <c r="J15" s="2"/>
      <c r="K15" s="19" t="s">
        <v>1226</v>
      </c>
      <c r="L15" s="27" t="s">
        <v>1227</v>
      </c>
    </row>
    <row r="16" spans="1:12" ht="39" customHeight="1" x14ac:dyDescent="0.25">
      <c r="A16" s="17">
        <v>44420</v>
      </c>
      <c r="B16" s="18">
        <v>14</v>
      </c>
      <c r="C16" s="18">
        <v>0</v>
      </c>
      <c r="D16" s="2">
        <f t="shared" si="0"/>
        <v>14</v>
      </c>
      <c r="E16" s="2"/>
      <c r="F16" s="2"/>
      <c r="G16" s="2"/>
      <c r="H16" s="2"/>
      <c r="I16" s="2"/>
      <c r="J16" s="2"/>
      <c r="K16" s="19" t="s">
        <v>1230</v>
      </c>
    </row>
    <row r="17" spans="1:12" ht="48.75" customHeight="1" x14ac:dyDescent="0.25">
      <c r="A17" s="17">
        <v>44421</v>
      </c>
      <c r="B17" s="18">
        <v>0</v>
      </c>
      <c r="C17" s="18">
        <v>21</v>
      </c>
      <c r="D17" s="2">
        <f t="shared" si="0"/>
        <v>-21</v>
      </c>
      <c r="E17" s="2"/>
      <c r="F17" s="2"/>
      <c r="G17" s="2"/>
      <c r="H17" s="2"/>
      <c r="I17" s="2"/>
      <c r="J17" s="2"/>
      <c r="K17" s="19" t="s">
        <v>1228</v>
      </c>
      <c r="L17" s="27" t="s">
        <v>1229</v>
      </c>
    </row>
    <row r="18" spans="1:12" ht="39" customHeight="1" x14ac:dyDescent="0.25">
      <c r="A18" s="17">
        <v>44426</v>
      </c>
      <c r="B18" s="18">
        <v>0</v>
      </c>
      <c r="C18" s="18">
        <v>14</v>
      </c>
      <c r="D18" s="2">
        <f t="shared" si="0"/>
        <v>-14</v>
      </c>
      <c r="E18" s="2"/>
      <c r="F18" s="2"/>
      <c r="G18" s="2"/>
      <c r="H18" s="2"/>
      <c r="I18" s="2"/>
      <c r="J18" s="2"/>
      <c r="K18" s="19" t="s">
        <v>1231</v>
      </c>
      <c r="L18" s="27" t="s">
        <v>1232</v>
      </c>
    </row>
    <row r="19" spans="1:12" ht="69.75" customHeight="1" x14ac:dyDescent="0.25">
      <c r="A19" s="17">
        <v>44427</v>
      </c>
      <c r="B19" s="18">
        <v>0</v>
      </c>
      <c r="C19" s="18">
        <v>33</v>
      </c>
      <c r="D19" s="2">
        <f t="shared" si="0"/>
        <v>-33</v>
      </c>
      <c r="E19" s="2"/>
      <c r="F19" s="2"/>
      <c r="G19" s="2"/>
      <c r="H19" s="2"/>
      <c r="I19" s="2"/>
      <c r="J19" s="2"/>
      <c r="K19" s="19" t="s">
        <v>1233</v>
      </c>
      <c r="L19" s="27" t="s">
        <v>1234</v>
      </c>
    </row>
    <row r="20" spans="1:12" ht="15" customHeight="1" x14ac:dyDescent="0.25">
      <c r="A20" s="17">
        <v>44432</v>
      </c>
      <c r="B20" s="18">
        <v>0</v>
      </c>
      <c r="C20" s="18">
        <v>0</v>
      </c>
      <c r="D20" s="2">
        <f t="shared" si="0"/>
        <v>0</v>
      </c>
      <c r="E20" s="2">
        <v>10</v>
      </c>
      <c r="F20" s="2"/>
      <c r="G20" s="2"/>
      <c r="H20" s="2"/>
      <c r="I20" s="2"/>
      <c r="J20" s="2"/>
      <c r="K20" s="19" t="s">
        <v>107</v>
      </c>
      <c r="L20" s="53" t="s">
        <v>1235</v>
      </c>
    </row>
    <row r="21" spans="1:12" ht="15" customHeight="1" x14ac:dyDescent="0.25">
      <c r="A21" s="17">
        <v>44432</v>
      </c>
      <c r="B21" s="18">
        <v>10</v>
      </c>
      <c r="C21" s="18">
        <v>0</v>
      </c>
      <c r="D21" s="2">
        <f t="shared" si="0"/>
        <v>10</v>
      </c>
      <c r="E21" s="2"/>
      <c r="F21" s="2"/>
      <c r="G21" s="2"/>
      <c r="H21" s="2"/>
      <c r="I21" s="2"/>
      <c r="J21" s="2"/>
      <c r="K21" s="19" t="s">
        <v>1236</v>
      </c>
      <c r="L21" s="53" t="s">
        <v>1237</v>
      </c>
    </row>
    <row r="22" spans="1:12" ht="38.25" customHeight="1" x14ac:dyDescent="0.25">
      <c r="A22" s="21">
        <v>44434</v>
      </c>
      <c r="B22" s="22">
        <v>0</v>
      </c>
      <c r="C22" s="22">
        <v>19</v>
      </c>
      <c r="D22" s="2">
        <f t="shared" si="0"/>
        <v>-19</v>
      </c>
      <c r="E22" s="23"/>
      <c r="F22" s="23"/>
      <c r="G22" s="23"/>
      <c r="H22" s="23"/>
      <c r="I22" s="23"/>
      <c r="J22" s="23"/>
      <c r="K22" s="25" t="s">
        <v>1239</v>
      </c>
      <c r="L22" s="27" t="s">
        <v>1238</v>
      </c>
    </row>
    <row r="23" spans="1:12" ht="15" customHeight="1" x14ac:dyDescent="0.25">
      <c r="A23" s="17">
        <v>44435</v>
      </c>
      <c r="B23" s="18">
        <v>0</v>
      </c>
      <c r="C23" s="18">
        <v>0</v>
      </c>
      <c r="D23" s="2">
        <f t="shared" si="0"/>
        <v>0</v>
      </c>
      <c r="E23" s="2">
        <v>22</v>
      </c>
      <c r="F23" s="2"/>
      <c r="G23" s="2"/>
      <c r="H23" s="2"/>
      <c r="I23" s="2"/>
      <c r="J23" s="2"/>
      <c r="K23" s="19" t="s">
        <v>107</v>
      </c>
      <c r="L23" s="53" t="s">
        <v>1240</v>
      </c>
    </row>
    <row r="24" spans="1:12" ht="54.75" customHeight="1" x14ac:dyDescent="0.25">
      <c r="A24" s="17">
        <v>44438</v>
      </c>
      <c r="B24" s="18">
        <v>22</v>
      </c>
      <c r="C24" s="18">
        <v>0</v>
      </c>
      <c r="D24" s="2">
        <f t="shared" si="0"/>
        <v>22</v>
      </c>
      <c r="E24" s="2"/>
      <c r="F24" s="2"/>
      <c r="G24" s="2"/>
      <c r="H24" s="2"/>
      <c r="I24" s="2"/>
      <c r="J24" s="2"/>
      <c r="K24" s="49" t="s">
        <v>1241</v>
      </c>
      <c r="L24" s="53" t="s">
        <v>1242</v>
      </c>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19"/>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20"/>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19"/>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20"/>
    </row>
    <row r="34" spans="1:11" x14ac:dyDescent="0.25">
      <c r="A34" s="17"/>
      <c r="B34" s="18"/>
      <c r="C34" s="18"/>
      <c r="D34" s="2">
        <f t="shared" si="0"/>
        <v>0</v>
      </c>
      <c r="E34" s="2"/>
      <c r="F34" s="2"/>
      <c r="G34" s="2"/>
      <c r="H34" s="2"/>
      <c r="I34" s="2"/>
      <c r="J34" s="2"/>
      <c r="K34" s="19"/>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20"/>
    </row>
    <row r="41" spans="1:11" x14ac:dyDescent="0.25">
      <c r="A41" s="17"/>
      <c r="B41" s="18"/>
      <c r="C41" s="18"/>
      <c r="D41" s="2">
        <f t="shared" si="0"/>
        <v>0</v>
      </c>
      <c r="E41" s="2"/>
      <c r="F41" s="2"/>
      <c r="G41" s="2"/>
      <c r="H41" s="2"/>
      <c r="I41" s="2"/>
      <c r="J41" s="2"/>
      <c r="K41" s="19"/>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row r="45" spans="1:11" x14ac:dyDescent="0.25">
      <c r="A45" s="17"/>
      <c r="B45" s="18"/>
      <c r="C45" s="18"/>
      <c r="D45" s="2">
        <f t="shared" si="0"/>
        <v>0</v>
      </c>
      <c r="E45" s="2"/>
      <c r="F45" s="2"/>
      <c r="G45" s="2"/>
      <c r="H45" s="2"/>
      <c r="I45" s="2"/>
      <c r="J45" s="2"/>
      <c r="K45" s="20"/>
    </row>
  </sheetData>
  <sheetProtection algorithmName="SHA-512" hashValue="CGY6wiqYQw4zEzVTcUYf5ILLqRMTzYK83oJevaAp/DIhfdpoW53ixoHTdC0JGyuYrCJsobWo6lrm1iGHSDcxOg==" saltValue="2gf7ZxLKbZWYqjZSpxL83A==" spinCount="100000" sheet="1" objects="1" scenarios="1" selectLockedCells="1" selectUnlockedCells="1"/>
  <customSheetViews>
    <customSheetView guid="{E5A7B818-645B-417C-A128-9FE559D9B124}" fitToPage="1">
      <pane ySplit="6" topLeftCell="A7" activePane="bottomLeft" state="frozen"/>
      <selection pane="bottomLeft" activeCell="I13" sqref="I13"/>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21" priority="1" operator="lessThan">
      <formula>0</formula>
    </cfRule>
    <cfRule type="cellIs" dxfId="12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L43"/>
  <sheetViews>
    <sheetView workbookViewId="0">
      <pane ySplit="6" topLeftCell="A8" activePane="bottomLeft" state="frozen"/>
      <selection pane="bottomLeft" activeCell="F19" sqref="F19"/>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31</v>
      </c>
    </row>
    <row r="3" spans="1:12" ht="15.75" thickBot="1" x14ac:dyDescent="0.3">
      <c r="A3" s="5"/>
      <c r="B3" s="2"/>
      <c r="C3" s="2"/>
      <c r="D3" s="2"/>
      <c r="E3" s="2"/>
      <c r="F3" s="2">
        <f>'08.21'!F6</f>
        <v>487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575</v>
      </c>
      <c r="G6" s="30">
        <f>SUM(B:B)</f>
        <v>244</v>
      </c>
      <c r="H6" s="30">
        <f>SUM(C:C)</f>
        <v>156</v>
      </c>
      <c r="I6" s="30"/>
      <c r="J6" s="33">
        <f>SUM(G6:H6)+SUM(E:E)</f>
        <v>638</v>
      </c>
      <c r="K6" s="34"/>
      <c r="L6" s="50">
        <f>J6/K1</f>
        <v>1.0528052805280528</v>
      </c>
    </row>
    <row r="7" spans="1:12" ht="15" customHeight="1" x14ac:dyDescent="0.25">
      <c r="A7" s="17">
        <v>44441</v>
      </c>
      <c r="B7" s="18">
        <v>0</v>
      </c>
      <c r="C7" s="18">
        <v>0</v>
      </c>
      <c r="D7" s="2">
        <f t="shared" ref="D7:D43" si="0">B7-C7</f>
        <v>0</v>
      </c>
      <c r="E7" s="2">
        <v>22</v>
      </c>
      <c r="F7" s="2"/>
      <c r="G7" s="2"/>
      <c r="H7" s="2"/>
      <c r="I7" s="2"/>
      <c r="J7" s="2"/>
      <c r="K7" s="19" t="s">
        <v>107</v>
      </c>
      <c r="L7" s="53" t="s">
        <v>1243</v>
      </c>
    </row>
    <row r="8" spans="1:12" ht="64.5" customHeight="1" x14ac:dyDescent="0.25">
      <c r="A8" s="17">
        <v>44442</v>
      </c>
      <c r="B8" s="18">
        <v>0</v>
      </c>
      <c r="C8" s="18">
        <v>34</v>
      </c>
      <c r="D8" s="2">
        <f t="shared" si="0"/>
        <v>-34</v>
      </c>
      <c r="E8" s="2"/>
      <c r="F8" s="2"/>
      <c r="G8" s="2"/>
      <c r="H8" s="2"/>
      <c r="I8" s="2"/>
      <c r="J8" s="2"/>
      <c r="K8" s="19" t="s">
        <v>1244</v>
      </c>
    </row>
    <row r="9" spans="1:12" ht="15" customHeight="1" x14ac:dyDescent="0.25">
      <c r="A9" s="17">
        <v>44445</v>
      </c>
      <c r="B9" s="18">
        <v>0</v>
      </c>
      <c r="C9" s="18">
        <v>0</v>
      </c>
      <c r="D9" s="2">
        <f t="shared" si="0"/>
        <v>0</v>
      </c>
      <c r="E9" s="2">
        <v>40</v>
      </c>
      <c r="F9" s="2"/>
      <c r="G9" s="2"/>
      <c r="H9" s="2"/>
      <c r="I9" s="2"/>
      <c r="J9" s="2"/>
      <c r="K9" s="19" t="s">
        <v>107</v>
      </c>
      <c r="L9" s="53" t="s">
        <v>1245</v>
      </c>
    </row>
    <row r="10" spans="1:12" ht="15" customHeight="1" x14ac:dyDescent="0.25">
      <c r="A10" s="17">
        <v>44445</v>
      </c>
      <c r="B10" s="18">
        <v>0</v>
      </c>
      <c r="C10" s="18">
        <v>2</v>
      </c>
      <c r="D10" s="2">
        <f t="shared" si="0"/>
        <v>-2</v>
      </c>
      <c r="E10" s="2"/>
      <c r="F10" s="2"/>
      <c r="G10" s="2"/>
      <c r="H10" s="2"/>
      <c r="I10" s="2"/>
      <c r="J10" s="2"/>
      <c r="K10" s="19" t="s">
        <v>1246</v>
      </c>
      <c r="L10" s="53" t="s">
        <v>1247</v>
      </c>
    </row>
    <row r="11" spans="1:12" ht="54.75" customHeight="1" x14ac:dyDescent="0.25">
      <c r="A11" s="17">
        <v>44445</v>
      </c>
      <c r="B11" s="18">
        <v>22</v>
      </c>
      <c r="C11" s="18">
        <v>0</v>
      </c>
      <c r="D11" s="2">
        <f t="shared" si="0"/>
        <v>22</v>
      </c>
      <c r="E11" s="2"/>
      <c r="F11" s="2"/>
      <c r="G11" s="2"/>
      <c r="H11" s="2"/>
      <c r="I11" s="2"/>
      <c r="J11" s="2"/>
      <c r="K11" s="19" t="s">
        <v>1248</v>
      </c>
      <c r="L11" s="53" t="s">
        <v>1249</v>
      </c>
    </row>
    <row r="12" spans="1:12" ht="37.5" customHeight="1" x14ac:dyDescent="0.25">
      <c r="A12" s="17">
        <v>44446</v>
      </c>
      <c r="B12" s="18">
        <v>7</v>
      </c>
      <c r="C12" s="18">
        <v>7</v>
      </c>
      <c r="D12" s="2">
        <f t="shared" si="0"/>
        <v>0</v>
      </c>
      <c r="E12" s="2">
        <v>7</v>
      </c>
      <c r="F12" s="2"/>
      <c r="G12" s="2"/>
      <c r="H12" s="2"/>
      <c r="I12" s="2"/>
      <c r="J12" s="2"/>
      <c r="K12" s="19" t="s">
        <v>1250</v>
      </c>
    </row>
    <row r="13" spans="1:12" ht="15" customHeight="1" x14ac:dyDescent="0.25">
      <c r="A13" s="17">
        <v>44446</v>
      </c>
      <c r="B13" s="18">
        <v>0</v>
      </c>
      <c r="C13" s="18">
        <v>4</v>
      </c>
      <c r="D13" s="2">
        <f t="shared" si="0"/>
        <v>-4</v>
      </c>
      <c r="E13" s="2">
        <v>1</v>
      </c>
      <c r="F13" s="2"/>
      <c r="G13" s="2"/>
      <c r="H13" s="2"/>
      <c r="I13" s="2"/>
      <c r="J13" s="2"/>
      <c r="K13" s="19" t="s">
        <v>1251</v>
      </c>
      <c r="L13" s="53" t="s">
        <v>1252</v>
      </c>
    </row>
    <row r="14" spans="1:12" ht="15" customHeight="1" x14ac:dyDescent="0.25">
      <c r="A14" s="17">
        <v>44447</v>
      </c>
      <c r="B14" s="18">
        <v>0</v>
      </c>
      <c r="C14" s="18">
        <v>0</v>
      </c>
      <c r="D14" s="2">
        <f t="shared" si="0"/>
        <v>0</v>
      </c>
      <c r="E14" s="2">
        <v>21</v>
      </c>
      <c r="F14" s="2"/>
      <c r="G14" s="2"/>
      <c r="H14" s="2"/>
      <c r="I14" s="2"/>
      <c r="J14" s="2"/>
      <c r="K14" s="19" t="s">
        <v>107</v>
      </c>
      <c r="L14" s="53" t="s">
        <v>1253</v>
      </c>
    </row>
    <row r="15" spans="1:12" ht="15" customHeight="1" x14ac:dyDescent="0.25">
      <c r="A15" s="17">
        <v>44447</v>
      </c>
      <c r="B15" s="18">
        <v>0</v>
      </c>
      <c r="C15" s="18">
        <v>0</v>
      </c>
      <c r="D15" s="2">
        <f t="shared" si="0"/>
        <v>0</v>
      </c>
      <c r="E15" s="2">
        <v>17</v>
      </c>
      <c r="F15" s="2"/>
      <c r="G15" s="2"/>
      <c r="H15" s="2"/>
      <c r="I15" s="2"/>
      <c r="J15" s="2"/>
      <c r="K15" s="19" t="s">
        <v>107</v>
      </c>
      <c r="L15" s="53" t="s">
        <v>1254</v>
      </c>
    </row>
    <row r="16" spans="1:12" ht="53.25" customHeight="1" x14ac:dyDescent="0.25">
      <c r="A16" s="17">
        <v>44448</v>
      </c>
      <c r="B16" s="18">
        <v>0</v>
      </c>
      <c r="C16" s="18">
        <v>27</v>
      </c>
      <c r="D16" s="2">
        <f t="shared" si="0"/>
        <v>-27</v>
      </c>
      <c r="E16" s="2"/>
      <c r="F16" s="2"/>
      <c r="G16" s="2"/>
      <c r="H16" s="2"/>
      <c r="I16" s="2"/>
      <c r="J16" s="2"/>
      <c r="K16" s="19" t="s">
        <v>1255</v>
      </c>
      <c r="L16" s="53" t="s">
        <v>1256</v>
      </c>
    </row>
    <row r="17" spans="1:12" ht="15" customHeight="1" x14ac:dyDescent="0.25">
      <c r="A17" s="17">
        <v>44448</v>
      </c>
      <c r="B17" s="18">
        <v>2</v>
      </c>
      <c r="C17" s="18">
        <v>2</v>
      </c>
      <c r="D17" s="2">
        <f t="shared" si="0"/>
        <v>0</v>
      </c>
      <c r="E17" s="2">
        <v>2</v>
      </c>
      <c r="F17" s="2"/>
      <c r="G17" s="2"/>
      <c r="H17" s="2"/>
      <c r="I17" s="2"/>
      <c r="J17" s="2"/>
      <c r="K17" s="19" t="s">
        <v>1257</v>
      </c>
      <c r="L17" s="53" t="s">
        <v>1256</v>
      </c>
    </row>
    <row r="18" spans="1:12" ht="69" customHeight="1" x14ac:dyDescent="0.25">
      <c r="A18" s="17">
        <v>44448</v>
      </c>
      <c r="B18" s="18">
        <v>40</v>
      </c>
      <c r="C18" s="18">
        <v>0</v>
      </c>
      <c r="D18" s="2">
        <f t="shared" si="0"/>
        <v>40</v>
      </c>
      <c r="E18" s="2"/>
      <c r="F18" s="2"/>
      <c r="G18" s="2"/>
      <c r="H18" s="2"/>
      <c r="I18" s="2"/>
      <c r="J18" s="2"/>
      <c r="K18" s="19" t="s">
        <v>1259</v>
      </c>
      <c r="L18" s="53" t="s">
        <v>1258</v>
      </c>
    </row>
    <row r="19" spans="1:12" ht="54" customHeight="1" x14ac:dyDescent="0.25">
      <c r="A19" s="17">
        <v>44448</v>
      </c>
      <c r="B19" s="18">
        <v>21</v>
      </c>
      <c r="C19" s="18">
        <v>0</v>
      </c>
      <c r="D19" s="2">
        <f t="shared" si="0"/>
        <v>21</v>
      </c>
      <c r="E19" s="2"/>
      <c r="F19" s="2"/>
      <c r="G19" s="2"/>
      <c r="H19" s="2"/>
      <c r="I19" s="2"/>
      <c r="J19" s="2"/>
      <c r="K19" s="19" t="s">
        <v>1261</v>
      </c>
      <c r="L19" s="53" t="s">
        <v>1260</v>
      </c>
    </row>
    <row r="20" spans="1:12" ht="39.75" customHeight="1" x14ac:dyDescent="0.25">
      <c r="A20" s="17">
        <v>44448</v>
      </c>
      <c r="B20" s="18">
        <v>17</v>
      </c>
      <c r="C20" s="18">
        <v>0</v>
      </c>
      <c r="D20" s="2">
        <f t="shared" si="0"/>
        <v>17</v>
      </c>
      <c r="E20" s="2"/>
      <c r="F20" s="2"/>
      <c r="G20" s="2"/>
      <c r="H20" s="2"/>
      <c r="I20" s="2"/>
      <c r="J20" s="2"/>
      <c r="K20" s="19" t="s">
        <v>1263</v>
      </c>
      <c r="L20" s="53" t="s">
        <v>1262</v>
      </c>
    </row>
    <row r="21" spans="1:12" ht="53.25" customHeight="1" x14ac:dyDescent="0.25">
      <c r="A21" s="21">
        <v>44448</v>
      </c>
      <c r="B21" s="22">
        <v>7</v>
      </c>
      <c r="C21" s="22">
        <v>7</v>
      </c>
      <c r="D21" s="2">
        <f t="shared" si="0"/>
        <v>0</v>
      </c>
      <c r="E21" s="23">
        <v>7</v>
      </c>
      <c r="F21" s="23"/>
      <c r="G21" s="23"/>
      <c r="H21" s="23"/>
      <c r="I21" s="23"/>
      <c r="J21" s="23"/>
      <c r="K21" s="25" t="s">
        <v>1264</v>
      </c>
    </row>
    <row r="22" spans="1:12" ht="15" customHeight="1" x14ac:dyDescent="0.25">
      <c r="A22" s="17">
        <v>44452</v>
      </c>
      <c r="B22" s="18">
        <v>0</v>
      </c>
      <c r="C22" s="18">
        <v>5</v>
      </c>
      <c r="D22" s="2">
        <f t="shared" si="0"/>
        <v>-5</v>
      </c>
      <c r="E22" s="2"/>
      <c r="F22" s="2"/>
      <c r="G22" s="2"/>
      <c r="H22" s="2"/>
      <c r="I22" s="2"/>
      <c r="J22" s="2"/>
      <c r="K22" s="19" t="s">
        <v>1265</v>
      </c>
      <c r="L22" s="53" t="s">
        <v>1266</v>
      </c>
    </row>
    <row r="23" spans="1:12" ht="15" customHeight="1" x14ac:dyDescent="0.25">
      <c r="A23" s="17">
        <v>44454</v>
      </c>
      <c r="B23" s="18">
        <v>0</v>
      </c>
      <c r="C23" s="18">
        <v>0</v>
      </c>
      <c r="D23" s="2">
        <f t="shared" si="0"/>
        <v>0</v>
      </c>
      <c r="E23" s="2">
        <v>22</v>
      </c>
      <c r="F23" s="2"/>
      <c r="G23" s="2"/>
      <c r="H23" s="2"/>
      <c r="I23" s="2"/>
      <c r="J23" s="2"/>
      <c r="K23" s="19" t="s">
        <v>107</v>
      </c>
      <c r="L23" s="53" t="s">
        <v>1267</v>
      </c>
    </row>
    <row r="24" spans="1:12" ht="15" customHeight="1" x14ac:dyDescent="0.25">
      <c r="A24" s="17">
        <v>44455</v>
      </c>
      <c r="B24" s="18">
        <v>0</v>
      </c>
      <c r="C24" s="18">
        <v>0</v>
      </c>
      <c r="D24" s="2">
        <f t="shared" si="0"/>
        <v>0</v>
      </c>
      <c r="E24" s="2">
        <v>32</v>
      </c>
      <c r="F24" s="2"/>
      <c r="G24" s="2"/>
      <c r="H24" s="2"/>
      <c r="I24" s="2"/>
      <c r="J24" s="2"/>
      <c r="K24" s="19" t="s">
        <v>107</v>
      </c>
      <c r="L24" s="53" t="s">
        <v>1268</v>
      </c>
    </row>
    <row r="25" spans="1:12" ht="15" customHeight="1" x14ac:dyDescent="0.25">
      <c r="A25" s="17">
        <v>44455</v>
      </c>
      <c r="B25" s="18">
        <v>0</v>
      </c>
      <c r="C25" s="18">
        <v>0</v>
      </c>
      <c r="D25" s="2">
        <f t="shared" si="0"/>
        <v>0</v>
      </c>
      <c r="E25" s="2">
        <v>19</v>
      </c>
      <c r="F25" s="2"/>
      <c r="G25" s="2"/>
      <c r="H25" s="2"/>
      <c r="I25" s="2"/>
      <c r="J25" s="2"/>
      <c r="K25" s="19" t="s">
        <v>107</v>
      </c>
      <c r="L25" s="53" t="s">
        <v>1269</v>
      </c>
    </row>
    <row r="26" spans="1:12" ht="15" customHeight="1" x14ac:dyDescent="0.25">
      <c r="A26" s="17">
        <v>44455</v>
      </c>
      <c r="B26" s="18">
        <v>0</v>
      </c>
      <c r="C26" s="18">
        <v>9</v>
      </c>
      <c r="D26" s="2">
        <f t="shared" si="0"/>
        <v>-9</v>
      </c>
      <c r="E26" s="2"/>
      <c r="F26" s="2"/>
      <c r="G26" s="2"/>
      <c r="H26" s="2"/>
      <c r="I26" s="2"/>
      <c r="J26" s="2"/>
      <c r="K26" s="20" t="s">
        <v>1270</v>
      </c>
      <c r="L26" s="53" t="s">
        <v>1271</v>
      </c>
    </row>
    <row r="27" spans="1:12" x14ac:dyDescent="0.25">
      <c r="A27" s="17">
        <v>44455</v>
      </c>
      <c r="B27" s="18">
        <v>2</v>
      </c>
      <c r="C27" s="18">
        <v>2</v>
      </c>
      <c r="D27" s="2">
        <f t="shared" si="0"/>
        <v>0</v>
      </c>
      <c r="E27" s="2">
        <v>2</v>
      </c>
      <c r="F27" s="2"/>
      <c r="G27" s="2"/>
      <c r="H27" s="2"/>
      <c r="I27" s="2"/>
      <c r="J27" s="2"/>
      <c r="K27" s="19" t="s">
        <v>1272</v>
      </c>
      <c r="L27" s="53" t="s">
        <v>1271</v>
      </c>
    </row>
    <row r="28" spans="1:12" x14ac:dyDescent="0.25">
      <c r="A28" s="17">
        <v>44455</v>
      </c>
      <c r="B28" s="18">
        <v>6</v>
      </c>
      <c r="C28" s="18">
        <v>0</v>
      </c>
      <c r="D28" s="2">
        <f t="shared" si="0"/>
        <v>6</v>
      </c>
      <c r="E28" s="2"/>
      <c r="F28" s="2"/>
      <c r="G28" s="2"/>
      <c r="H28" s="2"/>
      <c r="I28" s="2"/>
      <c r="J28" s="2"/>
      <c r="K28" s="20" t="s">
        <v>1274</v>
      </c>
      <c r="L28" s="53" t="s">
        <v>1271</v>
      </c>
    </row>
    <row r="29" spans="1:12" ht="52.5" customHeight="1" x14ac:dyDescent="0.25">
      <c r="A29" s="17">
        <v>44455</v>
      </c>
      <c r="B29" s="18">
        <v>22</v>
      </c>
      <c r="C29" s="18">
        <v>0</v>
      </c>
      <c r="D29" s="2">
        <f t="shared" si="0"/>
        <v>22</v>
      </c>
      <c r="E29" s="2"/>
      <c r="F29" s="2"/>
      <c r="G29" s="2"/>
      <c r="H29" s="2"/>
      <c r="I29" s="2"/>
      <c r="J29" s="2"/>
      <c r="K29" s="19" t="s">
        <v>1276</v>
      </c>
      <c r="L29" s="53" t="s">
        <v>1275</v>
      </c>
    </row>
    <row r="30" spans="1:12" x14ac:dyDescent="0.25">
      <c r="A30" s="17">
        <v>44455</v>
      </c>
      <c r="B30" s="18">
        <v>1</v>
      </c>
      <c r="C30" s="18">
        <v>1</v>
      </c>
      <c r="D30" s="2">
        <f t="shared" si="0"/>
        <v>0</v>
      </c>
      <c r="E30" s="2"/>
      <c r="F30" s="2"/>
      <c r="G30" s="2"/>
      <c r="H30" s="2"/>
      <c r="I30" s="2"/>
      <c r="J30" s="2"/>
      <c r="K30" s="19" t="s">
        <v>1278</v>
      </c>
    </row>
    <row r="31" spans="1:12" x14ac:dyDescent="0.25">
      <c r="A31" s="17">
        <v>44455</v>
      </c>
      <c r="B31" s="18">
        <v>0</v>
      </c>
      <c r="C31" s="18">
        <v>1</v>
      </c>
      <c r="D31" s="2">
        <f t="shared" si="0"/>
        <v>-1</v>
      </c>
      <c r="E31" s="2"/>
      <c r="F31" s="2"/>
      <c r="G31" s="2"/>
      <c r="H31" s="2"/>
      <c r="I31" s="2"/>
      <c r="J31" s="2"/>
      <c r="K31" s="20" t="s">
        <v>1277</v>
      </c>
      <c r="L31" s="53" t="s">
        <v>1273</v>
      </c>
    </row>
    <row r="32" spans="1:12" ht="65.25" customHeight="1" x14ac:dyDescent="0.25">
      <c r="A32" s="17">
        <v>44455</v>
      </c>
      <c r="B32" s="18">
        <v>32</v>
      </c>
      <c r="C32" s="18">
        <v>0</v>
      </c>
      <c r="D32" s="2">
        <f t="shared" si="0"/>
        <v>32</v>
      </c>
      <c r="E32" s="2"/>
      <c r="F32" s="2"/>
      <c r="G32" s="2"/>
      <c r="H32" s="2"/>
      <c r="I32" s="2"/>
      <c r="J32" s="2"/>
      <c r="K32" s="19" t="s">
        <v>1280</v>
      </c>
      <c r="L32" s="53" t="s">
        <v>1279</v>
      </c>
    </row>
    <row r="33" spans="1:12" ht="45" x14ac:dyDescent="0.25">
      <c r="A33" s="17">
        <v>44455</v>
      </c>
      <c r="B33" s="18">
        <v>19</v>
      </c>
      <c r="C33" s="18">
        <v>0</v>
      </c>
      <c r="D33" s="2">
        <f t="shared" si="0"/>
        <v>19</v>
      </c>
      <c r="E33" s="2"/>
      <c r="F33" s="2"/>
      <c r="G33" s="2"/>
      <c r="H33" s="2"/>
      <c r="I33" s="2"/>
      <c r="J33" s="2"/>
      <c r="K33" s="19" t="s">
        <v>1282</v>
      </c>
      <c r="L33" s="53" t="s">
        <v>1281</v>
      </c>
    </row>
    <row r="34" spans="1:12" x14ac:dyDescent="0.25">
      <c r="A34" s="17">
        <v>44456</v>
      </c>
      <c r="B34" s="18">
        <v>7</v>
      </c>
      <c r="C34" s="18">
        <v>7</v>
      </c>
      <c r="D34" s="2">
        <f t="shared" si="0"/>
        <v>0</v>
      </c>
      <c r="E34" s="2">
        <v>7</v>
      </c>
      <c r="F34" s="2"/>
      <c r="G34" s="2"/>
      <c r="H34" s="2"/>
      <c r="I34" s="2"/>
      <c r="J34" s="2"/>
      <c r="K34" s="19" t="s">
        <v>1284</v>
      </c>
      <c r="L34" s="53" t="s">
        <v>1283</v>
      </c>
    </row>
    <row r="35" spans="1:12" x14ac:dyDescent="0.25">
      <c r="A35" s="17">
        <v>44461</v>
      </c>
      <c r="B35" s="18">
        <v>5</v>
      </c>
      <c r="C35" s="18">
        <v>5</v>
      </c>
      <c r="D35" s="2">
        <f t="shared" si="0"/>
        <v>0</v>
      </c>
      <c r="E35" s="2">
        <v>5</v>
      </c>
      <c r="F35" s="2"/>
      <c r="G35" s="2"/>
      <c r="H35" s="2"/>
      <c r="I35" s="2"/>
      <c r="J35" s="2"/>
      <c r="K35" s="19" t="s">
        <v>1285</v>
      </c>
      <c r="L35" s="53" t="s">
        <v>1286</v>
      </c>
    </row>
    <row r="36" spans="1:12" x14ac:dyDescent="0.25">
      <c r="A36" s="17">
        <v>44461</v>
      </c>
      <c r="B36" s="18">
        <v>0</v>
      </c>
      <c r="C36" s="18">
        <v>0</v>
      </c>
      <c r="D36" s="2">
        <f t="shared" si="0"/>
        <v>0</v>
      </c>
      <c r="E36" s="2">
        <v>20</v>
      </c>
      <c r="F36" s="2"/>
      <c r="G36" s="2"/>
      <c r="H36" s="2"/>
      <c r="I36" s="2"/>
      <c r="J36" s="2"/>
      <c r="K36" s="19" t="s">
        <v>107</v>
      </c>
      <c r="L36" s="53" t="s">
        <v>1287</v>
      </c>
    </row>
    <row r="37" spans="1:12" ht="44.25" customHeight="1" x14ac:dyDescent="0.35">
      <c r="A37" s="17">
        <v>44461</v>
      </c>
      <c r="B37" s="18">
        <v>20</v>
      </c>
      <c r="C37" s="18">
        <v>0</v>
      </c>
      <c r="D37" s="2">
        <f t="shared" si="0"/>
        <v>20</v>
      </c>
      <c r="E37" s="2"/>
      <c r="F37" s="2"/>
      <c r="G37" s="2"/>
      <c r="H37" s="2"/>
      <c r="I37" s="2"/>
      <c r="J37" s="2"/>
      <c r="K37" s="19" t="s">
        <v>1288</v>
      </c>
      <c r="L37" s="91" t="s">
        <v>1289</v>
      </c>
    </row>
    <row r="38" spans="1:12" x14ac:dyDescent="0.25">
      <c r="A38" s="17">
        <v>44463</v>
      </c>
      <c r="B38" s="18">
        <v>0</v>
      </c>
      <c r="C38" s="18">
        <v>0</v>
      </c>
      <c r="D38" s="2">
        <f t="shared" si="0"/>
        <v>0</v>
      </c>
      <c r="E38" s="2">
        <v>14</v>
      </c>
      <c r="F38" s="2"/>
      <c r="G38" s="2"/>
      <c r="H38" s="2"/>
      <c r="I38" s="2"/>
      <c r="J38" s="2"/>
      <c r="K38" s="19" t="s">
        <v>107</v>
      </c>
      <c r="L38" s="53" t="s">
        <v>1290</v>
      </c>
    </row>
    <row r="39" spans="1:12" ht="61.5" customHeight="1" x14ac:dyDescent="0.25">
      <c r="A39" s="17">
        <v>44463</v>
      </c>
      <c r="B39" s="18">
        <v>0</v>
      </c>
      <c r="C39" s="18">
        <v>22</v>
      </c>
      <c r="D39" s="2">
        <f t="shared" si="0"/>
        <v>-22</v>
      </c>
      <c r="E39" s="2"/>
      <c r="F39" s="2"/>
      <c r="G39" s="2"/>
      <c r="H39" s="2"/>
      <c r="I39" s="2"/>
      <c r="J39" s="2"/>
      <c r="K39" s="19" t="s">
        <v>1291</v>
      </c>
      <c r="L39" s="53" t="s">
        <v>1292</v>
      </c>
    </row>
    <row r="40" spans="1:12" x14ac:dyDescent="0.25">
      <c r="A40" s="17">
        <v>44466</v>
      </c>
      <c r="B40" s="18">
        <v>0</v>
      </c>
      <c r="C40" s="18">
        <v>3</v>
      </c>
      <c r="D40" s="2">
        <f t="shared" si="0"/>
        <v>-3</v>
      </c>
      <c r="E40" s="2"/>
      <c r="F40" s="2"/>
      <c r="G40" s="2"/>
      <c r="H40" s="2"/>
      <c r="I40" s="2"/>
      <c r="J40" s="2"/>
      <c r="K40" s="19" t="s">
        <v>1293</v>
      </c>
      <c r="L40" s="53" t="s">
        <v>1294</v>
      </c>
    </row>
    <row r="41" spans="1:12" ht="45" x14ac:dyDescent="0.25">
      <c r="A41" s="17">
        <v>44466</v>
      </c>
      <c r="B41" s="18">
        <v>14</v>
      </c>
      <c r="C41" s="18">
        <v>0</v>
      </c>
      <c r="D41" s="2">
        <f t="shared" si="0"/>
        <v>14</v>
      </c>
      <c r="E41" s="2"/>
      <c r="F41" s="2"/>
      <c r="G41" s="2"/>
      <c r="H41" s="2"/>
      <c r="I41" s="2"/>
      <c r="J41" s="2"/>
      <c r="K41" s="19" t="s">
        <v>1296</v>
      </c>
      <c r="L41" s="53" t="s">
        <v>1295</v>
      </c>
    </row>
    <row r="42" spans="1:12" ht="45" x14ac:dyDescent="0.25">
      <c r="A42" s="17">
        <v>44469</v>
      </c>
      <c r="B42" s="18">
        <v>0</v>
      </c>
      <c r="C42" s="18">
        <v>18</v>
      </c>
      <c r="D42" s="2">
        <f t="shared" si="0"/>
        <v>-18</v>
      </c>
      <c r="E42" s="2"/>
      <c r="F42" s="2"/>
      <c r="G42" s="2"/>
      <c r="H42" s="2"/>
      <c r="I42" s="2"/>
      <c r="J42" s="2"/>
      <c r="K42" s="19" t="s">
        <v>1298</v>
      </c>
      <c r="L42" s="53" t="s">
        <v>1297</v>
      </c>
    </row>
    <row r="43" spans="1:12" x14ac:dyDescent="0.25">
      <c r="A43" s="17"/>
      <c r="B43" s="18"/>
      <c r="C43" s="18"/>
      <c r="D43" s="2">
        <f t="shared" si="0"/>
        <v>0</v>
      </c>
      <c r="E43" s="2"/>
      <c r="F43" s="2"/>
      <c r="G43" s="2"/>
      <c r="H43" s="2"/>
      <c r="I43" s="2"/>
      <c r="J43" s="2"/>
      <c r="K43" s="20"/>
    </row>
  </sheetData>
  <sheetProtection algorithmName="SHA-512" hashValue="u6umdDP+xhHzWlXtAl60j4bAo96jHdGijhjHFdDOHEHA1jKBtHqnBpu3/541CGGT9HjtFF36aNei9UoC/JHPLg==" saltValue="nGNkcncSgrEBgLdCfZYTUA==" spinCount="100000" sheet="1" objects="1" scenarios="1" selectLockedCells="1" selectUnlockedCells="1"/>
  <customSheetViews>
    <customSheetView guid="{E5A7B818-645B-417C-A128-9FE559D9B124}" fitToPage="1">
      <pane ySplit="6" topLeftCell="A8" activePane="bottomLeft" state="frozen"/>
      <selection pane="bottomLeft" activeCell="F19" sqref="F19"/>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19" priority="1" operator="lessThan">
      <formula>0</formula>
    </cfRule>
    <cfRule type="cellIs" dxfId="11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L44"/>
  <sheetViews>
    <sheetView workbookViewId="0">
      <pane ySplit="6" topLeftCell="A7" activePane="bottomLeft" state="frozen"/>
      <selection pane="bottomLeft" activeCell="B23" sqref="B23"/>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48</v>
      </c>
    </row>
    <row r="3" spans="1:12" ht="15.75" thickBot="1" x14ac:dyDescent="0.3">
      <c r="A3" s="5"/>
      <c r="B3" s="2"/>
      <c r="C3" s="2"/>
      <c r="D3" s="2"/>
      <c r="E3" s="2"/>
      <c r="F3" s="2">
        <f>'09.21'!F6</f>
        <v>575</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558</v>
      </c>
      <c r="G6" s="30">
        <f>SUM(B:B)</f>
        <v>100</v>
      </c>
      <c r="H6" s="30">
        <f>SUM(C:C)</f>
        <v>117</v>
      </c>
      <c r="I6" s="30"/>
      <c r="J6" s="33">
        <f>SUM(G6:H6)+SUM(E:E)</f>
        <v>300</v>
      </c>
      <c r="K6" s="34"/>
      <c r="L6" s="50">
        <f>J6/K1</f>
        <v>0.49504950495049505</v>
      </c>
    </row>
    <row r="7" spans="1:12" ht="15" customHeight="1" x14ac:dyDescent="0.25">
      <c r="A7" s="17">
        <v>44474</v>
      </c>
      <c r="B7" s="18">
        <v>0</v>
      </c>
      <c r="C7" s="18">
        <v>0</v>
      </c>
      <c r="D7" s="2">
        <f t="shared" ref="D7:D44" si="0">B7-C7</f>
        <v>0</v>
      </c>
      <c r="E7" s="2">
        <v>8</v>
      </c>
      <c r="F7" s="2"/>
      <c r="G7" s="2"/>
      <c r="H7" s="2"/>
      <c r="I7" s="2"/>
      <c r="J7" s="2"/>
      <c r="K7" s="19" t="s">
        <v>107</v>
      </c>
      <c r="L7" s="53" t="s">
        <v>1299</v>
      </c>
    </row>
    <row r="8" spans="1:12" ht="15" customHeight="1" x14ac:dyDescent="0.25">
      <c r="A8" s="17">
        <v>44475</v>
      </c>
      <c r="B8" s="18">
        <v>8</v>
      </c>
      <c r="C8" s="18">
        <v>0</v>
      </c>
      <c r="D8" s="2">
        <f t="shared" si="0"/>
        <v>8</v>
      </c>
      <c r="E8" s="2"/>
      <c r="F8" s="2"/>
      <c r="G8" s="2"/>
      <c r="H8" s="2"/>
      <c r="I8" s="2"/>
      <c r="J8" s="2"/>
      <c r="K8" s="19" t="s">
        <v>1300</v>
      </c>
      <c r="L8" s="53" t="s">
        <v>1301</v>
      </c>
    </row>
    <row r="9" spans="1:12" ht="39" customHeight="1" x14ac:dyDescent="0.25">
      <c r="A9" s="17">
        <v>44476</v>
      </c>
      <c r="B9" s="18">
        <v>0</v>
      </c>
      <c r="C9" s="18">
        <v>17</v>
      </c>
      <c r="D9" s="2">
        <f t="shared" si="0"/>
        <v>-17</v>
      </c>
      <c r="E9" s="2"/>
      <c r="F9" s="2"/>
      <c r="G9" s="2"/>
      <c r="H9" s="2"/>
      <c r="I9" s="2"/>
      <c r="J9" s="2"/>
      <c r="K9" s="19" t="s">
        <v>1302</v>
      </c>
      <c r="L9" s="53" t="s">
        <v>1303</v>
      </c>
    </row>
    <row r="10" spans="1:12" ht="15" customHeight="1" x14ac:dyDescent="0.25">
      <c r="A10" s="17">
        <v>44476</v>
      </c>
      <c r="B10" s="18">
        <v>2</v>
      </c>
      <c r="C10" s="18">
        <v>2</v>
      </c>
      <c r="D10" s="2">
        <f t="shared" si="0"/>
        <v>0</v>
      </c>
      <c r="E10" s="2">
        <v>2</v>
      </c>
      <c r="F10" s="2"/>
      <c r="G10" s="2"/>
      <c r="H10" s="2"/>
      <c r="I10" s="2"/>
      <c r="J10" s="2"/>
      <c r="K10" s="19" t="s">
        <v>1304</v>
      </c>
      <c r="L10" s="53" t="s">
        <v>1303</v>
      </c>
    </row>
    <row r="11" spans="1:12" ht="15" customHeight="1" x14ac:dyDescent="0.3">
      <c r="A11" s="17">
        <v>44476</v>
      </c>
      <c r="B11" s="18">
        <v>2</v>
      </c>
      <c r="C11" s="18">
        <v>0</v>
      </c>
      <c r="D11" s="2">
        <f t="shared" si="0"/>
        <v>2</v>
      </c>
      <c r="E11" s="2"/>
      <c r="F11" s="2"/>
      <c r="G11" s="2"/>
      <c r="H11" s="2"/>
      <c r="I11" s="2"/>
      <c r="J11" s="2"/>
      <c r="K11" s="19" t="s">
        <v>1306</v>
      </c>
      <c r="L11" s="38"/>
    </row>
    <row r="12" spans="1:12" ht="15" customHeight="1" x14ac:dyDescent="0.25">
      <c r="A12" s="17">
        <v>44476</v>
      </c>
      <c r="B12" s="18">
        <v>0</v>
      </c>
      <c r="C12" s="18">
        <v>0</v>
      </c>
      <c r="D12" s="2">
        <f t="shared" si="0"/>
        <v>0</v>
      </c>
      <c r="E12" s="2">
        <v>18</v>
      </c>
      <c r="F12" s="2"/>
      <c r="G12" s="2"/>
      <c r="H12" s="2"/>
      <c r="I12" s="2"/>
      <c r="J12" s="2"/>
      <c r="K12" s="19" t="s">
        <v>107</v>
      </c>
      <c r="L12" s="53" t="s">
        <v>1307</v>
      </c>
    </row>
    <row r="13" spans="1:12" ht="39.75" customHeight="1" x14ac:dyDescent="0.25">
      <c r="A13" s="17">
        <v>44477</v>
      </c>
      <c r="B13" s="18">
        <v>18</v>
      </c>
      <c r="C13" s="18">
        <v>0</v>
      </c>
      <c r="D13" s="2">
        <f t="shared" si="0"/>
        <v>18</v>
      </c>
      <c r="E13" s="2"/>
      <c r="F13" s="2"/>
      <c r="G13" s="2"/>
      <c r="H13" s="2"/>
      <c r="I13" s="2"/>
      <c r="J13" s="2"/>
      <c r="K13" s="19" t="s">
        <v>1308</v>
      </c>
      <c r="L13" s="53" t="s">
        <v>1309</v>
      </c>
    </row>
    <row r="14" spans="1:12" ht="15" customHeight="1" x14ac:dyDescent="0.25">
      <c r="A14" s="17">
        <v>44480</v>
      </c>
      <c r="B14" s="18">
        <v>0</v>
      </c>
      <c r="C14" s="18">
        <v>2</v>
      </c>
      <c r="D14" s="2">
        <f t="shared" si="0"/>
        <v>-2</v>
      </c>
      <c r="E14" s="2"/>
      <c r="F14" s="2"/>
      <c r="G14" s="2"/>
      <c r="H14" s="2"/>
      <c r="I14" s="2"/>
      <c r="J14" s="2"/>
      <c r="K14" s="19" t="s">
        <v>1310</v>
      </c>
      <c r="L14" s="53" t="s">
        <v>1305</v>
      </c>
    </row>
    <row r="15" spans="1:12" ht="15" customHeight="1" x14ac:dyDescent="0.25">
      <c r="A15" s="17">
        <v>44481</v>
      </c>
      <c r="B15" s="18">
        <v>1</v>
      </c>
      <c r="C15" s="18">
        <v>1</v>
      </c>
      <c r="D15" s="2">
        <f t="shared" si="0"/>
        <v>0</v>
      </c>
      <c r="E15" s="2">
        <v>1</v>
      </c>
      <c r="F15" s="2"/>
      <c r="G15" s="2"/>
      <c r="H15" s="2"/>
      <c r="I15" s="2"/>
      <c r="J15" s="2"/>
      <c r="K15" s="19">
        <v>127</v>
      </c>
      <c r="L15" s="27" t="s">
        <v>1311</v>
      </c>
    </row>
    <row r="16" spans="1:12" ht="15" customHeight="1" x14ac:dyDescent="0.25">
      <c r="A16" s="17">
        <v>44483</v>
      </c>
      <c r="B16" s="18">
        <v>0</v>
      </c>
      <c r="C16" s="18">
        <v>0</v>
      </c>
      <c r="D16" s="2">
        <f t="shared" si="0"/>
        <v>0</v>
      </c>
      <c r="E16" s="2">
        <v>15</v>
      </c>
      <c r="F16" s="2"/>
      <c r="G16" s="2"/>
      <c r="H16" s="2"/>
      <c r="I16" s="2"/>
      <c r="J16" s="2"/>
      <c r="K16" s="19" t="s">
        <v>107</v>
      </c>
      <c r="L16" s="53" t="s">
        <v>1312</v>
      </c>
    </row>
    <row r="17" spans="1:12" ht="71.25" customHeight="1" x14ac:dyDescent="0.25">
      <c r="A17" s="17">
        <v>44484</v>
      </c>
      <c r="B17" s="18">
        <v>0</v>
      </c>
      <c r="C17" s="18">
        <v>33</v>
      </c>
      <c r="D17" s="2">
        <f t="shared" si="0"/>
        <v>-33</v>
      </c>
      <c r="E17" s="2"/>
      <c r="F17" s="2"/>
      <c r="G17" s="2"/>
      <c r="H17" s="2"/>
      <c r="I17" s="2"/>
      <c r="J17" s="2"/>
      <c r="K17" s="19" t="s">
        <v>1313</v>
      </c>
      <c r="L17" s="53" t="s">
        <v>1314</v>
      </c>
    </row>
    <row r="18" spans="1:12" ht="15" customHeight="1" x14ac:dyDescent="0.25">
      <c r="A18" s="17">
        <v>44484</v>
      </c>
      <c r="B18" s="18">
        <v>10</v>
      </c>
      <c r="C18" s="18">
        <v>0</v>
      </c>
      <c r="D18" s="2">
        <f t="shared" si="0"/>
        <v>10</v>
      </c>
      <c r="E18" s="2"/>
      <c r="F18" s="2"/>
      <c r="G18" s="2"/>
      <c r="H18" s="2"/>
      <c r="I18" s="2"/>
      <c r="J18" s="2"/>
      <c r="K18" s="19" t="s">
        <v>1316</v>
      </c>
    </row>
    <row r="19" spans="1:12" ht="36.75" customHeight="1" x14ac:dyDescent="0.25">
      <c r="A19" s="17">
        <v>44484</v>
      </c>
      <c r="B19" s="18">
        <v>15</v>
      </c>
      <c r="C19" s="18">
        <v>0</v>
      </c>
      <c r="D19" s="2">
        <f t="shared" si="0"/>
        <v>15</v>
      </c>
      <c r="E19" s="2"/>
      <c r="F19" s="2"/>
      <c r="G19" s="2"/>
      <c r="H19" s="2"/>
      <c r="I19" s="2"/>
      <c r="J19" s="2"/>
      <c r="K19" s="19" t="s">
        <v>1317</v>
      </c>
      <c r="L19" s="53" t="s">
        <v>1315</v>
      </c>
    </row>
    <row r="20" spans="1:12" ht="15" customHeight="1" x14ac:dyDescent="0.25">
      <c r="A20" s="17">
        <v>44487</v>
      </c>
      <c r="B20" s="18">
        <v>4</v>
      </c>
      <c r="C20" s="18">
        <v>0</v>
      </c>
      <c r="D20" s="2">
        <f t="shared" si="0"/>
        <v>4</v>
      </c>
      <c r="E20" s="2"/>
      <c r="F20" s="2"/>
      <c r="G20" s="2"/>
      <c r="H20" s="2"/>
      <c r="I20" s="2"/>
      <c r="J20" s="2"/>
      <c r="K20" s="19" t="s">
        <v>1319</v>
      </c>
      <c r="L20" s="53" t="s">
        <v>1318</v>
      </c>
    </row>
    <row r="21" spans="1:12" ht="15" customHeight="1" x14ac:dyDescent="0.25">
      <c r="A21" s="21">
        <v>44488</v>
      </c>
      <c r="B21" s="22">
        <v>0</v>
      </c>
      <c r="C21" s="22">
        <v>0</v>
      </c>
      <c r="D21" s="2">
        <f t="shared" si="0"/>
        <v>0</v>
      </c>
      <c r="E21" s="23">
        <v>3</v>
      </c>
      <c r="F21" s="23"/>
      <c r="G21" s="23"/>
      <c r="H21" s="23"/>
      <c r="I21" s="23"/>
      <c r="J21" s="23"/>
      <c r="K21" s="19" t="s">
        <v>107</v>
      </c>
    </row>
    <row r="22" spans="1:12" ht="15" customHeight="1" x14ac:dyDescent="0.25">
      <c r="A22" s="17">
        <v>44488</v>
      </c>
      <c r="B22" s="18">
        <v>3</v>
      </c>
      <c r="C22" s="18">
        <v>0</v>
      </c>
      <c r="D22" s="2">
        <f t="shared" si="0"/>
        <v>3</v>
      </c>
      <c r="E22" s="2"/>
      <c r="F22" s="2"/>
      <c r="G22" s="2"/>
      <c r="H22" s="2"/>
      <c r="I22" s="2"/>
      <c r="J22" s="2"/>
      <c r="K22" s="25" t="s">
        <v>1320</v>
      </c>
    </row>
    <row r="23" spans="1:12" ht="39" customHeight="1" x14ac:dyDescent="0.25">
      <c r="A23" s="17">
        <v>44491</v>
      </c>
      <c r="B23" s="18">
        <v>0</v>
      </c>
      <c r="C23" s="18">
        <v>16</v>
      </c>
      <c r="D23" s="2">
        <f t="shared" si="0"/>
        <v>-16</v>
      </c>
      <c r="E23" s="2"/>
      <c r="F23" s="2"/>
      <c r="G23" s="2"/>
      <c r="H23" s="2"/>
      <c r="I23" s="2"/>
      <c r="J23" s="2"/>
      <c r="K23" s="49" t="s">
        <v>1321</v>
      </c>
      <c r="L23" s="53" t="s">
        <v>1322</v>
      </c>
    </row>
    <row r="24" spans="1:12" ht="15" customHeight="1" x14ac:dyDescent="0.25">
      <c r="A24" s="17">
        <v>44491</v>
      </c>
      <c r="B24" s="18">
        <v>1</v>
      </c>
      <c r="C24" s="18">
        <v>0</v>
      </c>
      <c r="D24" s="2">
        <f t="shared" si="0"/>
        <v>1</v>
      </c>
      <c r="E24" s="2"/>
      <c r="F24" s="2"/>
      <c r="G24" s="2"/>
      <c r="H24" s="2"/>
      <c r="I24" s="2"/>
      <c r="J24" s="2"/>
      <c r="K24" s="19">
        <v>137</v>
      </c>
    </row>
    <row r="25" spans="1:12" ht="39" customHeight="1" x14ac:dyDescent="0.25">
      <c r="A25" s="17">
        <v>44491</v>
      </c>
      <c r="B25" s="18">
        <v>0</v>
      </c>
      <c r="C25" s="18">
        <v>4</v>
      </c>
      <c r="D25" s="2">
        <f t="shared" si="0"/>
        <v>-4</v>
      </c>
      <c r="E25" s="2"/>
      <c r="F25" s="2"/>
      <c r="G25" s="2"/>
      <c r="H25" s="2"/>
      <c r="I25" s="2"/>
      <c r="J25" s="2"/>
      <c r="K25" s="19" t="s">
        <v>1325</v>
      </c>
      <c r="L25" s="53" t="s">
        <v>1326</v>
      </c>
    </row>
    <row r="26" spans="1:12" ht="36" customHeight="1" x14ac:dyDescent="0.25">
      <c r="A26" s="17">
        <v>44494</v>
      </c>
      <c r="B26" s="18">
        <v>0</v>
      </c>
      <c r="C26" s="18">
        <v>19</v>
      </c>
      <c r="D26" s="2">
        <f t="shared" ref="D26" si="1">B26-C26</f>
        <v>-19</v>
      </c>
      <c r="E26" s="2"/>
      <c r="F26" s="2"/>
      <c r="G26" s="2"/>
      <c r="H26" s="2"/>
      <c r="I26" s="2"/>
      <c r="J26" s="2"/>
      <c r="K26" s="19" t="s">
        <v>1323</v>
      </c>
      <c r="L26" s="53" t="s">
        <v>1324</v>
      </c>
    </row>
    <row r="27" spans="1:12" x14ac:dyDescent="0.25">
      <c r="A27" s="17">
        <v>44495</v>
      </c>
      <c r="B27" s="18">
        <v>0</v>
      </c>
      <c r="C27" s="18">
        <v>0</v>
      </c>
      <c r="D27" s="2">
        <f t="shared" si="0"/>
        <v>0</v>
      </c>
      <c r="E27" s="2">
        <v>36</v>
      </c>
      <c r="F27" s="2"/>
      <c r="G27" s="2"/>
      <c r="H27" s="2"/>
      <c r="I27" s="2"/>
      <c r="J27" s="2"/>
      <c r="K27" s="19" t="s">
        <v>107</v>
      </c>
      <c r="L27" s="53" t="s">
        <v>1327</v>
      </c>
    </row>
    <row r="28" spans="1:12" ht="74.25" customHeight="1" x14ac:dyDescent="0.25">
      <c r="A28" s="17">
        <v>44495</v>
      </c>
      <c r="B28" s="18">
        <v>36</v>
      </c>
      <c r="C28" s="18">
        <v>0</v>
      </c>
      <c r="D28" s="2">
        <f t="shared" si="0"/>
        <v>36</v>
      </c>
      <c r="E28" s="2"/>
      <c r="F28" s="2"/>
      <c r="G28" s="2"/>
      <c r="H28" s="2"/>
      <c r="I28" s="2"/>
      <c r="J28" s="2"/>
      <c r="K28" s="19" t="s">
        <v>1328</v>
      </c>
      <c r="L28" s="53" t="s">
        <v>1329</v>
      </c>
    </row>
    <row r="29" spans="1:12" ht="45" x14ac:dyDescent="0.25">
      <c r="A29" s="17">
        <v>44497</v>
      </c>
      <c r="B29" s="18">
        <v>0</v>
      </c>
      <c r="C29" s="18">
        <v>23</v>
      </c>
      <c r="D29" s="2">
        <f t="shared" si="0"/>
        <v>-23</v>
      </c>
      <c r="E29" s="2"/>
      <c r="F29" s="2"/>
      <c r="G29" s="2"/>
      <c r="H29" s="2"/>
      <c r="I29" s="2"/>
      <c r="J29" s="2"/>
      <c r="K29" s="19" t="s">
        <v>1330</v>
      </c>
      <c r="L29" s="53" t="s">
        <v>1331</v>
      </c>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GiT2sMxm9j92g3eb1kdN/Kggotg1SiAdM7MxAiilTlgHY/r7xOs8i20uxZ4IIGnbdRCyArx6BOK4xnnc9HDdGg==" saltValue="rHXqFP4t8yerjLR4xfucJA==" spinCount="100000" sheet="1" objects="1" scenarios="1" selectLockedCells="1" selectUnlockedCells="1"/>
  <customSheetViews>
    <customSheetView guid="{E5A7B818-645B-417C-A128-9FE559D9B124}" fitToPage="1">
      <pane ySplit="6" topLeftCell="A7" activePane="bottomLeft" state="frozen"/>
      <selection pane="bottomLeft" activeCell="B23" sqref="B23"/>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117" priority="1" operator="lessThan">
      <formula>0</formula>
    </cfRule>
    <cfRule type="cellIs" dxfId="11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L44"/>
  <sheetViews>
    <sheetView workbookViewId="0">
      <pane ySplit="6" topLeftCell="A7" activePane="bottomLeft" state="frozen"/>
      <selection pane="bottomLeft" activeCell="K8" sqref="K8"/>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99</v>
      </c>
    </row>
    <row r="3" spans="1:12" ht="15.75" thickBot="1" x14ac:dyDescent="0.3">
      <c r="A3" s="5"/>
      <c r="B3" s="2"/>
      <c r="C3" s="2"/>
      <c r="D3" s="2"/>
      <c r="E3" s="2"/>
      <c r="F3" s="2">
        <f>'10.21'!F6</f>
        <v>558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507</v>
      </c>
      <c r="G6" s="30">
        <f>SUM(B:B)</f>
        <v>54</v>
      </c>
      <c r="H6" s="30">
        <f>SUM(C:C)</f>
        <v>105</v>
      </c>
      <c r="I6" s="30"/>
      <c r="J6" s="33">
        <f>SUM(G6:H6)+SUM(E:E)</f>
        <v>159</v>
      </c>
      <c r="K6" s="34"/>
      <c r="L6" s="50">
        <f>J6/K1</f>
        <v>0.26237623762376239</v>
      </c>
    </row>
    <row r="7" spans="1:12" ht="54" customHeight="1" x14ac:dyDescent="0.25">
      <c r="A7" s="17">
        <v>44501</v>
      </c>
      <c r="B7" s="18">
        <v>25</v>
      </c>
      <c r="C7" s="18">
        <v>0</v>
      </c>
      <c r="D7" s="2">
        <f t="shared" ref="D7:D44" si="0">B7-C7</f>
        <v>25</v>
      </c>
      <c r="E7" s="2"/>
      <c r="F7" s="2"/>
      <c r="G7" s="2"/>
      <c r="H7" s="2"/>
      <c r="I7" s="2"/>
      <c r="J7" s="2"/>
      <c r="K7" s="19" t="s">
        <v>1332</v>
      </c>
      <c r="L7" s="27" t="s">
        <v>1333</v>
      </c>
    </row>
    <row r="8" spans="1:12" ht="39.75" customHeight="1" x14ac:dyDescent="0.25">
      <c r="A8" s="17">
        <v>44505</v>
      </c>
      <c r="B8" s="18">
        <v>0</v>
      </c>
      <c r="C8" s="18">
        <v>19</v>
      </c>
      <c r="D8" s="2">
        <f t="shared" si="0"/>
        <v>-19</v>
      </c>
      <c r="E8" s="2"/>
      <c r="F8" s="2"/>
      <c r="G8" s="2"/>
      <c r="H8" s="2"/>
      <c r="I8" s="2"/>
      <c r="J8" s="2"/>
      <c r="K8" s="19" t="s">
        <v>1335</v>
      </c>
      <c r="L8" s="27" t="s">
        <v>1336</v>
      </c>
    </row>
    <row r="9" spans="1:12" ht="15" customHeight="1" x14ac:dyDescent="0.25">
      <c r="A9" s="17">
        <v>44511</v>
      </c>
      <c r="B9" s="18">
        <v>0</v>
      </c>
      <c r="C9" s="18">
        <v>3</v>
      </c>
      <c r="D9" s="2">
        <f t="shared" si="0"/>
        <v>-3</v>
      </c>
      <c r="E9" s="2">
        <v>0</v>
      </c>
      <c r="F9" s="2"/>
      <c r="G9" s="2"/>
      <c r="H9" s="2"/>
      <c r="I9" s="2"/>
      <c r="J9" s="2"/>
      <c r="K9" s="19" t="s">
        <v>1337</v>
      </c>
      <c r="L9" s="27" t="s">
        <v>1338</v>
      </c>
    </row>
    <row r="10" spans="1:12" ht="15" customHeight="1" x14ac:dyDescent="0.25">
      <c r="A10" s="17">
        <v>44511</v>
      </c>
      <c r="B10" s="18">
        <v>3</v>
      </c>
      <c r="C10" s="18">
        <v>0</v>
      </c>
      <c r="D10" s="2">
        <f t="shared" si="0"/>
        <v>3</v>
      </c>
      <c r="E10" s="2"/>
      <c r="F10" s="2"/>
      <c r="G10" s="2"/>
      <c r="H10" s="2"/>
      <c r="I10" s="2"/>
      <c r="J10" s="2"/>
      <c r="K10" s="19" t="s">
        <v>1339</v>
      </c>
      <c r="L10" s="27" t="s">
        <v>1340</v>
      </c>
    </row>
    <row r="11" spans="1:12" ht="39" customHeight="1" x14ac:dyDescent="0.25">
      <c r="A11" s="17">
        <v>44511</v>
      </c>
      <c r="B11" s="18">
        <v>0</v>
      </c>
      <c r="C11" s="18">
        <v>17</v>
      </c>
      <c r="D11" s="2">
        <f t="shared" si="0"/>
        <v>-17</v>
      </c>
      <c r="E11" s="2"/>
      <c r="F11" s="2"/>
      <c r="G11" s="2"/>
      <c r="H11" s="2"/>
      <c r="I11" s="2"/>
      <c r="J11" s="2"/>
      <c r="K11" s="19" t="s">
        <v>1341</v>
      </c>
      <c r="L11" s="27" t="s">
        <v>1342</v>
      </c>
    </row>
    <row r="12" spans="1:12" ht="15" customHeight="1" x14ac:dyDescent="0.25">
      <c r="A12" s="17">
        <v>44511</v>
      </c>
      <c r="B12" s="18">
        <v>7</v>
      </c>
      <c r="C12" s="18">
        <v>0</v>
      </c>
      <c r="D12" s="2">
        <f t="shared" si="0"/>
        <v>7</v>
      </c>
      <c r="E12" s="2"/>
      <c r="F12" s="2"/>
      <c r="G12" s="2"/>
      <c r="H12" s="2"/>
      <c r="I12" s="2"/>
      <c r="J12" s="2"/>
      <c r="K12" s="19" t="s">
        <v>1343</v>
      </c>
    </row>
    <row r="13" spans="1:12" ht="53.25" customHeight="1" x14ac:dyDescent="0.25">
      <c r="A13" s="17">
        <v>44518</v>
      </c>
      <c r="B13" s="18">
        <v>0</v>
      </c>
      <c r="C13" s="18">
        <v>24</v>
      </c>
      <c r="D13" s="2">
        <f t="shared" si="0"/>
        <v>-24</v>
      </c>
      <c r="E13" s="2"/>
      <c r="F13" s="2"/>
      <c r="G13" s="2"/>
      <c r="H13" s="2"/>
      <c r="I13" s="2"/>
      <c r="J13" s="2"/>
      <c r="K13" s="19" t="s">
        <v>1344</v>
      </c>
      <c r="L13" s="27" t="s">
        <v>1345</v>
      </c>
    </row>
    <row r="14" spans="1:12" ht="15" customHeight="1" x14ac:dyDescent="0.25">
      <c r="A14" s="17">
        <v>44518</v>
      </c>
      <c r="B14" s="18">
        <v>1</v>
      </c>
      <c r="C14" s="18">
        <v>1</v>
      </c>
      <c r="D14" s="2">
        <f t="shared" si="0"/>
        <v>0</v>
      </c>
      <c r="E14" s="2"/>
      <c r="F14" s="2"/>
      <c r="G14" s="2"/>
      <c r="H14" s="2"/>
      <c r="I14" s="2"/>
      <c r="J14" s="2"/>
      <c r="K14" s="19">
        <v>502800</v>
      </c>
      <c r="L14" s="27" t="s">
        <v>1346</v>
      </c>
    </row>
    <row r="15" spans="1:12" ht="39.75" customHeight="1" x14ac:dyDescent="0.25">
      <c r="A15" s="17">
        <v>44518</v>
      </c>
      <c r="B15" s="18">
        <v>13</v>
      </c>
      <c r="C15" s="18">
        <v>0</v>
      </c>
      <c r="D15" s="2">
        <f t="shared" si="0"/>
        <v>13</v>
      </c>
      <c r="E15" s="2"/>
      <c r="F15" s="2"/>
      <c r="G15" s="2"/>
      <c r="H15" s="2"/>
      <c r="I15" s="2"/>
      <c r="J15" s="2"/>
      <c r="K15" s="19" t="s">
        <v>1347</v>
      </c>
    </row>
    <row r="16" spans="1:12" ht="15" customHeight="1" x14ac:dyDescent="0.25">
      <c r="A16" s="17">
        <v>44522</v>
      </c>
      <c r="B16" s="18">
        <v>0</v>
      </c>
      <c r="C16" s="18">
        <v>9</v>
      </c>
      <c r="D16" s="2">
        <f t="shared" si="0"/>
        <v>-9</v>
      </c>
      <c r="E16" s="2"/>
      <c r="F16" s="2"/>
      <c r="G16" s="2"/>
      <c r="H16" s="2"/>
      <c r="I16" s="2"/>
      <c r="J16" s="2"/>
      <c r="K16" s="19" t="s">
        <v>1348</v>
      </c>
      <c r="L16" s="27" t="s">
        <v>1349</v>
      </c>
    </row>
    <row r="17" spans="1:12" ht="39" customHeight="1" x14ac:dyDescent="0.25">
      <c r="A17" s="17">
        <v>44525</v>
      </c>
      <c r="B17" s="18">
        <v>0</v>
      </c>
      <c r="C17" s="18">
        <v>19</v>
      </c>
      <c r="D17" s="2">
        <f t="shared" si="0"/>
        <v>-19</v>
      </c>
      <c r="E17" s="2"/>
      <c r="F17" s="2"/>
      <c r="G17" s="2"/>
      <c r="H17" s="2"/>
      <c r="I17" s="2"/>
      <c r="J17" s="2"/>
      <c r="K17" s="19" t="s">
        <v>1350</v>
      </c>
      <c r="L17" s="27" t="s">
        <v>1351</v>
      </c>
    </row>
    <row r="18" spans="1:12" ht="39" customHeight="1" x14ac:dyDescent="0.25">
      <c r="A18" s="17">
        <v>44525</v>
      </c>
      <c r="B18" s="18">
        <v>0</v>
      </c>
      <c r="C18" s="18">
        <v>13</v>
      </c>
      <c r="D18" s="2">
        <f t="shared" si="0"/>
        <v>-13</v>
      </c>
      <c r="E18" s="2"/>
      <c r="F18" s="2"/>
      <c r="G18" s="2"/>
      <c r="H18" s="2"/>
      <c r="I18" s="2"/>
      <c r="J18" s="2"/>
      <c r="K18" s="19" t="s">
        <v>1353</v>
      </c>
      <c r="L18" s="27" t="s">
        <v>1352</v>
      </c>
    </row>
    <row r="19" spans="1:12" ht="15" customHeight="1" x14ac:dyDescent="0.25">
      <c r="A19" s="17">
        <v>44525</v>
      </c>
      <c r="B19" s="18">
        <v>5</v>
      </c>
      <c r="C19" s="18">
        <v>0</v>
      </c>
      <c r="D19" s="2">
        <f t="shared" si="0"/>
        <v>5</v>
      </c>
      <c r="E19" s="2"/>
      <c r="F19" s="2"/>
      <c r="G19" s="2"/>
      <c r="H19" s="2"/>
      <c r="I19" s="2"/>
      <c r="J19" s="2"/>
      <c r="K19" s="19" t="s">
        <v>1354</v>
      </c>
    </row>
    <row r="20" spans="1:12" ht="15" customHeight="1" x14ac:dyDescent="0.25">
      <c r="A20" s="17"/>
      <c r="B20" s="18"/>
      <c r="C20" s="18"/>
      <c r="D20" s="2">
        <f t="shared" si="0"/>
        <v>0</v>
      </c>
      <c r="E20" s="2"/>
      <c r="F20" s="2"/>
      <c r="G20" s="2"/>
      <c r="H20" s="2"/>
      <c r="I20" s="2"/>
      <c r="J20" s="2"/>
      <c r="K20" s="19"/>
    </row>
    <row r="21" spans="1:12" ht="15" customHeight="1" x14ac:dyDescent="0.25">
      <c r="A21" s="21"/>
      <c r="B21" s="22"/>
      <c r="C21" s="22"/>
      <c r="D21" s="2">
        <f t="shared" si="0"/>
        <v>0</v>
      </c>
      <c r="E21" s="23"/>
      <c r="F21" s="23"/>
      <c r="G21" s="23"/>
      <c r="H21" s="23"/>
      <c r="I21" s="23"/>
      <c r="J21" s="23"/>
      <c r="K21" s="25"/>
    </row>
    <row r="22" spans="1:12" ht="15" customHeight="1" x14ac:dyDescent="0.25">
      <c r="A22" s="17"/>
      <c r="B22" s="18"/>
      <c r="C22" s="18"/>
      <c r="D22" s="2">
        <f t="shared" si="0"/>
        <v>0</v>
      </c>
      <c r="E22" s="2"/>
      <c r="F22" s="2"/>
      <c r="G22" s="2"/>
      <c r="H22" s="2"/>
      <c r="I22" s="2"/>
      <c r="J22" s="2"/>
      <c r="K22" s="19"/>
    </row>
    <row r="23" spans="1:12" ht="15" customHeight="1" x14ac:dyDescent="0.25">
      <c r="A23" s="17"/>
      <c r="B23" s="18"/>
      <c r="C23" s="18"/>
      <c r="D23" s="2">
        <f t="shared" si="0"/>
        <v>0</v>
      </c>
      <c r="E23" s="2"/>
      <c r="F23" s="2"/>
      <c r="G23" s="2"/>
      <c r="H23" s="2"/>
      <c r="I23" s="2"/>
      <c r="J23" s="2"/>
      <c r="K23" s="45"/>
    </row>
    <row r="24" spans="1:12" ht="15" customHeight="1" x14ac:dyDescent="0.25">
      <c r="A24" s="17"/>
      <c r="B24" s="18"/>
      <c r="C24" s="18"/>
      <c r="D24" s="2">
        <f t="shared" si="0"/>
        <v>0</v>
      </c>
      <c r="E24" s="2"/>
      <c r="F24" s="2"/>
      <c r="G24" s="2"/>
      <c r="H24" s="2"/>
      <c r="I24" s="2"/>
      <c r="J24" s="2"/>
      <c r="K24" s="19"/>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20"/>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7" activePane="bottomLeft" state="frozen"/>
      <selection pane="bottomLeft" activeCell="K18" sqref="K1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115" priority="1" operator="lessThan">
      <formula>0</formula>
    </cfRule>
    <cfRule type="cellIs" dxfId="11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L44"/>
  <sheetViews>
    <sheetView workbookViewId="0">
      <pane ySplit="6" topLeftCell="A16" activePane="bottomLeft" state="frozen"/>
      <selection pane="bottomLeft" activeCell="I24" sqref="I24"/>
    </sheetView>
  </sheetViews>
  <sheetFormatPr baseColWidth="10" defaultColWidth="11.42578125" defaultRowHeight="15" x14ac:dyDescent="0.25"/>
  <cols>
    <col min="1" max="4" width="11.42578125" style="27"/>
    <col min="5" max="5" width="11.42578125" style="90"/>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82</v>
      </c>
    </row>
    <row r="3" spans="1:12" ht="15.75" thickBot="1" x14ac:dyDescent="0.3">
      <c r="A3" s="5"/>
      <c r="B3" s="2"/>
      <c r="C3" s="2"/>
      <c r="D3" s="2"/>
      <c r="E3" s="2"/>
      <c r="F3" s="2">
        <f>'11.21'!F6</f>
        <v>507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89" t="s">
        <v>18</v>
      </c>
    </row>
    <row r="6" spans="1:12" s="35" customFormat="1" ht="15.75" thickBot="1" x14ac:dyDescent="0.3">
      <c r="A6" s="29"/>
      <c r="B6" s="30"/>
      <c r="C6" s="30"/>
      <c r="D6" s="30"/>
      <c r="E6" s="30"/>
      <c r="F6" s="32">
        <f>SUM(D:D)+F3</f>
        <v>524</v>
      </c>
      <c r="G6" s="30">
        <f>SUM(B:B)</f>
        <v>133</v>
      </c>
      <c r="H6" s="30">
        <f>SUM(C:C)</f>
        <v>116</v>
      </c>
      <c r="I6" s="30"/>
      <c r="J6" s="33">
        <f>SUM(G6:H6)+SUM(E:E)</f>
        <v>334</v>
      </c>
      <c r="K6" s="34"/>
      <c r="L6" s="50">
        <f>J6/K1</f>
        <v>0.55115511551155116</v>
      </c>
    </row>
    <row r="7" spans="1:12" ht="15" customHeight="1" x14ac:dyDescent="0.25">
      <c r="A7" s="17">
        <v>44531</v>
      </c>
      <c r="B7" s="18">
        <v>0</v>
      </c>
      <c r="C7" s="18">
        <v>0</v>
      </c>
      <c r="D7" s="2">
        <f t="shared" ref="D7:D44" si="0">B7-C7</f>
        <v>0</v>
      </c>
      <c r="E7" s="2">
        <v>17</v>
      </c>
      <c r="F7" s="2"/>
      <c r="G7" s="2"/>
      <c r="H7" s="2"/>
      <c r="I7" s="2"/>
      <c r="J7" s="2"/>
      <c r="K7" s="19" t="s">
        <v>107</v>
      </c>
      <c r="L7" s="53" t="s">
        <v>1355</v>
      </c>
    </row>
    <row r="8" spans="1:12" ht="39.75" customHeight="1" x14ac:dyDescent="0.25">
      <c r="A8" s="17">
        <v>44531</v>
      </c>
      <c r="B8" s="18">
        <v>17</v>
      </c>
      <c r="C8" s="18">
        <v>0</v>
      </c>
      <c r="D8" s="2">
        <f t="shared" si="0"/>
        <v>17</v>
      </c>
      <c r="E8" s="2"/>
      <c r="F8" s="2"/>
      <c r="G8" s="2"/>
      <c r="H8" s="2"/>
      <c r="I8" s="2"/>
      <c r="J8" s="2"/>
      <c r="K8" s="19" t="s">
        <v>1358</v>
      </c>
      <c r="L8" s="27" t="s">
        <v>1357</v>
      </c>
    </row>
    <row r="9" spans="1:12" ht="67.5" customHeight="1" x14ac:dyDescent="0.25">
      <c r="A9" s="17">
        <v>44532</v>
      </c>
      <c r="B9" s="18">
        <v>0</v>
      </c>
      <c r="C9" s="18">
        <v>35</v>
      </c>
      <c r="D9" s="2">
        <f t="shared" si="0"/>
        <v>-35</v>
      </c>
      <c r="E9" s="2"/>
      <c r="F9" s="2"/>
      <c r="G9" s="2"/>
      <c r="H9" s="2"/>
      <c r="I9" s="2"/>
      <c r="J9" s="2"/>
      <c r="K9" s="19" t="s">
        <v>1359</v>
      </c>
      <c r="L9" s="27" t="s">
        <v>1356</v>
      </c>
    </row>
    <row r="10" spans="1:12" ht="39" customHeight="1" x14ac:dyDescent="0.3">
      <c r="A10" s="17">
        <v>44532</v>
      </c>
      <c r="B10" s="18">
        <v>11</v>
      </c>
      <c r="C10" s="18">
        <v>0</v>
      </c>
      <c r="D10" s="2">
        <f t="shared" si="0"/>
        <v>11</v>
      </c>
      <c r="E10" s="2"/>
      <c r="F10" s="2"/>
      <c r="G10" s="2"/>
      <c r="H10" s="2"/>
      <c r="I10" s="2"/>
      <c r="J10" s="2"/>
      <c r="K10" s="19" t="s">
        <v>1360</v>
      </c>
      <c r="L10" s="38"/>
    </row>
    <row r="11" spans="1:12" ht="15" customHeight="1" x14ac:dyDescent="0.25">
      <c r="A11" s="17">
        <v>44538</v>
      </c>
      <c r="B11" s="18">
        <v>0</v>
      </c>
      <c r="C11" s="18">
        <v>0</v>
      </c>
      <c r="D11" s="2">
        <f t="shared" si="0"/>
        <v>0</v>
      </c>
      <c r="E11" s="2">
        <v>21</v>
      </c>
      <c r="F11" s="2"/>
      <c r="G11" s="2"/>
      <c r="H11" s="2"/>
      <c r="I11" s="2"/>
      <c r="J11" s="2"/>
      <c r="K11" s="19" t="s">
        <v>107</v>
      </c>
      <c r="L11" s="53" t="s">
        <v>1361</v>
      </c>
    </row>
    <row r="12" spans="1:12" ht="15" customHeight="1" x14ac:dyDescent="0.25">
      <c r="A12" s="17">
        <v>44538</v>
      </c>
      <c r="B12" s="18">
        <v>0</v>
      </c>
      <c r="C12" s="18">
        <v>0</v>
      </c>
      <c r="D12" s="2">
        <f t="shared" si="0"/>
        <v>0</v>
      </c>
      <c r="E12" s="2">
        <v>18</v>
      </c>
      <c r="F12" s="2"/>
      <c r="G12" s="2"/>
      <c r="H12" s="2"/>
      <c r="I12" s="2"/>
      <c r="J12" s="2"/>
      <c r="K12" s="19" t="s">
        <v>107</v>
      </c>
      <c r="L12" s="53" t="s">
        <v>1362</v>
      </c>
    </row>
    <row r="13" spans="1:12" ht="51.75" customHeight="1" x14ac:dyDescent="0.25">
      <c r="A13" s="17">
        <v>44538</v>
      </c>
      <c r="B13" s="18">
        <v>21</v>
      </c>
      <c r="C13" s="18">
        <v>0</v>
      </c>
      <c r="D13" s="2">
        <f t="shared" si="0"/>
        <v>21</v>
      </c>
      <c r="E13" s="2"/>
      <c r="F13" s="2"/>
      <c r="G13" s="2"/>
      <c r="H13" s="2"/>
      <c r="I13" s="2"/>
      <c r="J13" s="2"/>
      <c r="K13" s="19" t="s">
        <v>1363</v>
      </c>
      <c r="L13" s="27" t="s">
        <v>1364</v>
      </c>
    </row>
    <row r="14" spans="1:12" ht="39" customHeight="1" x14ac:dyDescent="0.25">
      <c r="A14" s="17">
        <v>44538</v>
      </c>
      <c r="B14" s="18">
        <v>18</v>
      </c>
      <c r="C14" s="18">
        <v>0</v>
      </c>
      <c r="D14" s="2">
        <f t="shared" si="0"/>
        <v>18</v>
      </c>
      <c r="E14" s="2"/>
      <c r="F14" s="2"/>
      <c r="G14" s="2"/>
      <c r="H14" s="2"/>
      <c r="I14" s="2"/>
      <c r="J14" s="2"/>
      <c r="K14" s="19" t="s">
        <v>1365</v>
      </c>
      <c r="L14" s="27" t="s">
        <v>1366</v>
      </c>
    </row>
    <row r="15" spans="1:12" ht="15" customHeight="1" x14ac:dyDescent="0.25">
      <c r="A15" s="17">
        <v>44540</v>
      </c>
      <c r="B15" s="18">
        <v>0</v>
      </c>
      <c r="C15" s="18">
        <v>0</v>
      </c>
      <c r="D15" s="2">
        <f t="shared" si="0"/>
        <v>0</v>
      </c>
      <c r="E15" s="2">
        <v>9</v>
      </c>
      <c r="F15" s="2"/>
      <c r="G15" s="2"/>
      <c r="H15" s="2"/>
      <c r="I15" s="2"/>
      <c r="J15" s="2"/>
      <c r="K15" s="19" t="s">
        <v>107</v>
      </c>
      <c r="L15" s="53" t="s">
        <v>1367</v>
      </c>
    </row>
    <row r="16" spans="1:12" ht="62.25" customHeight="1" x14ac:dyDescent="0.25">
      <c r="A16" s="17">
        <v>44538</v>
      </c>
      <c r="B16" s="18">
        <v>0</v>
      </c>
      <c r="C16" s="18">
        <v>32</v>
      </c>
      <c r="D16" s="2">
        <f t="shared" si="0"/>
        <v>-32</v>
      </c>
      <c r="E16" s="2"/>
      <c r="F16" s="2"/>
      <c r="G16" s="2"/>
      <c r="H16" s="2"/>
      <c r="I16" s="2"/>
      <c r="J16" s="2"/>
      <c r="K16" s="19" t="s">
        <v>1368</v>
      </c>
      <c r="L16" s="53" t="s">
        <v>1369</v>
      </c>
    </row>
    <row r="17" spans="1:12" ht="15" customHeight="1" x14ac:dyDescent="0.25">
      <c r="A17" s="17">
        <v>44543</v>
      </c>
      <c r="B17" s="18">
        <v>9</v>
      </c>
      <c r="C17" s="18">
        <v>0</v>
      </c>
      <c r="D17" s="2">
        <f t="shared" si="0"/>
        <v>9</v>
      </c>
      <c r="E17" s="2"/>
      <c r="F17" s="2"/>
      <c r="G17" s="2"/>
      <c r="H17" s="2"/>
      <c r="I17" s="2"/>
      <c r="J17" s="2"/>
      <c r="K17" s="19" t="s">
        <v>1371</v>
      </c>
      <c r="L17" s="53" t="s">
        <v>1370</v>
      </c>
    </row>
    <row r="18" spans="1:12" ht="49.5" customHeight="1" x14ac:dyDescent="0.25">
      <c r="A18" s="17">
        <v>44546</v>
      </c>
      <c r="B18" s="18">
        <v>1</v>
      </c>
      <c r="C18" s="18">
        <v>26</v>
      </c>
      <c r="D18" s="2">
        <f t="shared" si="0"/>
        <v>-25</v>
      </c>
      <c r="E18" s="2">
        <v>1</v>
      </c>
      <c r="F18" s="2"/>
      <c r="G18" s="2"/>
      <c r="H18" s="2"/>
      <c r="I18" s="2"/>
      <c r="J18" s="2"/>
      <c r="K18" s="19" t="s">
        <v>1372</v>
      </c>
      <c r="L18" s="53" t="s">
        <v>1369</v>
      </c>
    </row>
    <row r="19" spans="1:12" ht="15" customHeight="1" x14ac:dyDescent="0.25">
      <c r="A19" s="17">
        <v>44546</v>
      </c>
      <c r="B19" s="18">
        <v>3</v>
      </c>
      <c r="C19" s="18">
        <v>0</v>
      </c>
      <c r="D19" s="2">
        <f t="shared" si="0"/>
        <v>3</v>
      </c>
      <c r="E19" s="2"/>
      <c r="F19" s="2"/>
      <c r="G19" s="2"/>
      <c r="H19" s="2"/>
      <c r="I19" s="2"/>
      <c r="J19" s="2"/>
      <c r="K19" s="19" t="s">
        <v>1373</v>
      </c>
    </row>
    <row r="20" spans="1:12" ht="15" customHeight="1" x14ac:dyDescent="0.25">
      <c r="A20" s="17">
        <v>44550</v>
      </c>
      <c r="B20" s="18">
        <v>0</v>
      </c>
      <c r="C20" s="18">
        <v>0</v>
      </c>
      <c r="D20" s="2">
        <f t="shared" si="0"/>
        <v>0</v>
      </c>
      <c r="E20" s="2">
        <v>9</v>
      </c>
      <c r="F20" s="2"/>
      <c r="G20" s="2"/>
      <c r="H20" s="2"/>
      <c r="I20" s="2"/>
      <c r="J20" s="2"/>
      <c r="K20" s="19" t="s">
        <v>107</v>
      </c>
      <c r="L20" s="53" t="s">
        <v>1374</v>
      </c>
    </row>
    <row r="21" spans="1:12" ht="15" customHeight="1" x14ac:dyDescent="0.25">
      <c r="A21" s="21">
        <v>44550</v>
      </c>
      <c r="B21" s="22">
        <v>9</v>
      </c>
      <c r="C21" s="22">
        <v>0</v>
      </c>
      <c r="D21" s="2">
        <f t="shared" si="0"/>
        <v>9</v>
      </c>
      <c r="E21" s="23"/>
      <c r="F21" s="23"/>
      <c r="G21" s="23"/>
      <c r="H21" s="23"/>
      <c r="I21" s="23"/>
      <c r="J21" s="23"/>
      <c r="K21" s="25" t="s">
        <v>1375</v>
      </c>
      <c r="L21" s="53" t="s">
        <v>1376</v>
      </c>
    </row>
    <row r="22" spans="1:12" ht="15" customHeight="1" x14ac:dyDescent="0.25">
      <c r="A22" s="17">
        <v>44552</v>
      </c>
      <c r="B22" s="18">
        <v>0</v>
      </c>
      <c r="C22" s="18">
        <v>0</v>
      </c>
      <c r="D22" s="2">
        <f t="shared" si="0"/>
        <v>0</v>
      </c>
      <c r="E22" s="2">
        <v>10</v>
      </c>
      <c r="F22" s="2"/>
      <c r="G22" s="2"/>
      <c r="H22" s="2"/>
      <c r="I22" s="2"/>
      <c r="J22" s="2"/>
      <c r="K22" s="19" t="s">
        <v>107</v>
      </c>
      <c r="L22" s="53" t="s">
        <v>1377</v>
      </c>
    </row>
    <row r="23" spans="1:12" ht="15" customHeight="1" x14ac:dyDescent="0.25">
      <c r="A23" s="17">
        <v>44553</v>
      </c>
      <c r="B23" s="18">
        <v>10</v>
      </c>
      <c r="C23" s="18">
        <v>0</v>
      </c>
      <c r="D23" s="2">
        <f t="shared" si="0"/>
        <v>10</v>
      </c>
      <c r="E23" s="2"/>
      <c r="F23" s="2"/>
      <c r="G23" s="2"/>
      <c r="H23" s="2"/>
      <c r="I23" s="2"/>
      <c r="J23" s="2"/>
      <c r="K23" s="45" t="s">
        <v>1378</v>
      </c>
      <c r="L23" s="53" t="s">
        <v>1379</v>
      </c>
    </row>
    <row r="24" spans="1:12" ht="54.75" customHeight="1" x14ac:dyDescent="0.25">
      <c r="A24" s="17">
        <v>44553</v>
      </c>
      <c r="B24" s="18">
        <v>0</v>
      </c>
      <c r="C24" s="18">
        <v>23</v>
      </c>
      <c r="D24" s="2">
        <f t="shared" si="0"/>
        <v>-23</v>
      </c>
      <c r="E24" s="2"/>
      <c r="F24" s="2"/>
      <c r="G24" s="2"/>
      <c r="H24" s="2"/>
      <c r="I24" s="2"/>
      <c r="J24" s="2"/>
      <c r="K24" s="19" t="s">
        <v>1381</v>
      </c>
      <c r="L24" s="53" t="s">
        <v>1380</v>
      </c>
    </row>
    <row r="25" spans="1:12" ht="15" customHeight="1" x14ac:dyDescent="0.25">
      <c r="A25" s="17">
        <v>44553</v>
      </c>
      <c r="B25" s="18">
        <v>4</v>
      </c>
      <c r="C25" s="18">
        <v>0</v>
      </c>
      <c r="D25" s="2">
        <f t="shared" si="0"/>
        <v>4</v>
      </c>
      <c r="E25" s="2"/>
      <c r="F25" s="2"/>
      <c r="G25" s="2"/>
      <c r="H25" s="2"/>
      <c r="I25" s="2"/>
      <c r="J25" s="2"/>
      <c r="K25" s="19" t="s">
        <v>1382</v>
      </c>
    </row>
    <row r="26" spans="1:12" ht="53.25" customHeight="1" x14ac:dyDescent="0.25">
      <c r="A26" s="17">
        <v>44558</v>
      </c>
      <c r="B26" s="18">
        <v>30</v>
      </c>
      <c r="C26" s="18">
        <v>0</v>
      </c>
      <c r="D26" s="2">
        <f t="shared" si="0"/>
        <v>30</v>
      </c>
      <c r="E26" s="2"/>
      <c r="F26" s="2"/>
      <c r="G26" s="2"/>
      <c r="H26" s="2"/>
      <c r="I26" s="2"/>
      <c r="J26" s="2"/>
      <c r="K26" s="19" t="s">
        <v>1384</v>
      </c>
      <c r="L26" s="53" t="s">
        <v>1383</v>
      </c>
    </row>
    <row r="27" spans="1:12"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selectLockedCells="1" selectUnlockedCells="1"/>
  <customSheetViews>
    <customSheetView guid="{E5A7B818-645B-417C-A128-9FE559D9B124}" fitToPage="1">
      <pane ySplit="6" topLeftCell="A16" activePane="bottomLeft" state="frozen"/>
      <selection pane="bottomLeft" activeCell="I24" sqref="I24"/>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113" priority="1" operator="lessThan">
      <formula>0</formula>
    </cfRule>
    <cfRule type="cellIs" dxfId="11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L44"/>
  <sheetViews>
    <sheetView workbookViewId="0">
      <pane ySplit="6" topLeftCell="A7" activePane="bottomLeft" state="frozen"/>
      <selection pane="bottomLeft" activeCell="B22" sqref="B22"/>
    </sheetView>
  </sheetViews>
  <sheetFormatPr baseColWidth="10" defaultColWidth="11.42578125" defaultRowHeight="15" x14ac:dyDescent="0.25"/>
  <cols>
    <col min="1" max="4" width="11.42578125" style="27"/>
    <col min="5" max="5" width="11.42578125" style="95"/>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130</v>
      </c>
    </row>
    <row r="3" spans="1:12" ht="15.75" thickBot="1" x14ac:dyDescent="0.3">
      <c r="A3" s="5"/>
      <c r="B3" s="2"/>
      <c r="C3" s="2"/>
      <c r="D3" s="2"/>
      <c r="E3" s="2"/>
      <c r="F3" s="2">
        <f>'12.21'!F6</f>
        <v>524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4" t="s">
        <v>18</v>
      </c>
    </row>
    <row r="6" spans="1:12" s="35" customFormat="1" ht="15.75" thickBot="1" x14ac:dyDescent="0.3">
      <c r="A6" s="29"/>
      <c r="B6" s="30"/>
      <c r="C6" s="30"/>
      <c r="D6" s="30"/>
      <c r="E6" s="30"/>
      <c r="F6" s="32">
        <f>SUM(D:D)+F3</f>
        <v>476</v>
      </c>
      <c r="G6" s="30">
        <f>SUM(B:B)</f>
        <v>63</v>
      </c>
      <c r="H6" s="30">
        <f>SUM(C:C)</f>
        <v>111</v>
      </c>
      <c r="I6" s="30"/>
      <c r="J6" s="33">
        <f>SUM(G6:H6)+SUM(E:E)</f>
        <v>430</v>
      </c>
      <c r="K6" s="34"/>
      <c r="L6" s="50">
        <f>J6/K1</f>
        <v>0.70957095709570961</v>
      </c>
    </row>
    <row r="7" spans="1:12" ht="63" customHeight="1" x14ac:dyDescent="0.25">
      <c r="A7" s="17">
        <v>44567</v>
      </c>
      <c r="B7" s="18">
        <v>0</v>
      </c>
      <c r="C7" s="18">
        <v>33</v>
      </c>
      <c r="D7" s="2">
        <f t="shared" ref="D7:D44" si="0">B7-C7</f>
        <v>-33</v>
      </c>
      <c r="E7" s="2"/>
      <c r="F7" s="2"/>
      <c r="G7" s="2"/>
      <c r="H7" s="2"/>
      <c r="I7" s="2"/>
      <c r="J7" s="2"/>
      <c r="K7" s="19" t="s">
        <v>1386</v>
      </c>
      <c r="L7" s="53" t="s">
        <v>1385</v>
      </c>
    </row>
    <row r="8" spans="1:12" ht="15" customHeight="1" x14ac:dyDescent="0.25">
      <c r="A8" s="17">
        <v>44569</v>
      </c>
      <c r="B8" s="18">
        <v>0</v>
      </c>
      <c r="C8" s="18">
        <v>0</v>
      </c>
      <c r="D8" s="2">
        <f t="shared" si="0"/>
        <v>0</v>
      </c>
      <c r="E8" s="2">
        <v>243</v>
      </c>
      <c r="F8" s="2"/>
      <c r="G8" s="2"/>
      <c r="H8" s="2"/>
      <c r="I8" s="2"/>
      <c r="J8" s="2"/>
      <c r="K8" s="19" t="s">
        <v>1387</v>
      </c>
      <c r="L8" s="27" t="s">
        <v>1388</v>
      </c>
    </row>
    <row r="9" spans="1:12" ht="15" customHeight="1" x14ac:dyDescent="0.25">
      <c r="A9" s="17">
        <v>44571</v>
      </c>
      <c r="B9" s="18">
        <v>1</v>
      </c>
      <c r="C9" s="18">
        <v>1</v>
      </c>
      <c r="D9" s="2">
        <f t="shared" si="0"/>
        <v>0</v>
      </c>
      <c r="E9" s="2"/>
      <c r="F9" s="2"/>
      <c r="G9" s="2"/>
      <c r="H9" s="2"/>
      <c r="I9" s="2"/>
      <c r="J9" s="2"/>
      <c r="K9" s="19">
        <v>132</v>
      </c>
      <c r="L9" s="27" t="s">
        <v>1389</v>
      </c>
    </row>
    <row r="10" spans="1:12" ht="15" customHeight="1" x14ac:dyDescent="0.25">
      <c r="A10" s="17">
        <v>44573</v>
      </c>
      <c r="B10" s="18">
        <v>3</v>
      </c>
      <c r="C10" s="18">
        <v>3</v>
      </c>
      <c r="D10" s="2">
        <f t="shared" si="0"/>
        <v>0</v>
      </c>
      <c r="E10" s="2"/>
      <c r="F10" s="2"/>
      <c r="G10" s="2"/>
      <c r="H10" s="2"/>
      <c r="I10" s="2"/>
      <c r="J10" s="2"/>
      <c r="K10" s="19" t="s">
        <v>1390</v>
      </c>
      <c r="L10" s="27" t="s">
        <v>1389</v>
      </c>
    </row>
    <row r="11" spans="1:12" ht="53.25" customHeight="1" x14ac:dyDescent="0.25">
      <c r="A11" s="17">
        <v>44574</v>
      </c>
      <c r="B11" s="18">
        <v>0</v>
      </c>
      <c r="C11" s="18">
        <v>25</v>
      </c>
      <c r="D11" s="2">
        <f t="shared" si="0"/>
        <v>-25</v>
      </c>
      <c r="E11" s="2"/>
      <c r="F11" s="2"/>
      <c r="G11" s="2"/>
      <c r="H11" s="2"/>
      <c r="I11" s="2"/>
      <c r="J11" s="2"/>
      <c r="K11" s="19" t="s">
        <v>1391</v>
      </c>
      <c r="L11" s="53" t="s">
        <v>1393</v>
      </c>
    </row>
    <row r="12" spans="1:12" ht="39.75" customHeight="1" x14ac:dyDescent="0.25">
      <c r="A12" s="17">
        <v>44574</v>
      </c>
      <c r="B12" s="18">
        <v>12</v>
      </c>
      <c r="C12" s="18">
        <v>0</v>
      </c>
      <c r="D12" s="2">
        <f t="shared" si="0"/>
        <v>12</v>
      </c>
      <c r="E12" s="2"/>
      <c r="F12" s="2"/>
      <c r="G12" s="2"/>
      <c r="H12" s="2"/>
      <c r="I12" s="2"/>
      <c r="J12" s="2"/>
      <c r="K12" s="19" t="s">
        <v>1392</v>
      </c>
      <c r="L12" s="53"/>
    </row>
    <row r="13" spans="1:12" ht="15" customHeight="1" x14ac:dyDescent="0.25">
      <c r="A13" s="17">
        <v>44578</v>
      </c>
      <c r="B13" s="18">
        <v>0</v>
      </c>
      <c r="C13" s="18">
        <v>1</v>
      </c>
      <c r="D13" s="2">
        <f t="shared" si="0"/>
        <v>-1</v>
      </c>
      <c r="E13" s="2"/>
      <c r="F13" s="2"/>
      <c r="G13" s="2"/>
      <c r="H13" s="2"/>
      <c r="I13" s="2"/>
      <c r="J13" s="2"/>
      <c r="K13" s="19" t="s">
        <v>1394</v>
      </c>
      <c r="L13" s="53" t="s">
        <v>1395</v>
      </c>
    </row>
    <row r="14" spans="1:12" ht="15" customHeight="1" x14ac:dyDescent="0.25">
      <c r="A14" s="17">
        <v>44579</v>
      </c>
      <c r="B14" s="18">
        <v>0</v>
      </c>
      <c r="C14" s="18">
        <v>4</v>
      </c>
      <c r="D14" s="2">
        <f t="shared" si="0"/>
        <v>-4</v>
      </c>
      <c r="E14" s="2"/>
      <c r="F14" s="2"/>
      <c r="G14" s="2"/>
      <c r="H14" s="2"/>
      <c r="I14" s="2"/>
      <c r="J14" s="2"/>
      <c r="K14" s="19" t="s">
        <v>1396</v>
      </c>
      <c r="L14" s="53" t="s">
        <v>1397</v>
      </c>
    </row>
    <row r="15" spans="1:12" ht="15" customHeight="1" x14ac:dyDescent="0.25">
      <c r="A15" s="17">
        <v>44579</v>
      </c>
      <c r="B15" s="18">
        <v>8</v>
      </c>
      <c r="C15" s="18">
        <v>0</v>
      </c>
      <c r="D15" s="2">
        <f t="shared" si="0"/>
        <v>8</v>
      </c>
      <c r="E15" s="2"/>
      <c r="F15" s="2"/>
      <c r="G15" s="2"/>
      <c r="H15" s="2"/>
      <c r="I15" s="2"/>
      <c r="J15" s="2"/>
      <c r="K15" s="19" t="s">
        <v>1398</v>
      </c>
      <c r="L15" s="53"/>
    </row>
    <row r="16" spans="1:12" ht="39.75" customHeight="1" x14ac:dyDescent="0.25">
      <c r="A16" s="17">
        <v>44581</v>
      </c>
      <c r="B16" s="18">
        <v>0</v>
      </c>
      <c r="C16" s="18">
        <v>19</v>
      </c>
      <c r="D16" s="2">
        <f t="shared" si="0"/>
        <v>-19</v>
      </c>
      <c r="E16" s="2"/>
      <c r="F16" s="2"/>
      <c r="G16" s="2"/>
      <c r="H16" s="2"/>
      <c r="I16" s="2"/>
      <c r="J16" s="2"/>
      <c r="K16" s="19" t="s">
        <v>1399</v>
      </c>
      <c r="L16" s="53" t="s">
        <v>1400</v>
      </c>
    </row>
    <row r="17" spans="1:12" ht="15" customHeight="1" x14ac:dyDescent="0.25">
      <c r="A17" s="17">
        <v>44581</v>
      </c>
      <c r="B17" s="18">
        <v>10</v>
      </c>
      <c r="C17" s="18">
        <v>0</v>
      </c>
      <c r="D17" s="2">
        <f t="shared" si="0"/>
        <v>10</v>
      </c>
      <c r="E17" s="2"/>
      <c r="F17" s="2"/>
      <c r="G17" s="2"/>
      <c r="H17" s="2"/>
      <c r="I17" s="2"/>
      <c r="J17" s="2"/>
      <c r="K17" s="19" t="s">
        <v>1401</v>
      </c>
      <c r="L17" s="53"/>
    </row>
    <row r="18" spans="1:12" ht="15" customHeight="1" x14ac:dyDescent="0.25">
      <c r="A18" s="17">
        <v>44585</v>
      </c>
      <c r="B18" s="18">
        <v>0</v>
      </c>
      <c r="C18" s="18">
        <v>0</v>
      </c>
      <c r="D18" s="2">
        <f t="shared" si="0"/>
        <v>0</v>
      </c>
      <c r="E18" s="2">
        <v>13</v>
      </c>
      <c r="F18" s="2"/>
      <c r="G18" s="2"/>
      <c r="H18" s="2"/>
      <c r="I18" s="2"/>
      <c r="J18" s="2"/>
      <c r="K18" s="19" t="s">
        <v>107</v>
      </c>
      <c r="L18" s="53" t="s">
        <v>1402</v>
      </c>
    </row>
    <row r="19" spans="1:12" ht="38.25" customHeight="1" x14ac:dyDescent="0.25">
      <c r="A19" s="17">
        <v>44586</v>
      </c>
      <c r="B19" s="18">
        <v>13</v>
      </c>
      <c r="C19" s="18">
        <v>0</v>
      </c>
      <c r="D19" s="2">
        <f t="shared" si="0"/>
        <v>13</v>
      </c>
      <c r="E19" s="2"/>
      <c r="F19" s="2"/>
      <c r="G19" s="2"/>
      <c r="H19" s="2"/>
      <c r="I19" s="2"/>
      <c r="J19" s="2"/>
      <c r="K19" s="19" t="s">
        <v>1403</v>
      </c>
      <c r="L19" s="53" t="s">
        <v>1404</v>
      </c>
    </row>
    <row r="20" spans="1:12" ht="36.75" customHeight="1" x14ac:dyDescent="0.25">
      <c r="A20" s="17">
        <v>44588</v>
      </c>
      <c r="B20" s="18">
        <v>0</v>
      </c>
      <c r="C20" s="18">
        <v>20</v>
      </c>
      <c r="D20" s="2">
        <f t="shared" si="0"/>
        <v>-20</v>
      </c>
      <c r="E20" s="2"/>
      <c r="F20" s="2"/>
      <c r="G20" s="2"/>
      <c r="H20" s="2"/>
      <c r="I20" s="2"/>
      <c r="J20" s="2"/>
      <c r="K20" s="19" t="s">
        <v>1406</v>
      </c>
      <c r="L20" s="53" t="s">
        <v>1405</v>
      </c>
    </row>
    <row r="21" spans="1:12" ht="15" customHeight="1" x14ac:dyDescent="0.25">
      <c r="A21" s="21">
        <v>44588</v>
      </c>
      <c r="B21" s="22">
        <v>10</v>
      </c>
      <c r="C21" s="22">
        <v>0</v>
      </c>
      <c r="D21" s="2">
        <f t="shared" si="0"/>
        <v>10</v>
      </c>
      <c r="E21" s="23"/>
      <c r="F21" s="23"/>
      <c r="G21" s="23"/>
      <c r="H21" s="23"/>
      <c r="I21" s="23"/>
      <c r="J21" s="23"/>
      <c r="K21" s="25" t="s">
        <v>1407</v>
      </c>
      <c r="L21" s="53"/>
    </row>
    <row r="22" spans="1:12" ht="15" customHeight="1" x14ac:dyDescent="0.25">
      <c r="A22" s="17">
        <v>44589</v>
      </c>
      <c r="B22" s="18">
        <v>0</v>
      </c>
      <c r="C22" s="18">
        <v>1</v>
      </c>
      <c r="D22" s="2">
        <f t="shared" si="0"/>
        <v>-1</v>
      </c>
      <c r="E22" s="2"/>
      <c r="F22" s="2"/>
      <c r="G22" s="2"/>
      <c r="H22" s="2"/>
      <c r="I22" s="2"/>
      <c r="J22" s="2"/>
      <c r="K22" s="19">
        <v>569811</v>
      </c>
      <c r="L22" s="53" t="s">
        <v>1408</v>
      </c>
    </row>
    <row r="23" spans="1:12" ht="15" customHeight="1" x14ac:dyDescent="0.25">
      <c r="A23" s="17">
        <v>44592</v>
      </c>
      <c r="B23" s="18">
        <v>0</v>
      </c>
      <c r="C23" s="18">
        <v>4</v>
      </c>
      <c r="D23" s="2">
        <f t="shared" si="0"/>
        <v>-4</v>
      </c>
      <c r="E23" s="2"/>
      <c r="F23" s="2"/>
      <c r="G23" s="2"/>
      <c r="H23" s="2"/>
      <c r="I23" s="2"/>
      <c r="J23" s="2"/>
      <c r="K23" s="45" t="s">
        <v>1409</v>
      </c>
      <c r="L23" s="53" t="s">
        <v>1410</v>
      </c>
    </row>
    <row r="24" spans="1:12" ht="15" customHeight="1" x14ac:dyDescent="0.25">
      <c r="A24" s="17">
        <v>44592</v>
      </c>
      <c r="B24" s="18">
        <v>6</v>
      </c>
      <c r="C24" s="18">
        <v>0</v>
      </c>
      <c r="D24" s="2">
        <f t="shared" si="0"/>
        <v>6</v>
      </c>
      <c r="E24" s="2"/>
      <c r="F24" s="2"/>
      <c r="G24" s="2"/>
      <c r="H24" s="2"/>
      <c r="I24" s="2"/>
      <c r="J24" s="2"/>
      <c r="K24" s="19" t="s">
        <v>1411</v>
      </c>
      <c r="L24" s="53"/>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19"/>
      <c r="L26" s="53"/>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HO2CQvRryd1QVAC/IJWUDsbIjOAj3UA26vFv7FOp848qgdbBwQHf/GVx22Wg11M9IFZLJai+sMyDv73s7d7hKg==" saltValue="ZaAUk1i164vrOFWE2P+0ZQ==" spinCount="100000" sheet="1" objects="1" scenarios="1" selectLockedCells="1" selectUnlockedCells="1"/>
  <customSheetViews>
    <customSheetView guid="{E5A7B818-645B-417C-A128-9FE559D9B124}" fitToPage="1">
      <pane ySplit="6" topLeftCell="A7" activePane="bottomLeft" state="frozen"/>
      <selection pane="bottomLeft" activeCell="B22" sqref="B22"/>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111" priority="1" operator="lessThan">
      <formula>0</formula>
    </cfRule>
    <cfRule type="cellIs" dxfId="11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L44"/>
  <sheetViews>
    <sheetView workbookViewId="0">
      <pane ySplit="6" topLeftCell="A7" activePane="bottomLeft" state="frozen"/>
      <selection pane="bottomLeft" activeCell="A19" sqref="A19"/>
    </sheetView>
  </sheetViews>
  <sheetFormatPr baseColWidth="10" defaultColWidth="11.42578125" defaultRowHeight="15" x14ac:dyDescent="0.25"/>
  <cols>
    <col min="1" max="4" width="11.42578125" style="27"/>
    <col min="5" max="5" width="11.42578125" style="95"/>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153</v>
      </c>
    </row>
    <row r="3" spans="1:12" ht="15.75" thickBot="1" x14ac:dyDescent="0.3">
      <c r="A3" s="5"/>
      <c r="B3" s="2"/>
      <c r="C3" s="2"/>
      <c r="D3" s="2"/>
      <c r="E3" s="2"/>
      <c r="F3" s="2">
        <f>'01.22'!F6</f>
        <v>476</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4" t="s">
        <v>18</v>
      </c>
    </row>
    <row r="6" spans="1:12" s="35" customFormat="1" ht="15.75" thickBot="1" x14ac:dyDescent="0.3">
      <c r="A6" s="29"/>
      <c r="B6" s="30"/>
      <c r="C6" s="30"/>
      <c r="D6" s="30"/>
      <c r="E6" s="30"/>
      <c r="F6" s="32">
        <f>SUM(D:D)+F3</f>
        <v>453</v>
      </c>
      <c r="G6" s="30">
        <f>SUM(B:B)</f>
        <v>79</v>
      </c>
      <c r="H6" s="30">
        <f>SUM(C:C)</f>
        <v>102</v>
      </c>
      <c r="I6" s="30"/>
      <c r="J6" s="33">
        <f>SUM(G6:H6)+SUM(E:E)</f>
        <v>252</v>
      </c>
      <c r="K6" s="34"/>
      <c r="L6" s="50">
        <f>J6/K1</f>
        <v>0.41584158415841582</v>
      </c>
    </row>
    <row r="7" spans="1:12" ht="15" customHeight="1" x14ac:dyDescent="0.25">
      <c r="A7" s="17">
        <v>44593</v>
      </c>
      <c r="B7" s="18">
        <v>4</v>
      </c>
      <c r="C7" s="18">
        <v>4</v>
      </c>
      <c r="D7" s="2">
        <f t="shared" ref="D7:D19" si="0">B7-C7</f>
        <v>0</v>
      </c>
      <c r="E7" s="2">
        <v>4</v>
      </c>
      <c r="F7" s="2"/>
      <c r="G7" s="2"/>
      <c r="H7" s="2"/>
      <c r="I7" s="2"/>
      <c r="J7" s="2"/>
      <c r="K7" s="19" t="s">
        <v>1412</v>
      </c>
      <c r="L7" s="53" t="s">
        <v>1415</v>
      </c>
    </row>
    <row r="8" spans="1:12" ht="39" customHeight="1" x14ac:dyDescent="0.25">
      <c r="A8" s="17">
        <v>44594</v>
      </c>
      <c r="B8" s="18">
        <v>0</v>
      </c>
      <c r="C8" s="18">
        <v>15</v>
      </c>
      <c r="D8" s="2">
        <f t="shared" si="0"/>
        <v>-15</v>
      </c>
      <c r="E8" s="2"/>
      <c r="F8" s="2"/>
      <c r="G8" s="2"/>
      <c r="H8" s="2"/>
      <c r="I8" s="2"/>
      <c r="J8" s="2"/>
      <c r="K8" s="19" t="s">
        <v>1413</v>
      </c>
      <c r="L8" s="27" t="s">
        <v>1414</v>
      </c>
    </row>
    <row r="9" spans="1:12" ht="15" customHeight="1" x14ac:dyDescent="0.25">
      <c r="A9" s="17">
        <v>44594</v>
      </c>
      <c r="B9" s="18">
        <v>7</v>
      </c>
      <c r="C9" s="18">
        <v>0</v>
      </c>
      <c r="D9" s="2">
        <f t="shared" si="0"/>
        <v>7</v>
      </c>
      <c r="E9" s="2"/>
      <c r="F9" s="2"/>
      <c r="G9" s="2"/>
      <c r="H9" s="2"/>
      <c r="I9" s="2"/>
      <c r="J9" s="2"/>
      <c r="K9" s="19" t="s">
        <v>1416</v>
      </c>
    </row>
    <row r="10" spans="1:12" ht="41.25" customHeight="1" x14ac:dyDescent="0.25">
      <c r="A10" s="17">
        <v>44600</v>
      </c>
      <c r="B10" s="18">
        <v>0</v>
      </c>
      <c r="C10" s="18">
        <f>9+4</f>
        <v>13</v>
      </c>
      <c r="D10" s="2">
        <f t="shared" si="0"/>
        <v>-13</v>
      </c>
      <c r="E10" s="2"/>
      <c r="F10" s="2"/>
      <c r="G10" s="2"/>
      <c r="H10" s="2"/>
      <c r="I10" s="2"/>
      <c r="J10" s="2"/>
      <c r="K10" s="19" t="s">
        <v>1419</v>
      </c>
      <c r="L10" s="27" t="s">
        <v>1417</v>
      </c>
    </row>
    <row r="11" spans="1:12" ht="15" customHeight="1" x14ac:dyDescent="0.25">
      <c r="A11" s="17">
        <v>44600</v>
      </c>
      <c r="B11" s="18">
        <v>1</v>
      </c>
      <c r="C11" s="18">
        <v>0</v>
      </c>
      <c r="D11" s="2">
        <f t="shared" si="0"/>
        <v>1</v>
      </c>
      <c r="E11" s="2"/>
      <c r="F11" s="2"/>
      <c r="G11" s="2"/>
      <c r="H11" s="2"/>
      <c r="I11" s="2"/>
      <c r="J11" s="2"/>
      <c r="K11" s="19" t="s">
        <v>1418</v>
      </c>
      <c r="L11" s="53"/>
    </row>
    <row r="12" spans="1:12" ht="15" customHeight="1" x14ac:dyDescent="0.25">
      <c r="A12" s="17">
        <v>44601</v>
      </c>
      <c r="B12" s="18">
        <v>0</v>
      </c>
      <c r="C12" s="18">
        <v>1</v>
      </c>
      <c r="D12" s="2">
        <f t="shared" si="0"/>
        <v>-1</v>
      </c>
      <c r="E12" s="2"/>
      <c r="F12" s="2"/>
      <c r="G12" s="2"/>
      <c r="H12" s="2"/>
      <c r="I12" s="2"/>
      <c r="J12" s="2"/>
      <c r="K12" s="19">
        <v>555451</v>
      </c>
      <c r="L12" s="27" t="s">
        <v>1420</v>
      </c>
    </row>
    <row r="13" spans="1:12" ht="37.5" customHeight="1" x14ac:dyDescent="0.25">
      <c r="A13" s="17">
        <v>44602</v>
      </c>
      <c r="B13" s="18">
        <v>0</v>
      </c>
      <c r="C13" s="18">
        <v>13</v>
      </c>
      <c r="D13" s="2">
        <f t="shared" si="0"/>
        <v>-13</v>
      </c>
      <c r="E13" s="2"/>
      <c r="F13" s="2"/>
      <c r="G13" s="2"/>
      <c r="H13" s="2"/>
      <c r="I13" s="2"/>
      <c r="J13" s="2"/>
      <c r="K13" s="19" t="s">
        <v>1421</v>
      </c>
      <c r="L13" s="27" t="s">
        <v>1422</v>
      </c>
    </row>
    <row r="14" spans="1:12" ht="54" customHeight="1" x14ac:dyDescent="0.25">
      <c r="A14" s="17">
        <v>44609</v>
      </c>
      <c r="B14" s="18">
        <v>0</v>
      </c>
      <c r="C14" s="18">
        <v>24</v>
      </c>
      <c r="D14" s="2">
        <f t="shared" si="0"/>
        <v>-24</v>
      </c>
      <c r="E14" s="2"/>
      <c r="F14" s="2"/>
      <c r="G14" s="2"/>
      <c r="H14" s="2"/>
      <c r="I14" s="2"/>
      <c r="J14" s="2"/>
      <c r="K14" s="19" t="s">
        <v>1424</v>
      </c>
      <c r="L14" s="27" t="s">
        <v>1423</v>
      </c>
    </row>
    <row r="15" spans="1:12" ht="15" customHeight="1" x14ac:dyDescent="0.25">
      <c r="A15" s="17">
        <v>44610</v>
      </c>
      <c r="B15" s="18">
        <v>0</v>
      </c>
      <c r="C15" s="18">
        <v>0</v>
      </c>
      <c r="D15" s="2">
        <f t="shared" si="0"/>
        <v>0</v>
      </c>
      <c r="E15" s="2">
        <v>30</v>
      </c>
      <c r="F15" s="2"/>
      <c r="G15" s="2"/>
      <c r="H15" s="2"/>
      <c r="I15" s="2"/>
      <c r="J15" s="2"/>
      <c r="K15" s="19" t="s">
        <v>107</v>
      </c>
      <c r="L15" s="53" t="s">
        <v>1425</v>
      </c>
    </row>
    <row r="16" spans="1:12" ht="54" customHeight="1" x14ac:dyDescent="0.25">
      <c r="A16" s="17">
        <v>44613</v>
      </c>
      <c r="B16" s="18">
        <v>30</v>
      </c>
      <c r="C16" s="18">
        <v>0</v>
      </c>
      <c r="D16" s="2">
        <f t="shared" si="0"/>
        <v>30</v>
      </c>
      <c r="E16" s="2"/>
      <c r="F16" s="2"/>
      <c r="G16" s="2"/>
      <c r="H16" s="2"/>
      <c r="I16" s="2"/>
      <c r="J16" s="2"/>
      <c r="K16" s="19" t="s">
        <v>1427</v>
      </c>
      <c r="L16" s="53" t="s">
        <v>1426</v>
      </c>
    </row>
    <row r="17" spans="1:12" ht="15" customHeight="1" x14ac:dyDescent="0.25">
      <c r="A17" s="17">
        <v>44614</v>
      </c>
      <c r="B17" s="18">
        <v>0</v>
      </c>
      <c r="C17" s="18">
        <v>0</v>
      </c>
      <c r="D17" s="2">
        <f t="shared" si="0"/>
        <v>0</v>
      </c>
      <c r="E17" s="2">
        <v>33</v>
      </c>
      <c r="F17" s="2"/>
      <c r="G17" s="2"/>
      <c r="H17" s="2"/>
      <c r="I17" s="2"/>
      <c r="J17" s="2"/>
      <c r="K17" s="19" t="s">
        <v>107</v>
      </c>
      <c r="L17" s="53" t="s">
        <v>1428</v>
      </c>
    </row>
    <row r="18" spans="1:12" ht="67.5" customHeight="1" x14ac:dyDescent="0.25">
      <c r="A18" s="17">
        <v>44615</v>
      </c>
      <c r="B18" s="18">
        <v>33</v>
      </c>
      <c r="C18" s="18">
        <v>0</v>
      </c>
      <c r="D18" s="2">
        <f t="shared" si="0"/>
        <v>33</v>
      </c>
      <c r="E18" s="2"/>
      <c r="F18" s="2"/>
      <c r="G18" s="2"/>
      <c r="H18" s="2"/>
      <c r="I18" s="2"/>
      <c r="J18" s="2"/>
      <c r="K18" s="19" t="s">
        <v>1429</v>
      </c>
      <c r="L18" s="53" t="s">
        <v>1430</v>
      </c>
    </row>
    <row r="19" spans="1:12" ht="15" customHeight="1" x14ac:dyDescent="0.25">
      <c r="A19" s="17">
        <v>44616</v>
      </c>
      <c r="B19" s="18">
        <v>4</v>
      </c>
      <c r="C19" s="18">
        <v>4</v>
      </c>
      <c r="D19" s="2">
        <f t="shared" si="0"/>
        <v>0</v>
      </c>
      <c r="E19" s="2">
        <v>4</v>
      </c>
      <c r="F19" s="2"/>
      <c r="G19" s="2"/>
      <c r="H19" s="2"/>
      <c r="I19" s="2"/>
      <c r="J19" s="2"/>
      <c r="K19" s="19" t="s">
        <v>1431</v>
      </c>
    </row>
    <row r="20" spans="1:12" ht="49.5" customHeight="1" x14ac:dyDescent="0.25">
      <c r="A20" s="17">
        <v>44616</v>
      </c>
      <c r="B20" s="18">
        <v>0</v>
      </c>
      <c r="C20" s="18">
        <v>28</v>
      </c>
      <c r="D20" s="2">
        <f t="shared" ref="D20:D44" si="1">B20-C20</f>
        <v>-28</v>
      </c>
      <c r="E20" s="2"/>
      <c r="F20" s="2"/>
      <c r="G20" s="2"/>
      <c r="H20" s="2"/>
      <c r="I20" s="2"/>
      <c r="J20" s="2"/>
      <c r="K20" s="19" t="s">
        <v>1433</v>
      </c>
      <c r="L20" s="27" t="s">
        <v>1432</v>
      </c>
    </row>
    <row r="21" spans="1:12" ht="15" customHeight="1" x14ac:dyDescent="0.25">
      <c r="A21" s="21"/>
      <c r="B21" s="22"/>
      <c r="C21" s="22"/>
      <c r="D21" s="2">
        <f t="shared" si="1"/>
        <v>0</v>
      </c>
      <c r="E21" s="23"/>
      <c r="F21" s="23"/>
      <c r="G21" s="23"/>
      <c r="H21" s="23"/>
      <c r="I21" s="23"/>
      <c r="J21" s="23"/>
      <c r="K21" s="25"/>
      <c r="L21" s="53"/>
    </row>
    <row r="22" spans="1:12" ht="15" customHeight="1" x14ac:dyDescent="0.25">
      <c r="A22" s="17"/>
      <c r="B22" s="18"/>
      <c r="C22" s="18"/>
      <c r="D22" s="2">
        <f t="shared" si="1"/>
        <v>0</v>
      </c>
      <c r="E22" s="2"/>
      <c r="F22" s="2"/>
      <c r="G22" s="2"/>
      <c r="H22" s="2"/>
      <c r="I22" s="2"/>
      <c r="J22" s="2"/>
      <c r="K22" s="19"/>
      <c r="L22" s="53"/>
    </row>
    <row r="23" spans="1:12" ht="15" customHeight="1" x14ac:dyDescent="0.25">
      <c r="A23" s="17"/>
      <c r="B23" s="18"/>
      <c r="C23" s="18"/>
      <c r="D23" s="2">
        <f t="shared" si="1"/>
        <v>0</v>
      </c>
      <c r="E23" s="2"/>
      <c r="F23" s="2"/>
      <c r="G23" s="2"/>
      <c r="H23" s="2"/>
      <c r="I23" s="2"/>
      <c r="J23" s="2"/>
      <c r="K23" s="45"/>
      <c r="L23" s="53"/>
    </row>
    <row r="24" spans="1:12" ht="15" customHeight="1" x14ac:dyDescent="0.25">
      <c r="A24" s="17"/>
      <c r="B24" s="18"/>
      <c r="C24" s="18"/>
      <c r="D24" s="2">
        <f t="shared" si="1"/>
        <v>0</v>
      </c>
      <c r="E24" s="2"/>
      <c r="F24" s="2"/>
      <c r="G24" s="2"/>
      <c r="H24" s="2"/>
      <c r="I24" s="2"/>
      <c r="J24" s="2"/>
      <c r="K24" s="19"/>
      <c r="L24" s="53"/>
    </row>
    <row r="25" spans="1:12" ht="15" customHeight="1" x14ac:dyDescent="0.25">
      <c r="A25" s="17"/>
      <c r="B25" s="18"/>
      <c r="C25" s="18"/>
      <c r="D25" s="2">
        <f t="shared" si="1"/>
        <v>0</v>
      </c>
      <c r="E25" s="2"/>
      <c r="F25" s="2"/>
      <c r="G25" s="2"/>
      <c r="H25" s="2"/>
      <c r="I25" s="2"/>
      <c r="J25" s="2"/>
      <c r="K25" s="19"/>
    </row>
    <row r="26" spans="1:12" ht="15" customHeight="1" x14ac:dyDescent="0.25">
      <c r="A26" s="17"/>
      <c r="B26" s="18"/>
      <c r="C26" s="18"/>
      <c r="D26" s="2">
        <f t="shared" si="1"/>
        <v>0</v>
      </c>
      <c r="E26" s="2"/>
      <c r="F26" s="2"/>
      <c r="G26" s="2"/>
      <c r="H26" s="2"/>
      <c r="I26" s="2"/>
      <c r="J26" s="2"/>
      <c r="K26" s="19"/>
      <c r="L26" s="53"/>
    </row>
    <row r="27" spans="1:12" ht="15" customHeight="1" x14ac:dyDescent="0.25">
      <c r="A27" s="17"/>
      <c r="B27" s="18"/>
      <c r="C27" s="18"/>
      <c r="D27" s="2">
        <f t="shared" si="1"/>
        <v>0</v>
      </c>
      <c r="E27" s="2"/>
      <c r="F27" s="2"/>
      <c r="G27" s="2"/>
      <c r="H27" s="2"/>
      <c r="I27" s="2"/>
      <c r="J27" s="2"/>
      <c r="K27" s="20"/>
    </row>
    <row r="28" spans="1:12" x14ac:dyDescent="0.25">
      <c r="A28" s="17"/>
      <c r="B28" s="18"/>
      <c r="C28" s="18"/>
      <c r="D28" s="2">
        <f t="shared" si="1"/>
        <v>0</v>
      </c>
      <c r="E28" s="2"/>
      <c r="F28" s="2"/>
      <c r="G28" s="2"/>
      <c r="H28" s="2"/>
      <c r="I28" s="2"/>
      <c r="J28" s="2"/>
      <c r="K28" s="20"/>
    </row>
    <row r="29" spans="1:12" x14ac:dyDescent="0.25">
      <c r="A29" s="17"/>
      <c r="B29" s="18"/>
      <c r="C29" s="18"/>
      <c r="D29" s="2">
        <f t="shared" si="1"/>
        <v>0</v>
      </c>
      <c r="E29" s="2"/>
      <c r="F29" s="2"/>
      <c r="G29" s="2"/>
      <c r="H29" s="2"/>
      <c r="I29" s="2"/>
      <c r="J29" s="2"/>
      <c r="K29" s="19"/>
    </row>
    <row r="30" spans="1:12" x14ac:dyDescent="0.25">
      <c r="A30" s="17"/>
      <c r="B30" s="18"/>
      <c r="C30" s="18"/>
      <c r="D30" s="2">
        <f t="shared" si="1"/>
        <v>0</v>
      </c>
      <c r="E30" s="2"/>
      <c r="F30" s="2"/>
      <c r="G30" s="2"/>
      <c r="H30" s="2"/>
      <c r="I30" s="2"/>
      <c r="J30" s="2"/>
      <c r="K30" s="19"/>
    </row>
    <row r="31" spans="1:12" x14ac:dyDescent="0.25">
      <c r="A31" s="17"/>
      <c r="B31" s="18"/>
      <c r="C31" s="18"/>
      <c r="D31" s="2">
        <f t="shared" si="1"/>
        <v>0</v>
      </c>
      <c r="E31" s="2"/>
      <c r="F31" s="2"/>
      <c r="G31" s="2"/>
      <c r="H31" s="2"/>
      <c r="I31" s="2"/>
      <c r="J31" s="2"/>
      <c r="K31" s="20"/>
    </row>
    <row r="32" spans="1:12" x14ac:dyDescent="0.25">
      <c r="A32" s="17"/>
      <c r="B32" s="18"/>
      <c r="C32" s="18"/>
      <c r="D32" s="2">
        <f t="shared" si="1"/>
        <v>0</v>
      </c>
      <c r="E32" s="2"/>
      <c r="F32" s="2"/>
      <c r="G32" s="2"/>
      <c r="H32" s="2"/>
      <c r="I32" s="2"/>
      <c r="J32" s="2"/>
      <c r="K32" s="20"/>
    </row>
    <row r="33" spans="1:11" x14ac:dyDescent="0.25">
      <c r="A33" s="17"/>
      <c r="B33" s="18"/>
      <c r="C33" s="18"/>
      <c r="D33" s="2">
        <f t="shared" si="1"/>
        <v>0</v>
      </c>
      <c r="E33" s="2"/>
      <c r="F33" s="2"/>
      <c r="G33" s="2"/>
      <c r="H33" s="2"/>
      <c r="I33" s="2"/>
      <c r="J33" s="2"/>
      <c r="K33" s="19"/>
    </row>
    <row r="34" spans="1:11" x14ac:dyDescent="0.25">
      <c r="A34" s="17"/>
      <c r="B34" s="18"/>
      <c r="C34" s="18"/>
      <c r="D34" s="2">
        <f t="shared" si="1"/>
        <v>0</v>
      </c>
      <c r="E34" s="2"/>
      <c r="F34" s="2"/>
      <c r="G34" s="2"/>
      <c r="H34" s="2"/>
      <c r="I34" s="2"/>
      <c r="J34" s="2"/>
      <c r="K34" s="20"/>
    </row>
    <row r="35" spans="1:11" x14ac:dyDescent="0.25">
      <c r="A35" s="17"/>
      <c r="B35" s="18"/>
      <c r="C35" s="18"/>
      <c r="D35" s="2">
        <f t="shared" si="1"/>
        <v>0</v>
      </c>
      <c r="E35" s="2"/>
      <c r="F35" s="2"/>
      <c r="G35" s="2"/>
      <c r="H35" s="2"/>
      <c r="I35" s="2"/>
      <c r="J35" s="2"/>
      <c r="K35" s="20"/>
    </row>
    <row r="36" spans="1:11" x14ac:dyDescent="0.25">
      <c r="A36" s="17"/>
      <c r="B36" s="18"/>
      <c r="C36" s="18"/>
      <c r="D36" s="2">
        <f t="shared" si="1"/>
        <v>0</v>
      </c>
      <c r="E36" s="2"/>
      <c r="F36" s="2"/>
      <c r="G36" s="2"/>
      <c r="H36" s="2"/>
      <c r="I36" s="2"/>
      <c r="J36" s="2"/>
      <c r="K36" s="20"/>
    </row>
    <row r="37" spans="1:11" x14ac:dyDescent="0.25">
      <c r="A37" s="17"/>
      <c r="B37" s="18"/>
      <c r="C37" s="18"/>
      <c r="D37" s="2">
        <f t="shared" si="1"/>
        <v>0</v>
      </c>
      <c r="E37" s="2"/>
      <c r="F37" s="2"/>
      <c r="G37" s="2"/>
      <c r="H37" s="2"/>
      <c r="I37" s="2"/>
      <c r="J37" s="2"/>
      <c r="K37" s="20"/>
    </row>
    <row r="38" spans="1:11" x14ac:dyDescent="0.25">
      <c r="A38" s="17"/>
      <c r="B38" s="18"/>
      <c r="C38" s="18"/>
      <c r="D38" s="2">
        <f t="shared" si="1"/>
        <v>0</v>
      </c>
      <c r="E38" s="2"/>
      <c r="F38" s="2"/>
      <c r="G38" s="2"/>
      <c r="H38" s="2"/>
      <c r="I38" s="2"/>
      <c r="J38" s="2"/>
      <c r="K38" s="20"/>
    </row>
    <row r="39" spans="1:11" x14ac:dyDescent="0.25">
      <c r="A39" s="17"/>
      <c r="B39" s="18"/>
      <c r="C39" s="18"/>
      <c r="D39" s="2">
        <f t="shared" si="1"/>
        <v>0</v>
      </c>
      <c r="E39" s="2"/>
      <c r="F39" s="2"/>
      <c r="G39" s="2"/>
      <c r="H39" s="2"/>
      <c r="I39" s="2"/>
      <c r="J39" s="2"/>
      <c r="K39" s="20"/>
    </row>
    <row r="40" spans="1:11" x14ac:dyDescent="0.25">
      <c r="A40" s="17"/>
      <c r="B40" s="18"/>
      <c r="C40" s="18"/>
      <c r="D40" s="2">
        <f t="shared" si="1"/>
        <v>0</v>
      </c>
      <c r="E40" s="2"/>
      <c r="F40" s="2"/>
      <c r="G40" s="2"/>
      <c r="H40" s="2"/>
      <c r="I40" s="2"/>
      <c r="J40" s="2"/>
      <c r="K40" s="19"/>
    </row>
    <row r="41" spans="1:11" x14ac:dyDescent="0.25">
      <c r="A41" s="17"/>
      <c r="B41" s="18"/>
      <c r="C41" s="18"/>
      <c r="D41" s="2">
        <f t="shared" si="1"/>
        <v>0</v>
      </c>
      <c r="E41" s="2"/>
      <c r="F41" s="2"/>
      <c r="G41" s="2"/>
      <c r="H41" s="2"/>
      <c r="I41" s="2"/>
      <c r="J41" s="2"/>
      <c r="K41" s="20"/>
    </row>
    <row r="42" spans="1:11" x14ac:dyDescent="0.25">
      <c r="A42" s="17"/>
      <c r="B42" s="18"/>
      <c r="C42" s="18"/>
      <c r="D42" s="2">
        <f t="shared" si="1"/>
        <v>0</v>
      </c>
      <c r="E42" s="2"/>
      <c r="F42" s="2"/>
      <c r="G42" s="2"/>
      <c r="H42" s="2"/>
      <c r="I42" s="2"/>
      <c r="J42" s="2"/>
      <c r="K42" s="20"/>
    </row>
    <row r="43" spans="1:11" x14ac:dyDescent="0.25">
      <c r="A43" s="17"/>
      <c r="B43" s="18"/>
      <c r="C43" s="18"/>
      <c r="D43" s="2">
        <f t="shared" si="1"/>
        <v>0</v>
      </c>
      <c r="E43" s="2"/>
      <c r="F43" s="2"/>
      <c r="G43" s="2"/>
      <c r="H43" s="2"/>
      <c r="I43" s="2"/>
      <c r="J43" s="2"/>
      <c r="K43" s="20"/>
    </row>
    <row r="44" spans="1:11" x14ac:dyDescent="0.25">
      <c r="A44" s="17"/>
      <c r="B44" s="18"/>
      <c r="C44" s="18"/>
      <c r="D44" s="2">
        <f t="shared" si="1"/>
        <v>0</v>
      </c>
      <c r="E44" s="2"/>
      <c r="F44" s="2"/>
      <c r="G44" s="2"/>
      <c r="H44" s="2"/>
      <c r="I44" s="2"/>
      <c r="J44" s="2"/>
      <c r="K44" s="20"/>
    </row>
  </sheetData>
  <sheetProtection algorithmName="SHA-512" hashValue="2GFA/m4WZLpEbRBKF7Oeb8U+eajVQfkhpVCvC+YXwzUOqV/YQA36gpWFmCl+A7Q5SGQFdc3kRiOexeTOHDmfHA==" saltValue="88tbE9j4vtUgz5W8iQW9dg==" spinCount="100000" sheet="1" objects="1" scenarios="1" selectLockedCells="1" selectUnlockedCells="1"/>
  <sortState xmlns:xlrd2="http://schemas.microsoft.com/office/spreadsheetml/2017/richdata2" ref="A7:L19">
    <sortCondition ref="A19"/>
  </sortState>
  <customSheetViews>
    <customSheetView guid="{E5A7B818-645B-417C-A128-9FE559D9B124}" fitToPage="1">
      <pane ySplit="6" topLeftCell="A7" activePane="bottomLeft" state="frozen"/>
      <selection pane="bottomLeft" activeCell="A19" sqref="A19"/>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109" priority="1" operator="lessThan">
      <formula>0</formula>
    </cfRule>
    <cfRule type="cellIs" dxfId="10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L44"/>
  <sheetViews>
    <sheetView workbookViewId="0">
      <pane ySplit="6" topLeftCell="A16" activePane="bottomLeft" state="frozen"/>
      <selection pane="bottomLeft" activeCell="B33" sqref="B33"/>
    </sheetView>
  </sheetViews>
  <sheetFormatPr baseColWidth="10" defaultColWidth="11.42578125" defaultRowHeight="15" x14ac:dyDescent="0.25"/>
  <cols>
    <col min="1" max="4" width="11.42578125" style="27"/>
    <col min="5" max="5" width="11.42578125" style="95"/>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189</v>
      </c>
    </row>
    <row r="3" spans="1:12" ht="15.75" thickBot="1" x14ac:dyDescent="0.3">
      <c r="A3" s="5"/>
      <c r="B3" s="2"/>
      <c r="C3" s="2"/>
      <c r="D3" s="2"/>
      <c r="E3" s="2"/>
      <c r="F3" s="2">
        <f>'02.22'!F6</f>
        <v>453</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4" t="s">
        <v>18</v>
      </c>
    </row>
    <row r="6" spans="1:12" s="35" customFormat="1" ht="15.75" thickBot="1" x14ac:dyDescent="0.3">
      <c r="A6" s="29"/>
      <c r="B6" s="30"/>
      <c r="C6" s="30"/>
      <c r="D6" s="30"/>
      <c r="E6" s="30"/>
      <c r="F6" s="32">
        <f>SUM(D:D)+F3</f>
        <v>417</v>
      </c>
      <c r="G6" s="30">
        <f>SUM(B:B)</f>
        <v>108</v>
      </c>
      <c r="H6" s="30">
        <f>SUM(C:C)</f>
        <v>144</v>
      </c>
      <c r="I6" s="30"/>
      <c r="J6" s="33">
        <f>SUM(G6:H6)+SUM(E:E)</f>
        <v>337</v>
      </c>
      <c r="K6" s="34"/>
      <c r="L6" s="50">
        <f>J6/K1</f>
        <v>0.55610561056105612</v>
      </c>
    </row>
    <row r="7" spans="1:12" ht="15" customHeight="1" x14ac:dyDescent="0.25">
      <c r="A7" s="17">
        <v>44621</v>
      </c>
      <c r="B7" s="18">
        <v>1</v>
      </c>
      <c r="C7" s="18">
        <v>1</v>
      </c>
      <c r="D7" s="2">
        <f t="shared" ref="D7:D44" si="0">B7-C7</f>
        <v>0</v>
      </c>
      <c r="E7" s="2">
        <v>1</v>
      </c>
      <c r="F7" s="2"/>
      <c r="G7" s="2"/>
      <c r="H7" s="2"/>
      <c r="I7" s="2"/>
      <c r="J7" s="2"/>
      <c r="K7" s="19" t="s">
        <v>1434</v>
      </c>
      <c r="L7" s="27" t="s">
        <v>1346</v>
      </c>
    </row>
    <row r="8" spans="1:12" ht="38.25" customHeight="1" x14ac:dyDescent="0.25">
      <c r="A8" s="17">
        <v>44623</v>
      </c>
      <c r="B8" s="18">
        <v>0</v>
      </c>
      <c r="C8" s="18">
        <v>16</v>
      </c>
      <c r="D8" s="2">
        <f t="shared" si="0"/>
        <v>-16</v>
      </c>
      <c r="E8" s="2"/>
      <c r="F8" s="2"/>
      <c r="G8" s="2"/>
      <c r="H8" s="2"/>
      <c r="I8" s="2"/>
      <c r="J8" s="2"/>
      <c r="K8" s="19" t="s">
        <v>1435</v>
      </c>
      <c r="L8" s="27" t="s">
        <v>1436</v>
      </c>
    </row>
    <row r="9" spans="1:12" ht="37.5" customHeight="1" x14ac:dyDescent="0.25">
      <c r="A9" s="17">
        <v>44630</v>
      </c>
      <c r="B9" s="18">
        <v>0</v>
      </c>
      <c r="C9" s="18">
        <v>17</v>
      </c>
      <c r="D9" s="2">
        <f t="shared" si="0"/>
        <v>-17</v>
      </c>
      <c r="E9" s="2"/>
      <c r="F9" s="2"/>
      <c r="G9" s="2"/>
      <c r="H9" s="2"/>
      <c r="I9" s="2"/>
      <c r="J9" s="2"/>
      <c r="K9" s="19" t="s">
        <v>1437</v>
      </c>
      <c r="L9" s="27" t="s">
        <v>1438</v>
      </c>
    </row>
    <row r="10" spans="1:12" ht="38.25" customHeight="1" x14ac:dyDescent="0.3">
      <c r="A10" s="17">
        <v>44630</v>
      </c>
      <c r="B10" s="18">
        <v>20</v>
      </c>
      <c r="C10" s="18">
        <v>0</v>
      </c>
      <c r="D10" s="2">
        <f t="shared" si="0"/>
        <v>20</v>
      </c>
      <c r="E10" s="2"/>
      <c r="F10" s="2"/>
      <c r="G10" s="2"/>
      <c r="H10" s="2"/>
      <c r="I10" s="2"/>
      <c r="J10" s="2"/>
      <c r="K10" s="19" t="s">
        <v>1439</v>
      </c>
      <c r="L10" s="38"/>
    </row>
    <row r="11" spans="1:12" ht="38.25" customHeight="1" x14ac:dyDescent="0.25">
      <c r="A11" s="17">
        <v>44636</v>
      </c>
      <c r="B11" s="18">
        <v>0</v>
      </c>
      <c r="C11" s="18">
        <v>14</v>
      </c>
      <c r="D11" s="2">
        <f t="shared" si="0"/>
        <v>-14</v>
      </c>
      <c r="E11" s="2"/>
      <c r="F11" s="2"/>
      <c r="G11" s="2"/>
      <c r="H11" s="2"/>
      <c r="I11" s="2"/>
      <c r="J11" s="2"/>
      <c r="K11" s="19" t="s">
        <v>1440</v>
      </c>
      <c r="L11" s="27" t="s">
        <v>1441</v>
      </c>
    </row>
    <row r="12" spans="1:12" ht="51.75" customHeight="1" x14ac:dyDescent="0.25">
      <c r="A12" s="17">
        <v>44637</v>
      </c>
      <c r="B12" s="18">
        <v>0</v>
      </c>
      <c r="C12" s="18">
        <v>26</v>
      </c>
      <c r="D12" s="2">
        <f t="shared" si="0"/>
        <v>-26</v>
      </c>
      <c r="E12" s="2"/>
      <c r="F12" s="2"/>
      <c r="G12" s="2"/>
      <c r="H12" s="2"/>
      <c r="I12" s="2"/>
      <c r="J12" s="2"/>
      <c r="K12" s="19" t="s">
        <v>1442</v>
      </c>
      <c r="L12" s="27" t="s">
        <v>1443</v>
      </c>
    </row>
    <row r="13" spans="1:12" ht="33" customHeight="1" x14ac:dyDescent="0.25">
      <c r="A13" s="17">
        <v>44637</v>
      </c>
      <c r="B13" s="18">
        <v>1</v>
      </c>
      <c r="C13" s="18">
        <v>1</v>
      </c>
      <c r="D13" s="2">
        <f t="shared" si="0"/>
        <v>0</v>
      </c>
      <c r="E13" s="2">
        <v>1</v>
      </c>
      <c r="F13" s="2"/>
      <c r="G13" s="2"/>
      <c r="H13" s="2"/>
      <c r="I13" s="2"/>
      <c r="J13" s="2"/>
      <c r="K13" s="19" t="s">
        <v>1446</v>
      </c>
    </row>
    <row r="14" spans="1:12" ht="15" customHeight="1" x14ac:dyDescent="0.25">
      <c r="A14" s="17">
        <v>44641</v>
      </c>
      <c r="B14" s="18">
        <v>0</v>
      </c>
      <c r="C14" s="18">
        <v>0</v>
      </c>
      <c r="D14" s="2">
        <f t="shared" si="0"/>
        <v>0</v>
      </c>
      <c r="E14" s="2">
        <v>21</v>
      </c>
      <c r="F14" s="2"/>
      <c r="G14" s="2"/>
      <c r="H14" s="2"/>
      <c r="I14" s="2"/>
      <c r="J14" s="2"/>
      <c r="K14" s="19" t="s">
        <v>107</v>
      </c>
      <c r="L14" s="53" t="s">
        <v>1447</v>
      </c>
    </row>
    <row r="15" spans="1:12" ht="50.25" customHeight="1" x14ac:dyDescent="0.25">
      <c r="A15" s="17">
        <v>44641</v>
      </c>
      <c r="B15" s="18">
        <v>21</v>
      </c>
      <c r="C15" s="18">
        <v>0</v>
      </c>
      <c r="D15" s="2">
        <f t="shared" si="0"/>
        <v>21</v>
      </c>
      <c r="E15" s="2"/>
      <c r="F15" s="2"/>
      <c r="G15" s="2"/>
      <c r="H15" s="2"/>
      <c r="I15" s="2"/>
      <c r="J15" s="2"/>
      <c r="K15" s="19" t="s">
        <v>1448</v>
      </c>
      <c r="L15" s="53" t="s">
        <v>1449</v>
      </c>
    </row>
    <row r="16" spans="1:12" ht="15" customHeight="1" x14ac:dyDescent="0.25">
      <c r="A16" s="17">
        <v>44642</v>
      </c>
      <c r="B16" s="18">
        <v>0</v>
      </c>
      <c r="C16" s="18">
        <v>2</v>
      </c>
      <c r="D16" s="2">
        <f t="shared" si="0"/>
        <v>-2</v>
      </c>
      <c r="E16" s="2"/>
      <c r="F16" s="2"/>
      <c r="G16" s="2"/>
      <c r="H16" s="2"/>
      <c r="I16" s="2"/>
      <c r="J16" s="2"/>
      <c r="K16" s="19" t="s">
        <v>1450</v>
      </c>
      <c r="L16" s="27" t="s">
        <v>1451</v>
      </c>
    </row>
    <row r="17" spans="1:12" ht="15" customHeight="1" x14ac:dyDescent="0.25">
      <c r="A17" s="17">
        <v>44642</v>
      </c>
      <c r="B17" s="18">
        <v>7</v>
      </c>
      <c r="C17" s="18">
        <v>7</v>
      </c>
      <c r="D17" s="2">
        <f t="shared" si="0"/>
        <v>0</v>
      </c>
      <c r="E17" s="2">
        <v>7</v>
      </c>
      <c r="F17" s="2"/>
      <c r="G17" s="2"/>
      <c r="H17" s="2"/>
      <c r="I17" s="2"/>
      <c r="J17" s="2"/>
      <c r="K17" s="19" t="s">
        <v>1452</v>
      </c>
      <c r="L17" s="53"/>
    </row>
    <row r="18" spans="1:12" ht="15" customHeight="1" x14ac:dyDescent="0.25">
      <c r="A18" s="17">
        <v>44643</v>
      </c>
      <c r="B18" s="18">
        <v>0</v>
      </c>
      <c r="C18" s="18">
        <v>3</v>
      </c>
      <c r="D18" s="2">
        <f t="shared" si="0"/>
        <v>-3</v>
      </c>
      <c r="E18" s="2"/>
      <c r="F18" s="2"/>
      <c r="G18" s="2"/>
      <c r="H18" s="2"/>
      <c r="I18" s="2"/>
      <c r="J18" s="2"/>
      <c r="K18" s="19" t="s">
        <v>1453</v>
      </c>
      <c r="L18" s="27" t="s">
        <v>1454</v>
      </c>
    </row>
    <row r="19" spans="1:12" ht="15" customHeight="1" x14ac:dyDescent="0.25">
      <c r="A19" s="17">
        <v>44643</v>
      </c>
      <c r="B19" s="18">
        <v>3</v>
      </c>
      <c r="C19" s="18">
        <v>0</v>
      </c>
      <c r="D19" s="2">
        <f t="shared" si="0"/>
        <v>3</v>
      </c>
      <c r="E19" s="2"/>
      <c r="F19" s="2"/>
      <c r="G19" s="2"/>
      <c r="H19" s="2"/>
      <c r="I19" s="2"/>
      <c r="J19" s="2"/>
      <c r="K19" s="19" t="s">
        <v>1455</v>
      </c>
    </row>
    <row r="20" spans="1:12" ht="15" customHeight="1" x14ac:dyDescent="0.25">
      <c r="A20" s="17">
        <v>44645</v>
      </c>
      <c r="B20" s="18">
        <v>0</v>
      </c>
      <c r="C20" s="18">
        <v>0</v>
      </c>
      <c r="D20" s="2">
        <f t="shared" si="0"/>
        <v>0</v>
      </c>
      <c r="E20" s="2">
        <v>25</v>
      </c>
      <c r="F20" s="2"/>
      <c r="G20" s="2"/>
      <c r="H20" s="2"/>
      <c r="I20" s="2"/>
      <c r="J20" s="2"/>
      <c r="K20" s="19" t="s">
        <v>107</v>
      </c>
      <c r="L20" s="53" t="s">
        <v>1456</v>
      </c>
    </row>
    <row r="21" spans="1:12" ht="65.25" customHeight="1" x14ac:dyDescent="0.25">
      <c r="A21" s="21">
        <v>44645</v>
      </c>
      <c r="B21" s="22">
        <v>0</v>
      </c>
      <c r="C21" s="22">
        <v>35</v>
      </c>
      <c r="D21" s="2">
        <f t="shared" si="0"/>
        <v>-35</v>
      </c>
      <c r="E21" s="23"/>
      <c r="F21" s="23"/>
      <c r="G21" s="23"/>
      <c r="H21" s="23"/>
      <c r="I21" s="23"/>
      <c r="J21" s="23"/>
      <c r="K21" s="25" t="s">
        <v>1457</v>
      </c>
      <c r="L21" s="27" t="s">
        <v>1458</v>
      </c>
    </row>
    <row r="22" spans="1:12" ht="54.75" customHeight="1" x14ac:dyDescent="0.25">
      <c r="A22" s="17">
        <v>44648</v>
      </c>
      <c r="B22" s="18">
        <v>25</v>
      </c>
      <c r="C22" s="18">
        <v>0</v>
      </c>
      <c r="D22" s="2">
        <f t="shared" si="0"/>
        <v>25</v>
      </c>
      <c r="E22" s="2"/>
      <c r="F22" s="2"/>
      <c r="G22" s="2"/>
      <c r="H22" s="2"/>
      <c r="I22" s="2"/>
      <c r="J22" s="2"/>
      <c r="K22" s="19" t="s">
        <v>1460</v>
      </c>
      <c r="L22" s="53" t="s">
        <v>1459</v>
      </c>
    </row>
    <row r="23" spans="1:12" ht="15" customHeight="1" x14ac:dyDescent="0.25">
      <c r="A23" s="17">
        <v>44648</v>
      </c>
      <c r="B23" s="18">
        <v>0</v>
      </c>
      <c r="C23" s="18">
        <v>0</v>
      </c>
      <c r="D23" s="2">
        <f t="shared" si="0"/>
        <v>0</v>
      </c>
      <c r="E23" s="2">
        <v>26</v>
      </c>
      <c r="F23" s="2"/>
      <c r="G23" s="2"/>
      <c r="H23" s="2"/>
      <c r="I23" s="2"/>
      <c r="J23" s="2"/>
      <c r="K23" s="19" t="s">
        <v>107</v>
      </c>
      <c r="L23" s="53" t="s">
        <v>1461</v>
      </c>
    </row>
    <row r="24" spans="1:12" ht="53.25" customHeight="1" x14ac:dyDescent="0.25">
      <c r="A24" s="17">
        <v>44649</v>
      </c>
      <c r="B24" s="18">
        <v>26</v>
      </c>
      <c r="C24" s="18">
        <v>0</v>
      </c>
      <c r="D24" s="2">
        <f t="shared" si="0"/>
        <v>26</v>
      </c>
      <c r="E24" s="2"/>
      <c r="F24" s="2"/>
      <c r="G24" s="2"/>
      <c r="H24" s="2"/>
      <c r="I24" s="2"/>
      <c r="J24" s="2"/>
      <c r="K24" s="19" t="s">
        <v>1462</v>
      </c>
      <c r="L24" s="53" t="s">
        <v>1461</v>
      </c>
    </row>
    <row r="25" spans="1:12" ht="15" customHeight="1" x14ac:dyDescent="0.25">
      <c r="A25" s="17">
        <v>44651</v>
      </c>
      <c r="B25" s="18">
        <v>4</v>
      </c>
      <c r="C25" s="18">
        <v>4</v>
      </c>
      <c r="D25" s="2">
        <f t="shared" si="0"/>
        <v>0</v>
      </c>
      <c r="E25" s="2">
        <v>4</v>
      </c>
      <c r="F25" s="2"/>
      <c r="G25" s="2"/>
      <c r="H25" s="2"/>
      <c r="I25" s="2"/>
      <c r="J25" s="2"/>
      <c r="K25" s="19" t="s">
        <v>1466</v>
      </c>
    </row>
    <row r="26" spans="1:12" ht="39" customHeight="1" x14ac:dyDescent="0.25">
      <c r="A26" s="17">
        <v>44651</v>
      </c>
      <c r="B26" s="18">
        <v>0</v>
      </c>
      <c r="C26" s="18">
        <v>18</v>
      </c>
      <c r="D26" s="2">
        <f t="shared" si="0"/>
        <v>-18</v>
      </c>
      <c r="E26" s="2"/>
      <c r="F26" s="2"/>
      <c r="G26" s="2"/>
      <c r="H26" s="2"/>
      <c r="I26" s="2"/>
      <c r="J26" s="2"/>
      <c r="K26" s="19" t="s">
        <v>1467</v>
      </c>
      <c r="L26" s="27" t="s">
        <v>1468</v>
      </c>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GBwlV8qRvv8Xk+Yr2jV5KP2v04vAcgDhfhntO/Th8vTuFVc/cXy7OY8qlDJe4eNyeNFv4TNu/vmibr6gkoavnA==" saltValue="rBRcZTzEDxb+8YiowFc6mA==" spinCount="100000" sheet="1" objects="1" scenarios="1" selectLockedCells="1" selectUnlockedCells="1"/>
  <customSheetViews>
    <customSheetView guid="{E5A7B818-645B-417C-A128-9FE559D9B124}" fitToPage="1">
      <pane ySplit="6" topLeftCell="A16" activePane="bottomLeft" state="frozen"/>
      <selection pane="bottomLeft" activeCell="B33" sqref="B33"/>
      <pageMargins left="0.70866141732283472" right="0.70866141732283472" top="0.78740157480314965" bottom="0.78740157480314965" header="0.31496062992125984" footer="0.31496062992125984"/>
      <printOptions horizontalCentered="1" verticalCentered="1"/>
      <pageSetup paperSize="9" scale="65" orientation="landscape" r:id="rId1"/>
      <headerFooter>
        <oddFooter>&amp;C&amp;D / &amp;T&amp;RSeite &amp;P von &amp;N</oddFooter>
      </headerFooter>
    </customSheetView>
  </customSheetViews>
  <conditionalFormatting sqref="K2">
    <cfRule type="cellIs" dxfId="107" priority="1" operator="lessThan">
      <formula>0</formula>
    </cfRule>
    <cfRule type="cellIs" dxfId="10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5" orientation="landscape" r:id="rId2"/>
  <headerFooter>
    <oddFooter>&amp;C&amp;D / &amp;T&amp;RSeite &amp;P von &amp;N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L44"/>
  <sheetViews>
    <sheetView workbookViewId="0">
      <pane ySplit="6" topLeftCell="A7" activePane="bottomLeft" state="frozen"/>
      <selection pane="bottomLeft" activeCell="K10" sqref="K10"/>
    </sheetView>
  </sheetViews>
  <sheetFormatPr baseColWidth="10" defaultColWidth="11.42578125" defaultRowHeight="15" x14ac:dyDescent="0.25"/>
  <cols>
    <col min="1" max="4" width="11.42578125" style="27"/>
    <col min="5" max="5" width="11.42578125" style="9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252</v>
      </c>
    </row>
    <row r="3" spans="1:12" ht="15.75" thickBot="1" x14ac:dyDescent="0.3">
      <c r="A3" s="5"/>
      <c r="B3" s="2"/>
      <c r="C3" s="2"/>
      <c r="D3" s="2"/>
      <c r="E3" s="2"/>
      <c r="F3" s="2">
        <f>'03.22'!F6</f>
        <v>417</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6" t="s">
        <v>18</v>
      </c>
    </row>
    <row r="6" spans="1:12" s="35" customFormat="1" ht="15.75" thickBot="1" x14ac:dyDescent="0.3">
      <c r="A6" s="29"/>
      <c r="B6" s="30"/>
      <c r="C6" s="30"/>
      <c r="D6" s="30"/>
      <c r="E6" s="30"/>
      <c r="F6" s="32">
        <f>SUM(D:D)+F3</f>
        <v>354</v>
      </c>
      <c r="G6" s="30">
        <f>SUM(B:B)</f>
        <v>2</v>
      </c>
      <c r="H6" s="30">
        <f>SUM(C:C)</f>
        <v>65</v>
      </c>
      <c r="I6" s="30"/>
      <c r="J6" s="33">
        <f>SUM(G6:H6)+SUM(E:E)</f>
        <v>67</v>
      </c>
      <c r="K6" s="34"/>
      <c r="L6" s="50">
        <f>J6/K1</f>
        <v>0.11056105610561057</v>
      </c>
    </row>
    <row r="7" spans="1:12" ht="54" customHeight="1" x14ac:dyDescent="0.25">
      <c r="A7" s="17">
        <v>44657</v>
      </c>
      <c r="B7" s="18">
        <v>0</v>
      </c>
      <c r="C7" s="18">
        <v>24</v>
      </c>
      <c r="D7" s="2">
        <f t="shared" ref="D7:D44" si="0">B7-C7</f>
        <v>-24</v>
      </c>
      <c r="E7" s="2"/>
      <c r="F7" s="2"/>
      <c r="G7" s="2"/>
      <c r="H7" s="2"/>
      <c r="I7" s="2"/>
      <c r="J7" s="2"/>
      <c r="K7" s="19" t="s">
        <v>1469</v>
      </c>
      <c r="L7" s="53" t="s">
        <v>1470</v>
      </c>
    </row>
    <row r="8" spans="1:12" ht="52.5" customHeight="1" x14ac:dyDescent="0.25">
      <c r="A8" s="17">
        <v>44672</v>
      </c>
      <c r="B8" s="18">
        <v>0</v>
      </c>
      <c r="C8" s="18">
        <v>23</v>
      </c>
      <c r="D8" s="2">
        <f t="shared" si="0"/>
        <v>-23</v>
      </c>
      <c r="E8" s="2"/>
      <c r="F8" s="2"/>
      <c r="G8" s="2"/>
      <c r="H8" s="2"/>
      <c r="I8" s="2"/>
      <c r="J8" s="2"/>
      <c r="K8" s="19" t="s">
        <v>1471</v>
      </c>
      <c r="L8" s="53" t="s">
        <v>1472</v>
      </c>
    </row>
    <row r="9" spans="1:12" ht="15" customHeight="1" x14ac:dyDescent="0.25">
      <c r="A9" s="17">
        <v>44672</v>
      </c>
      <c r="B9" s="18">
        <v>2</v>
      </c>
      <c r="C9" s="18">
        <v>0</v>
      </c>
      <c r="D9" s="2">
        <f t="shared" si="0"/>
        <v>2</v>
      </c>
      <c r="E9" s="2"/>
      <c r="F9" s="2"/>
      <c r="G9" s="2"/>
      <c r="H9" s="2"/>
      <c r="I9" s="2"/>
      <c r="J9" s="2"/>
      <c r="K9" s="19" t="s">
        <v>1473</v>
      </c>
    </row>
    <row r="10" spans="1:12" ht="38.25" customHeight="1" x14ac:dyDescent="0.25">
      <c r="A10" s="17">
        <v>44679</v>
      </c>
      <c r="B10" s="18">
        <v>0</v>
      </c>
      <c r="C10" s="18">
        <v>18</v>
      </c>
      <c r="D10" s="2">
        <f t="shared" si="0"/>
        <v>-18</v>
      </c>
      <c r="E10" s="2"/>
      <c r="F10" s="2"/>
      <c r="G10" s="2"/>
      <c r="H10" s="2"/>
      <c r="I10" s="2"/>
      <c r="J10" s="2"/>
      <c r="K10" s="19" t="s">
        <v>1474</v>
      </c>
      <c r="L10" s="53" t="s">
        <v>1475</v>
      </c>
    </row>
    <row r="11" spans="1:12" ht="15" customHeight="1" x14ac:dyDescent="0.25">
      <c r="A11" s="17"/>
      <c r="B11" s="18"/>
      <c r="C11" s="18"/>
      <c r="D11" s="2">
        <f t="shared" si="0"/>
        <v>0</v>
      </c>
      <c r="E11" s="2"/>
      <c r="F11" s="2"/>
      <c r="G11" s="2"/>
      <c r="H11" s="2"/>
      <c r="I11" s="2"/>
      <c r="J11" s="2"/>
      <c r="K11" s="19"/>
      <c r="L11" s="53"/>
    </row>
    <row r="12" spans="1:12" ht="15" customHeight="1" x14ac:dyDescent="0.25">
      <c r="A12" s="17"/>
      <c r="B12" s="18"/>
      <c r="C12" s="18"/>
      <c r="D12" s="2">
        <f t="shared" si="0"/>
        <v>0</v>
      </c>
      <c r="E12" s="2"/>
      <c r="F12" s="2"/>
      <c r="G12" s="2"/>
      <c r="H12" s="2"/>
      <c r="I12" s="2"/>
      <c r="J12" s="2"/>
      <c r="K12" s="19"/>
      <c r="L12" s="53"/>
    </row>
    <row r="13" spans="1:12" ht="15" customHeight="1" x14ac:dyDescent="0.25">
      <c r="A13" s="17"/>
      <c r="B13" s="18"/>
      <c r="C13" s="18"/>
      <c r="D13" s="2">
        <f t="shared" si="0"/>
        <v>0</v>
      </c>
      <c r="E13" s="2"/>
      <c r="F13" s="2"/>
      <c r="G13" s="2"/>
      <c r="H13" s="2"/>
      <c r="I13" s="2"/>
      <c r="J13" s="2"/>
      <c r="K13" s="19"/>
    </row>
    <row r="14" spans="1:12" ht="15" customHeight="1" x14ac:dyDescent="0.25">
      <c r="A14" s="17"/>
      <c r="B14" s="18"/>
      <c r="C14" s="18"/>
      <c r="D14" s="2">
        <f t="shared" si="0"/>
        <v>0</v>
      </c>
      <c r="E14" s="2"/>
      <c r="F14" s="2"/>
      <c r="G14" s="2"/>
      <c r="H14" s="2"/>
      <c r="I14" s="2"/>
      <c r="J14" s="2"/>
      <c r="K14" s="19"/>
    </row>
    <row r="15" spans="1:12" ht="15" customHeight="1" x14ac:dyDescent="0.25">
      <c r="A15" s="17"/>
      <c r="B15" s="18"/>
      <c r="C15" s="18"/>
      <c r="D15" s="2">
        <f t="shared" si="0"/>
        <v>0</v>
      </c>
      <c r="E15" s="2"/>
      <c r="F15" s="2"/>
      <c r="G15" s="2"/>
      <c r="H15" s="2"/>
      <c r="I15" s="2"/>
      <c r="J15" s="2"/>
      <c r="K15" s="19"/>
      <c r="L15" s="53"/>
    </row>
    <row r="16" spans="1:12" ht="15" customHeight="1" x14ac:dyDescent="0.25">
      <c r="A16" s="17"/>
      <c r="B16" s="18"/>
      <c r="C16" s="18"/>
      <c r="D16" s="2">
        <f t="shared" si="0"/>
        <v>0</v>
      </c>
      <c r="E16" s="2"/>
      <c r="F16" s="2"/>
      <c r="G16" s="2"/>
      <c r="H16" s="2"/>
      <c r="I16" s="2"/>
      <c r="J16" s="2"/>
      <c r="K16" s="19"/>
      <c r="L16" s="53"/>
    </row>
    <row r="17" spans="1:12" ht="15" customHeight="1" x14ac:dyDescent="0.25">
      <c r="A17" s="17"/>
      <c r="B17" s="18"/>
      <c r="C17" s="18"/>
      <c r="D17" s="2">
        <f t="shared" si="0"/>
        <v>0</v>
      </c>
      <c r="E17" s="2"/>
      <c r="F17" s="2"/>
      <c r="G17" s="2"/>
      <c r="H17" s="2"/>
      <c r="I17" s="2"/>
      <c r="J17" s="2"/>
      <c r="K17" s="19"/>
      <c r="L17" s="53"/>
    </row>
    <row r="18" spans="1:12" ht="15" customHeight="1" x14ac:dyDescent="0.25">
      <c r="A18" s="17"/>
      <c r="B18" s="18"/>
      <c r="C18" s="18"/>
      <c r="D18" s="2">
        <f t="shared" si="0"/>
        <v>0</v>
      </c>
      <c r="E18" s="2"/>
      <c r="F18" s="2"/>
      <c r="G18" s="2"/>
      <c r="H18" s="2"/>
      <c r="I18" s="2"/>
      <c r="J18" s="2"/>
      <c r="K18" s="19"/>
      <c r="L18" s="53"/>
    </row>
    <row r="19" spans="1:12" ht="15" customHeight="1" x14ac:dyDescent="0.25">
      <c r="A19" s="17"/>
      <c r="B19" s="18"/>
      <c r="C19" s="18"/>
      <c r="D19" s="2">
        <f t="shared" si="0"/>
        <v>0</v>
      </c>
      <c r="E19" s="2"/>
      <c r="F19" s="2"/>
      <c r="G19" s="2"/>
      <c r="H19" s="2"/>
      <c r="I19" s="2"/>
      <c r="J19" s="2"/>
      <c r="K19" s="19"/>
    </row>
    <row r="20" spans="1:12" ht="15" customHeight="1" x14ac:dyDescent="0.25">
      <c r="A20" s="17"/>
      <c r="B20" s="18"/>
      <c r="C20" s="18"/>
      <c r="D20" s="2">
        <f t="shared" si="0"/>
        <v>0</v>
      </c>
      <c r="E20" s="2"/>
      <c r="F20" s="2"/>
      <c r="G20" s="2"/>
      <c r="H20" s="2"/>
      <c r="I20" s="2"/>
      <c r="J20" s="2"/>
      <c r="K20" s="19"/>
      <c r="L20" s="53"/>
    </row>
    <row r="21" spans="1:12" ht="15" customHeight="1" x14ac:dyDescent="0.25">
      <c r="A21" s="21"/>
      <c r="B21" s="22"/>
      <c r="C21" s="22"/>
      <c r="D21" s="2">
        <f t="shared" si="0"/>
        <v>0</v>
      </c>
      <c r="E21" s="23"/>
      <c r="F21" s="23"/>
      <c r="G21" s="23"/>
      <c r="H21" s="23"/>
      <c r="I21" s="23"/>
      <c r="J21" s="23"/>
      <c r="K21" s="25"/>
      <c r="L21" s="53"/>
    </row>
    <row r="22" spans="1:12" ht="15" customHeight="1" x14ac:dyDescent="0.25">
      <c r="A22" s="17"/>
      <c r="B22" s="18"/>
      <c r="C22" s="18"/>
      <c r="D22" s="2">
        <f t="shared" si="0"/>
        <v>0</v>
      </c>
      <c r="E22" s="2"/>
      <c r="F22" s="2"/>
      <c r="G22" s="2"/>
      <c r="H22" s="2"/>
      <c r="I22" s="2"/>
      <c r="J22" s="2"/>
      <c r="K22" s="19"/>
      <c r="L22" s="53"/>
    </row>
    <row r="23" spans="1:12" ht="15" customHeight="1" x14ac:dyDescent="0.25">
      <c r="A23" s="17"/>
      <c r="B23" s="18"/>
      <c r="C23" s="18"/>
      <c r="D23" s="2">
        <f t="shared" si="0"/>
        <v>0</v>
      </c>
      <c r="E23" s="2"/>
      <c r="F23" s="2"/>
      <c r="G23" s="2"/>
      <c r="H23" s="2"/>
      <c r="I23" s="2"/>
      <c r="J23" s="2"/>
      <c r="K23" s="45"/>
      <c r="L23" s="53"/>
    </row>
    <row r="24" spans="1:12" ht="15" customHeight="1" x14ac:dyDescent="0.25">
      <c r="A24" s="17"/>
      <c r="B24" s="18"/>
      <c r="C24" s="18"/>
      <c r="D24" s="2">
        <f t="shared" si="0"/>
        <v>0</v>
      </c>
      <c r="E24" s="2"/>
      <c r="F24" s="2"/>
      <c r="G24" s="2"/>
      <c r="H24" s="2"/>
      <c r="I24" s="2"/>
      <c r="J24" s="2"/>
      <c r="K24" s="19"/>
      <c r="L24" s="53"/>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19"/>
      <c r="L26" s="53"/>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t+wiVKH+a4nB48SR/FYfgsugF984R5xzx48JnmPLw2vR0Z6AzJzEn3Vxu3cd3O9+pAVySFxARhKyJ/Lnf6iPhg==" saltValue="J47LFKYfnvoHCHJh0FYfUQ==" spinCount="100000" sheet="1" objects="1" scenarios="1" selectLockedCells="1" selectUnlockedCells="1"/>
  <customSheetViews>
    <customSheetView guid="{E5A7B818-645B-417C-A128-9FE559D9B124}" fitToPage="1">
      <pane ySplit="6" topLeftCell="A7" activePane="bottomLeft" state="frozen"/>
      <selection pane="bottomLeft" activeCell="K10" sqref="K10"/>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105" priority="1" operator="lessThan">
      <formula>0</formula>
    </cfRule>
    <cfRule type="cellIs" dxfId="10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L44"/>
  <sheetViews>
    <sheetView workbookViewId="0">
      <pane ySplit="6" topLeftCell="A7" activePane="bottomLeft" state="frozen"/>
      <selection pane="bottomLeft" activeCell="C11" sqref="C11"/>
    </sheetView>
  </sheetViews>
  <sheetFormatPr baseColWidth="10" defaultColWidth="11.42578125" defaultRowHeight="15" x14ac:dyDescent="0.25"/>
  <cols>
    <col min="1" max="4" width="11.42578125" style="27"/>
    <col min="5" max="5" width="11.42578125" style="9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268</v>
      </c>
    </row>
    <row r="3" spans="1:12" ht="15.75" thickBot="1" x14ac:dyDescent="0.3">
      <c r="A3" s="5"/>
      <c r="B3" s="2"/>
      <c r="C3" s="2"/>
      <c r="D3" s="2"/>
      <c r="E3" s="2"/>
      <c r="F3" s="2">
        <f>'04.22'!F6</f>
        <v>354</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6" t="s">
        <v>18</v>
      </c>
    </row>
    <row r="6" spans="1:12" s="35" customFormat="1" ht="15.75" thickBot="1" x14ac:dyDescent="0.3">
      <c r="A6" s="29"/>
      <c r="B6" s="30"/>
      <c r="C6" s="30"/>
      <c r="D6" s="30"/>
      <c r="E6" s="30"/>
      <c r="F6" s="32">
        <f>SUM(D:D)+F3</f>
        <v>338</v>
      </c>
      <c r="G6" s="30">
        <f>SUM(B:B)</f>
        <v>21</v>
      </c>
      <c r="H6" s="30">
        <f>SUM(C:C)</f>
        <v>37</v>
      </c>
      <c r="I6" s="30"/>
      <c r="J6" s="33">
        <f>SUM(G6:H6)+SUM(E:E)</f>
        <v>58</v>
      </c>
      <c r="K6" s="34"/>
      <c r="L6" s="50">
        <f>J6/K1</f>
        <v>9.5709570957095716E-2</v>
      </c>
    </row>
    <row r="7" spans="1:12" ht="39" customHeight="1" x14ac:dyDescent="0.25">
      <c r="A7" s="17">
        <v>44687</v>
      </c>
      <c r="B7" s="18">
        <v>0</v>
      </c>
      <c r="C7" s="18">
        <v>19</v>
      </c>
      <c r="D7" s="2">
        <f t="shared" ref="D7:D44" si="0">B7-C7</f>
        <v>-19</v>
      </c>
      <c r="E7" s="2"/>
      <c r="F7" s="2"/>
      <c r="G7" s="2"/>
      <c r="H7" s="2"/>
      <c r="I7" s="2"/>
      <c r="J7" s="2"/>
      <c r="K7" s="19" t="s">
        <v>1476</v>
      </c>
      <c r="L7" s="53" t="s">
        <v>1477</v>
      </c>
    </row>
    <row r="8" spans="1:12" ht="15" customHeight="1" x14ac:dyDescent="0.25">
      <c r="A8" s="17">
        <v>44687</v>
      </c>
      <c r="B8" s="18">
        <v>9</v>
      </c>
      <c r="C8" s="18">
        <v>0</v>
      </c>
      <c r="D8" s="2">
        <f t="shared" si="0"/>
        <v>9</v>
      </c>
      <c r="E8" s="2"/>
      <c r="F8" s="2"/>
      <c r="G8" s="2"/>
      <c r="H8" s="2"/>
      <c r="I8" s="2"/>
      <c r="J8" s="2"/>
      <c r="K8" s="19" t="s">
        <v>1478</v>
      </c>
    </row>
    <row r="9" spans="1:12" ht="39" customHeight="1" x14ac:dyDescent="0.25">
      <c r="A9" s="17">
        <v>44700</v>
      </c>
      <c r="B9" s="18">
        <v>0</v>
      </c>
      <c r="C9" s="18">
        <v>18</v>
      </c>
      <c r="D9" s="2">
        <f t="shared" si="0"/>
        <v>-18</v>
      </c>
      <c r="E9" s="2"/>
      <c r="F9" s="2"/>
      <c r="G9" s="2"/>
      <c r="H9" s="2"/>
      <c r="I9" s="2"/>
      <c r="J9" s="2"/>
      <c r="K9" s="19" t="s">
        <v>1479</v>
      </c>
      <c r="L9" s="53" t="s">
        <v>1480</v>
      </c>
    </row>
    <row r="10" spans="1:12" ht="39.75" customHeight="1" x14ac:dyDescent="0.3">
      <c r="A10" s="17">
        <v>44700</v>
      </c>
      <c r="B10" s="18">
        <v>12</v>
      </c>
      <c r="C10" s="18">
        <v>0</v>
      </c>
      <c r="D10" s="2">
        <f t="shared" si="0"/>
        <v>12</v>
      </c>
      <c r="E10" s="2"/>
      <c r="F10" s="2"/>
      <c r="G10" s="2"/>
      <c r="H10" s="2"/>
      <c r="I10" s="2"/>
      <c r="J10" s="2"/>
      <c r="K10" s="19" t="s">
        <v>1481</v>
      </c>
      <c r="L10" s="38"/>
    </row>
    <row r="11" spans="1:12" ht="15" customHeight="1" x14ac:dyDescent="0.25">
      <c r="A11" s="17"/>
      <c r="B11" s="18"/>
      <c r="C11" s="18"/>
      <c r="D11" s="2">
        <f t="shared" si="0"/>
        <v>0</v>
      </c>
      <c r="E11" s="2"/>
      <c r="F11" s="2"/>
      <c r="G11" s="2"/>
      <c r="H11" s="2"/>
      <c r="I11" s="2"/>
      <c r="J11" s="2"/>
      <c r="K11" s="19"/>
      <c r="L11" s="53"/>
    </row>
    <row r="12" spans="1:12" ht="15" customHeight="1" x14ac:dyDescent="0.25">
      <c r="A12" s="17"/>
      <c r="B12" s="18"/>
      <c r="C12" s="18"/>
      <c r="D12" s="2">
        <f t="shared" si="0"/>
        <v>0</v>
      </c>
      <c r="E12" s="2"/>
      <c r="F12" s="2"/>
      <c r="G12" s="2"/>
      <c r="H12" s="2"/>
      <c r="I12" s="2"/>
      <c r="J12" s="2"/>
      <c r="K12" s="19"/>
      <c r="L12" s="53"/>
    </row>
    <row r="13" spans="1:12" ht="15" customHeight="1" x14ac:dyDescent="0.25">
      <c r="A13" s="17"/>
      <c r="B13" s="18"/>
      <c r="C13" s="18"/>
      <c r="D13" s="2">
        <f t="shared" si="0"/>
        <v>0</v>
      </c>
      <c r="E13" s="2"/>
      <c r="F13" s="2"/>
      <c r="G13" s="2"/>
      <c r="H13" s="2"/>
      <c r="I13" s="2"/>
      <c r="J13" s="2"/>
      <c r="K13" s="19"/>
    </row>
    <row r="14" spans="1:12" ht="15" customHeight="1" x14ac:dyDescent="0.25">
      <c r="A14" s="17"/>
      <c r="B14" s="18"/>
      <c r="C14" s="18"/>
      <c r="D14" s="2">
        <f t="shared" si="0"/>
        <v>0</v>
      </c>
      <c r="E14" s="2"/>
      <c r="F14" s="2"/>
      <c r="G14" s="2"/>
      <c r="H14" s="2"/>
      <c r="I14" s="2"/>
      <c r="J14" s="2"/>
      <c r="K14" s="19"/>
    </row>
    <row r="15" spans="1:12" ht="15" customHeight="1" x14ac:dyDescent="0.25">
      <c r="A15" s="17"/>
      <c r="B15" s="18"/>
      <c r="C15" s="18"/>
      <c r="D15" s="2">
        <f t="shared" si="0"/>
        <v>0</v>
      </c>
      <c r="E15" s="2"/>
      <c r="F15" s="2"/>
      <c r="G15" s="2"/>
      <c r="H15" s="2"/>
      <c r="I15" s="2"/>
      <c r="J15" s="2"/>
      <c r="K15" s="19"/>
      <c r="L15" s="53"/>
    </row>
    <row r="16" spans="1:12" ht="15" customHeight="1" x14ac:dyDescent="0.25">
      <c r="A16" s="17"/>
      <c r="B16" s="18"/>
      <c r="C16" s="18"/>
      <c r="D16" s="2">
        <f t="shared" si="0"/>
        <v>0</v>
      </c>
      <c r="E16" s="2"/>
      <c r="F16" s="2"/>
      <c r="G16" s="2"/>
      <c r="H16" s="2"/>
      <c r="I16" s="2"/>
      <c r="J16" s="2"/>
      <c r="K16" s="19"/>
      <c r="L16" s="53"/>
    </row>
    <row r="17" spans="1:12" ht="15" customHeight="1" x14ac:dyDescent="0.25">
      <c r="A17" s="17"/>
      <c r="B17" s="18"/>
      <c r="C17" s="18"/>
      <c r="D17" s="2">
        <f t="shared" si="0"/>
        <v>0</v>
      </c>
      <c r="E17" s="2"/>
      <c r="F17" s="2"/>
      <c r="G17" s="2"/>
      <c r="H17" s="2"/>
      <c r="I17" s="2"/>
      <c r="J17" s="2"/>
      <c r="K17" s="19"/>
      <c r="L17" s="53"/>
    </row>
    <row r="18" spans="1:12" ht="15" customHeight="1" x14ac:dyDescent="0.25">
      <c r="A18" s="17"/>
      <c r="B18" s="18"/>
      <c r="C18" s="18"/>
      <c r="D18" s="2">
        <f t="shared" si="0"/>
        <v>0</v>
      </c>
      <c r="E18" s="2"/>
      <c r="F18" s="2"/>
      <c r="G18" s="2"/>
      <c r="H18" s="2"/>
      <c r="I18" s="2"/>
      <c r="J18" s="2"/>
      <c r="K18" s="19"/>
      <c r="L18" s="53"/>
    </row>
    <row r="19" spans="1:12" ht="15" customHeight="1" x14ac:dyDescent="0.25">
      <c r="A19" s="17"/>
      <c r="B19" s="18"/>
      <c r="C19" s="18"/>
      <c r="D19" s="2">
        <f t="shared" si="0"/>
        <v>0</v>
      </c>
      <c r="E19" s="2"/>
      <c r="F19" s="2"/>
      <c r="G19" s="2"/>
      <c r="H19" s="2"/>
      <c r="I19" s="2"/>
      <c r="J19" s="2"/>
      <c r="K19" s="19"/>
    </row>
    <row r="20" spans="1:12" ht="15" customHeight="1" x14ac:dyDescent="0.25">
      <c r="A20" s="17"/>
      <c r="B20" s="18"/>
      <c r="C20" s="18"/>
      <c r="D20" s="2">
        <f t="shared" si="0"/>
        <v>0</v>
      </c>
      <c r="E20" s="2"/>
      <c r="F20" s="2"/>
      <c r="G20" s="2"/>
      <c r="H20" s="2"/>
      <c r="I20" s="2"/>
      <c r="J20" s="2"/>
      <c r="K20" s="19"/>
      <c r="L20" s="53"/>
    </row>
    <row r="21" spans="1:12" ht="15" customHeight="1" x14ac:dyDescent="0.25">
      <c r="A21" s="21"/>
      <c r="B21" s="22"/>
      <c r="C21" s="22"/>
      <c r="D21" s="2">
        <f t="shared" si="0"/>
        <v>0</v>
      </c>
      <c r="E21" s="23"/>
      <c r="F21" s="23"/>
      <c r="G21" s="23"/>
      <c r="H21" s="23"/>
      <c r="I21" s="23"/>
      <c r="J21" s="23"/>
      <c r="K21" s="25"/>
      <c r="L21" s="53"/>
    </row>
    <row r="22" spans="1:12" ht="15" customHeight="1" x14ac:dyDescent="0.25">
      <c r="A22" s="17"/>
      <c r="B22" s="18"/>
      <c r="C22" s="18"/>
      <c r="D22" s="2">
        <f t="shared" si="0"/>
        <v>0</v>
      </c>
      <c r="E22" s="2"/>
      <c r="F22" s="2"/>
      <c r="G22" s="2"/>
      <c r="H22" s="2"/>
      <c r="I22" s="2"/>
      <c r="J22" s="2"/>
      <c r="K22" s="19"/>
      <c r="L22" s="53"/>
    </row>
    <row r="23" spans="1:12" ht="15" customHeight="1" x14ac:dyDescent="0.25">
      <c r="A23" s="17"/>
      <c r="B23" s="18"/>
      <c r="C23" s="18"/>
      <c r="D23" s="2">
        <f t="shared" si="0"/>
        <v>0</v>
      </c>
      <c r="E23" s="2"/>
      <c r="F23" s="2"/>
      <c r="G23" s="2"/>
      <c r="H23" s="2"/>
      <c r="I23" s="2"/>
      <c r="J23" s="2"/>
      <c r="K23" s="45"/>
      <c r="L23" s="53"/>
    </row>
    <row r="24" spans="1:12" ht="15" customHeight="1" x14ac:dyDescent="0.25">
      <c r="A24" s="17"/>
      <c r="B24" s="18"/>
      <c r="C24" s="18"/>
      <c r="D24" s="2">
        <f t="shared" si="0"/>
        <v>0</v>
      </c>
      <c r="E24" s="2"/>
      <c r="F24" s="2"/>
      <c r="G24" s="2"/>
      <c r="H24" s="2"/>
      <c r="I24" s="2"/>
      <c r="J24" s="2"/>
      <c r="K24" s="19"/>
      <c r="L24" s="53"/>
    </row>
    <row r="25" spans="1:12" ht="15" customHeight="1" x14ac:dyDescent="0.25">
      <c r="A25" s="17"/>
      <c r="B25" s="18"/>
      <c r="C25" s="18"/>
      <c r="D25" s="2">
        <f t="shared" si="0"/>
        <v>0</v>
      </c>
      <c r="E25" s="2"/>
      <c r="F25" s="2"/>
      <c r="G25" s="2"/>
      <c r="H25" s="2"/>
      <c r="I25" s="2"/>
      <c r="J25" s="2"/>
      <c r="K25" s="19"/>
    </row>
    <row r="26" spans="1:12" ht="15" customHeight="1" x14ac:dyDescent="0.25">
      <c r="A26" s="17"/>
      <c r="B26" s="18"/>
      <c r="C26" s="18"/>
      <c r="D26" s="2">
        <f t="shared" si="0"/>
        <v>0</v>
      </c>
      <c r="E26" s="2"/>
      <c r="F26" s="2"/>
      <c r="G26" s="2"/>
      <c r="H26" s="2"/>
      <c r="I26" s="2"/>
      <c r="J26" s="2"/>
      <c r="K26" s="19"/>
      <c r="L26" s="53"/>
    </row>
    <row r="27" spans="1:12" ht="15" customHeight="1" x14ac:dyDescent="0.25">
      <c r="A27" s="17"/>
      <c r="B27" s="18"/>
      <c r="C27" s="18"/>
      <c r="D27" s="2">
        <f t="shared" si="0"/>
        <v>0</v>
      </c>
      <c r="E27" s="2"/>
      <c r="F27" s="2"/>
      <c r="G27" s="2"/>
      <c r="H27" s="2"/>
      <c r="I27" s="2"/>
      <c r="J27" s="2"/>
      <c r="K27" s="20"/>
    </row>
    <row r="28" spans="1:12"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19"/>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20"/>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19"/>
    </row>
    <row r="34" spans="1:11" x14ac:dyDescent="0.25">
      <c r="A34" s="17"/>
      <c r="B34" s="18"/>
      <c r="C34" s="18"/>
      <c r="D34" s="2">
        <f t="shared" si="0"/>
        <v>0</v>
      </c>
      <c r="E34" s="2"/>
      <c r="F34" s="2"/>
      <c r="G34" s="2"/>
      <c r="H34" s="2"/>
      <c r="I34" s="2"/>
      <c r="J34" s="2"/>
      <c r="K34" s="20"/>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19"/>
    </row>
    <row r="41" spans="1:11" x14ac:dyDescent="0.25">
      <c r="A41" s="17"/>
      <c r="B41" s="18"/>
      <c r="C41" s="18"/>
      <c r="D41" s="2">
        <f t="shared" si="0"/>
        <v>0</v>
      </c>
      <c r="E41" s="2"/>
      <c r="F41" s="2"/>
      <c r="G41" s="2"/>
      <c r="H41" s="2"/>
      <c r="I41" s="2"/>
      <c r="J41" s="2"/>
      <c r="K41" s="20"/>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sheetData>
  <sheetProtection algorithmName="SHA-512" hashValue="nTg/izzHALUXmvBVaJBPZz7aW7kSRQn1PaI/FQqLVNaiNGEIKIp+5ZO/h6dJB9H7rKsWBloSZcEidajvM+4psQ==" saltValue="D48DQuvthFzjvZnf9SRRkQ==" spinCount="100000" sheet="1" objects="1" scenarios="1" selectLockedCells="1" selectUnlockedCells="1"/>
  <customSheetViews>
    <customSheetView guid="{E5A7B818-645B-417C-A128-9FE559D9B124}" fitToPage="1">
      <pane ySplit="6" topLeftCell="A7" activePane="bottomLeft" state="frozen"/>
      <selection pane="bottomLeft" activeCell="C11" sqref="C11"/>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103" priority="1" operator="lessThan">
      <formula>0</formula>
    </cfRule>
    <cfRule type="cellIs" dxfId="10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L45"/>
  <sheetViews>
    <sheetView workbookViewId="0">
      <pane ySplit="6" topLeftCell="A13" activePane="bottomLeft" state="frozen"/>
      <selection pane="bottomLeft" activeCell="B30" sqref="B30"/>
    </sheetView>
  </sheetViews>
  <sheetFormatPr baseColWidth="10" defaultColWidth="11.42578125" defaultRowHeight="15" x14ac:dyDescent="0.25"/>
  <cols>
    <col min="1" max="4" width="11.42578125" style="27"/>
    <col min="5" max="5" width="11.42578125" style="9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226</v>
      </c>
    </row>
    <row r="3" spans="1:12" ht="15.75" thickBot="1" x14ac:dyDescent="0.3">
      <c r="A3" s="5"/>
      <c r="B3" s="2"/>
      <c r="C3" s="2"/>
      <c r="D3" s="2"/>
      <c r="E3" s="2"/>
      <c r="F3" s="2">
        <f>'05.22'!F6</f>
        <v>338</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6" t="s">
        <v>18</v>
      </c>
    </row>
    <row r="6" spans="1:12" s="35" customFormat="1" ht="15.75" thickBot="1" x14ac:dyDescent="0.3">
      <c r="A6" s="29"/>
      <c r="B6" s="30"/>
      <c r="C6" s="30"/>
      <c r="D6" s="30"/>
      <c r="E6" s="30"/>
      <c r="F6" s="32">
        <f>SUM(D:D)+F3</f>
        <v>380</v>
      </c>
      <c r="G6" s="30">
        <f>SUM(B:B)</f>
        <v>93</v>
      </c>
      <c r="H6" s="30">
        <f>SUM(C:C)</f>
        <v>51</v>
      </c>
      <c r="I6" s="30"/>
      <c r="J6" s="33">
        <f>SUM(G6:H6)+SUM(E:E)</f>
        <v>198</v>
      </c>
      <c r="K6" s="34"/>
      <c r="L6" s="50">
        <f>J6/K1</f>
        <v>0.32673267326732675</v>
      </c>
    </row>
    <row r="7" spans="1:12" ht="37.5" customHeight="1" x14ac:dyDescent="0.25">
      <c r="A7" s="17">
        <v>44714</v>
      </c>
      <c r="B7" s="18">
        <v>0</v>
      </c>
      <c r="C7" s="18">
        <v>13</v>
      </c>
      <c r="D7" s="2">
        <f t="shared" ref="D7:D45" si="0">B7-C7</f>
        <v>-13</v>
      </c>
      <c r="E7" s="2"/>
      <c r="F7" s="2"/>
      <c r="G7" s="2"/>
      <c r="H7" s="2"/>
      <c r="I7" s="2"/>
      <c r="J7" s="2"/>
      <c r="K7" s="19" t="s">
        <v>1482</v>
      </c>
      <c r="L7" s="53" t="s">
        <v>1483</v>
      </c>
    </row>
    <row r="8" spans="1:12" ht="38.25" customHeight="1" x14ac:dyDescent="0.25">
      <c r="A8" s="17">
        <v>44714</v>
      </c>
      <c r="B8" s="18">
        <v>17</v>
      </c>
      <c r="C8" s="18">
        <v>0</v>
      </c>
      <c r="D8" s="2">
        <f t="shared" si="0"/>
        <v>17</v>
      </c>
      <c r="E8" s="2"/>
      <c r="F8" s="2"/>
      <c r="G8" s="2"/>
      <c r="H8" s="2"/>
      <c r="I8" s="2"/>
      <c r="J8" s="2"/>
      <c r="K8" s="19" t="s">
        <v>1484</v>
      </c>
    </row>
    <row r="9" spans="1:12" ht="15" customHeight="1" x14ac:dyDescent="0.25">
      <c r="A9" s="17">
        <v>44714</v>
      </c>
      <c r="B9" s="18">
        <v>0</v>
      </c>
      <c r="C9" s="18">
        <v>0</v>
      </c>
      <c r="D9" s="2">
        <f t="shared" si="0"/>
        <v>0</v>
      </c>
      <c r="E9" s="2">
        <v>18</v>
      </c>
      <c r="F9" s="2"/>
      <c r="G9" s="2"/>
      <c r="H9" s="2"/>
      <c r="I9" s="2"/>
      <c r="J9" s="2"/>
      <c r="K9" s="19" t="s">
        <v>107</v>
      </c>
      <c r="L9" s="53" t="s">
        <v>1486</v>
      </c>
    </row>
    <row r="10" spans="1:12" ht="46.5" customHeight="1" x14ac:dyDescent="0.25">
      <c r="A10" s="17">
        <v>44714</v>
      </c>
      <c r="B10" s="18">
        <v>18</v>
      </c>
      <c r="C10" s="18">
        <v>0</v>
      </c>
      <c r="D10" s="2">
        <f t="shared" si="0"/>
        <v>18</v>
      </c>
      <c r="E10" s="2"/>
      <c r="F10" s="2"/>
      <c r="G10" s="2"/>
      <c r="H10" s="2"/>
      <c r="I10" s="2"/>
      <c r="J10" s="2"/>
      <c r="K10" s="19" t="s">
        <v>1485</v>
      </c>
      <c r="L10" s="85" t="s">
        <v>1489</v>
      </c>
    </row>
    <row r="11" spans="1:12" ht="15" customHeight="1" x14ac:dyDescent="0.25">
      <c r="A11" s="17">
        <v>44722</v>
      </c>
      <c r="B11" s="18">
        <v>0</v>
      </c>
      <c r="C11" s="18">
        <v>0</v>
      </c>
      <c r="D11" s="2">
        <f t="shared" si="0"/>
        <v>0</v>
      </c>
      <c r="E11" s="2">
        <v>14</v>
      </c>
      <c r="F11" s="2"/>
      <c r="G11" s="2"/>
      <c r="H11" s="2"/>
      <c r="I11" s="2"/>
      <c r="J11" s="2"/>
      <c r="K11" s="19" t="s">
        <v>107</v>
      </c>
      <c r="L11" s="53" t="s">
        <v>1487</v>
      </c>
    </row>
    <row r="12" spans="1:12" ht="37.5" customHeight="1" x14ac:dyDescent="0.25">
      <c r="A12" s="17">
        <v>44722</v>
      </c>
      <c r="B12" s="18">
        <v>14</v>
      </c>
      <c r="C12" s="18">
        <v>0</v>
      </c>
      <c r="D12" s="2">
        <f t="shared" si="0"/>
        <v>14</v>
      </c>
      <c r="E12" s="2"/>
      <c r="F12" s="2"/>
      <c r="G12" s="2"/>
      <c r="H12" s="2"/>
      <c r="I12" s="2"/>
      <c r="J12" s="2"/>
      <c r="K12" s="19" t="s">
        <v>1488</v>
      </c>
      <c r="L12" s="53" t="s">
        <v>1490</v>
      </c>
    </row>
    <row r="13" spans="1:12" ht="48" customHeight="1" x14ac:dyDescent="0.25">
      <c r="A13" s="17">
        <v>44722</v>
      </c>
      <c r="B13" s="18">
        <v>0</v>
      </c>
      <c r="C13" s="18">
        <v>22</v>
      </c>
      <c r="D13" s="2">
        <f t="shared" si="0"/>
        <v>-22</v>
      </c>
      <c r="E13" s="2"/>
      <c r="F13" s="2"/>
      <c r="G13" s="2"/>
      <c r="H13" s="2"/>
      <c r="I13" s="2"/>
      <c r="J13" s="2"/>
      <c r="K13" s="19" t="s">
        <v>1491</v>
      </c>
      <c r="L13" s="53" t="s">
        <v>1492</v>
      </c>
    </row>
    <row r="14" spans="1:12" ht="15" customHeight="1" x14ac:dyDescent="0.25">
      <c r="A14" s="17">
        <v>44722</v>
      </c>
      <c r="B14" s="18">
        <v>2</v>
      </c>
      <c r="C14" s="18">
        <v>0</v>
      </c>
      <c r="D14" s="2">
        <f t="shared" si="0"/>
        <v>2</v>
      </c>
      <c r="E14" s="2"/>
      <c r="F14" s="2"/>
      <c r="G14" s="2"/>
      <c r="H14" s="2"/>
      <c r="I14" s="2"/>
      <c r="J14" s="2"/>
      <c r="K14" s="19" t="s">
        <v>1493</v>
      </c>
    </row>
    <row r="15" spans="1:12" ht="37.5" customHeight="1" x14ac:dyDescent="0.25">
      <c r="A15" s="17">
        <v>44728</v>
      </c>
      <c r="B15" s="18">
        <v>0</v>
      </c>
      <c r="C15" s="18">
        <v>11</v>
      </c>
      <c r="D15" s="2">
        <f t="shared" si="0"/>
        <v>-11</v>
      </c>
      <c r="E15" s="2"/>
      <c r="F15" s="2"/>
      <c r="G15" s="2"/>
      <c r="H15" s="2"/>
      <c r="I15" s="2"/>
      <c r="J15" s="2"/>
      <c r="K15" s="19" t="s">
        <v>1494</v>
      </c>
      <c r="L15" s="85" t="s">
        <v>1495</v>
      </c>
    </row>
    <row r="16" spans="1:12" ht="15" customHeight="1" x14ac:dyDescent="0.25">
      <c r="A16" s="17">
        <v>44735</v>
      </c>
      <c r="B16" s="18">
        <v>0</v>
      </c>
      <c r="C16" s="18">
        <v>0</v>
      </c>
      <c r="D16" s="2">
        <f t="shared" si="0"/>
        <v>0</v>
      </c>
      <c r="E16" s="2">
        <v>22</v>
      </c>
      <c r="F16" s="2"/>
      <c r="G16" s="2"/>
      <c r="H16" s="2"/>
      <c r="I16" s="2"/>
      <c r="J16" s="2"/>
      <c r="K16" s="19" t="s">
        <v>107</v>
      </c>
      <c r="L16" s="53" t="s">
        <v>1496</v>
      </c>
    </row>
    <row r="17" spans="1:12" ht="15" customHeight="1" x14ac:dyDescent="0.25">
      <c r="A17" s="17">
        <v>44735</v>
      </c>
      <c r="B17" s="18">
        <v>0</v>
      </c>
      <c r="C17" s="18">
        <v>5</v>
      </c>
      <c r="D17" s="2">
        <f t="shared" si="0"/>
        <v>-5</v>
      </c>
      <c r="E17" s="2"/>
      <c r="F17" s="2"/>
      <c r="G17" s="2"/>
      <c r="H17" s="2"/>
      <c r="I17" s="2"/>
      <c r="J17" s="2"/>
      <c r="K17" s="19" t="s">
        <v>1497</v>
      </c>
      <c r="L17" s="53" t="s">
        <v>1498</v>
      </c>
    </row>
    <row r="18" spans="1:12" ht="54" customHeight="1" x14ac:dyDescent="0.25">
      <c r="A18" s="17">
        <v>44736</v>
      </c>
      <c r="B18" s="18">
        <v>22</v>
      </c>
      <c r="C18" s="18">
        <v>0</v>
      </c>
      <c r="D18" s="2">
        <f t="shared" si="0"/>
        <v>22</v>
      </c>
      <c r="E18" s="2"/>
      <c r="F18" s="2"/>
      <c r="G18" s="2"/>
      <c r="H18" s="2"/>
      <c r="I18" s="2"/>
      <c r="J18" s="2"/>
      <c r="K18" s="19" t="s">
        <v>1500</v>
      </c>
      <c r="L18" s="53" t="s">
        <v>1499</v>
      </c>
    </row>
    <row r="19" spans="1:12" ht="39" customHeight="1" x14ac:dyDescent="0.25">
      <c r="A19" s="17">
        <v>44741</v>
      </c>
      <c r="B19" s="18">
        <v>20</v>
      </c>
      <c r="C19" s="18">
        <v>0</v>
      </c>
      <c r="D19" s="2">
        <f t="shared" si="0"/>
        <v>20</v>
      </c>
      <c r="E19" s="2"/>
      <c r="F19" s="2"/>
      <c r="G19" s="2"/>
      <c r="H19" s="2"/>
      <c r="I19" s="2"/>
      <c r="J19" s="2"/>
      <c r="K19" s="19" t="s">
        <v>1502</v>
      </c>
      <c r="L19" s="53" t="s">
        <v>1501</v>
      </c>
    </row>
    <row r="20" spans="1:12" ht="15" customHeight="1" x14ac:dyDescent="0.25">
      <c r="A20" s="17"/>
      <c r="B20" s="18"/>
      <c r="C20" s="18"/>
      <c r="D20" s="2">
        <f t="shared" si="0"/>
        <v>0</v>
      </c>
      <c r="E20" s="2"/>
      <c r="F20" s="2"/>
      <c r="G20" s="2"/>
      <c r="H20" s="2"/>
      <c r="I20" s="2"/>
      <c r="J20" s="2"/>
      <c r="K20" s="19"/>
      <c r="L20" s="53"/>
    </row>
    <row r="21" spans="1:12" ht="15" customHeight="1" x14ac:dyDescent="0.25">
      <c r="A21" s="17"/>
      <c r="B21" s="18"/>
      <c r="C21" s="18"/>
      <c r="D21" s="2">
        <f t="shared" si="0"/>
        <v>0</v>
      </c>
      <c r="E21" s="2"/>
      <c r="F21" s="2"/>
      <c r="G21" s="2"/>
      <c r="H21" s="2"/>
      <c r="I21" s="2"/>
      <c r="J21" s="2"/>
      <c r="K21" s="19"/>
      <c r="L21" s="53"/>
    </row>
    <row r="22" spans="1:12" ht="15" customHeight="1" x14ac:dyDescent="0.25">
      <c r="A22" s="21"/>
      <c r="B22" s="22"/>
      <c r="C22" s="22"/>
      <c r="D22" s="2">
        <f t="shared" si="0"/>
        <v>0</v>
      </c>
      <c r="E22" s="23"/>
      <c r="F22" s="23"/>
      <c r="G22" s="23"/>
      <c r="H22" s="23"/>
      <c r="I22" s="23"/>
      <c r="J22" s="23"/>
      <c r="K22" s="25"/>
      <c r="L22" s="53"/>
    </row>
    <row r="23" spans="1:12" ht="15" customHeight="1" x14ac:dyDescent="0.25">
      <c r="A23" s="17"/>
      <c r="B23" s="18"/>
      <c r="C23" s="18"/>
      <c r="D23" s="2">
        <f t="shared" si="0"/>
        <v>0</v>
      </c>
      <c r="E23" s="2"/>
      <c r="F23" s="2"/>
      <c r="G23" s="2"/>
      <c r="H23" s="2"/>
      <c r="I23" s="2"/>
      <c r="J23" s="2"/>
      <c r="K23" s="19"/>
      <c r="L23" s="53"/>
    </row>
    <row r="24" spans="1:12" ht="15" customHeight="1" x14ac:dyDescent="0.25">
      <c r="A24" s="17"/>
      <c r="B24" s="18"/>
      <c r="C24" s="18"/>
      <c r="D24" s="2">
        <f t="shared" si="0"/>
        <v>0</v>
      </c>
      <c r="E24" s="2"/>
      <c r="F24" s="2"/>
      <c r="G24" s="2"/>
      <c r="H24" s="2"/>
      <c r="I24" s="2"/>
      <c r="J24" s="2"/>
      <c r="K24" s="45"/>
      <c r="L24" s="53"/>
    </row>
    <row r="25" spans="1:12" ht="15" customHeight="1" x14ac:dyDescent="0.25">
      <c r="A25" s="17"/>
      <c r="B25" s="18"/>
      <c r="C25" s="18"/>
      <c r="D25" s="2">
        <f t="shared" si="0"/>
        <v>0</v>
      </c>
      <c r="E25" s="2"/>
      <c r="F25" s="2"/>
      <c r="G25" s="2"/>
      <c r="H25" s="2"/>
      <c r="I25" s="2"/>
      <c r="J25" s="2"/>
      <c r="K25" s="19"/>
      <c r="L25" s="53"/>
    </row>
    <row r="26" spans="1:12" ht="15" customHeight="1" x14ac:dyDescent="0.25">
      <c r="A26" s="17"/>
      <c r="B26" s="18"/>
      <c r="C26" s="18"/>
      <c r="D26" s="2">
        <f t="shared" si="0"/>
        <v>0</v>
      </c>
      <c r="E26" s="2"/>
      <c r="F26" s="2"/>
      <c r="G26" s="2"/>
      <c r="H26" s="2"/>
      <c r="I26" s="2"/>
      <c r="J26" s="2"/>
      <c r="K26" s="19"/>
    </row>
    <row r="27" spans="1:12" ht="15" customHeight="1" x14ac:dyDescent="0.25">
      <c r="A27" s="17"/>
      <c r="B27" s="18"/>
      <c r="C27" s="18"/>
      <c r="D27" s="2">
        <f t="shared" si="0"/>
        <v>0</v>
      </c>
      <c r="E27" s="2"/>
      <c r="F27" s="2"/>
      <c r="G27" s="2"/>
      <c r="H27" s="2"/>
      <c r="I27" s="2"/>
      <c r="J27" s="2"/>
      <c r="K27" s="19"/>
      <c r="L27" s="53"/>
    </row>
    <row r="28" spans="1:12" ht="15" customHeight="1" x14ac:dyDescent="0.25">
      <c r="A28" s="17"/>
      <c r="B28" s="18"/>
      <c r="C28" s="18"/>
      <c r="D28" s="2">
        <f t="shared" si="0"/>
        <v>0</v>
      </c>
      <c r="E28" s="2"/>
      <c r="F28" s="2"/>
      <c r="G28" s="2"/>
      <c r="H28" s="2"/>
      <c r="I28" s="2"/>
      <c r="J28" s="2"/>
      <c r="K28" s="20"/>
    </row>
    <row r="29" spans="1:12" x14ac:dyDescent="0.25">
      <c r="A29" s="17"/>
      <c r="B29" s="18"/>
      <c r="C29" s="18"/>
      <c r="D29" s="2">
        <f t="shared" si="0"/>
        <v>0</v>
      </c>
      <c r="E29" s="2"/>
      <c r="F29" s="2"/>
      <c r="G29" s="2"/>
      <c r="H29" s="2"/>
      <c r="I29" s="2"/>
      <c r="J29" s="2"/>
      <c r="K29" s="20"/>
    </row>
    <row r="30" spans="1:12" x14ac:dyDescent="0.25">
      <c r="A30" s="17"/>
      <c r="B30" s="18"/>
      <c r="C30" s="18"/>
      <c r="D30" s="2">
        <f t="shared" si="0"/>
        <v>0</v>
      </c>
      <c r="E30" s="2"/>
      <c r="F30" s="2"/>
      <c r="G30" s="2"/>
      <c r="H30" s="2"/>
      <c r="I30" s="2"/>
      <c r="J30" s="2"/>
      <c r="K30" s="19"/>
    </row>
    <row r="31" spans="1:12" x14ac:dyDescent="0.25">
      <c r="A31" s="17"/>
      <c r="B31" s="18"/>
      <c r="C31" s="18"/>
      <c r="D31" s="2">
        <f t="shared" si="0"/>
        <v>0</v>
      </c>
      <c r="E31" s="2"/>
      <c r="F31" s="2"/>
      <c r="G31" s="2"/>
      <c r="H31" s="2"/>
      <c r="I31" s="2"/>
      <c r="J31" s="2"/>
      <c r="K31" s="19"/>
    </row>
    <row r="32" spans="1:12" x14ac:dyDescent="0.25">
      <c r="A32" s="17"/>
      <c r="B32" s="18"/>
      <c r="C32" s="18"/>
      <c r="D32" s="2">
        <f t="shared" si="0"/>
        <v>0</v>
      </c>
      <c r="E32" s="2"/>
      <c r="F32" s="2"/>
      <c r="G32" s="2"/>
      <c r="H32" s="2"/>
      <c r="I32" s="2"/>
      <c r="J32" s="2"/>
      <c r="K32" s="20"/>
    </row>
    <row r="33" spans="1:11" x14ac:dyDescent="0.25">
      <c r="A33" s="17"/>
      <c r="B33" s="18"/>
      <c r="C33" s="18"/>
      <c r="D33" s="2">
        <f t="shared" si="0"/>
        <v>0</v>
      </c>
      <c r="E33" s="2"/>
      <c r="F33" s="2"/>
      <c r="G33" s="2"/>
      <c r="H33" s="2"/>
      <c r="I33" s="2"/>
      <c r="J33" s="2"/>
      <c r="K33" s="20"/>
    </row>
    <row r="34" spans="1:11" x14ac:dyDescent="0.25">
      <c r="A34" s="17"/>
      <c r="B34" s="18"/>
      <c r="C34" s="18"/>
      <c r="D34" s="2">
        <f t="shared" si="0"/>
        <v>0</v>
      </c>
      <c r="E34" s="2"/>
      <c r="F34" s="2"/>
      <c r="G34" s="2"/>
      <c r="H34" s="2"/>
      <c r="I34" s="2"/>
      <c r="J34" s="2"/>
      <c r="K34" s="19"/>
    </row>
    <row r="35" spans="1:11" x14ac:dyDescent="0.25">
      <c r="A35" s="17"/>
      <c r="B35" s="18"/>
      <c r="C35" s="18"/>
      <c r="D35" s="2">
        <f t="shared" si="0"/>
        <v>0</v>
      </c>
      <c r="E35" s="2"/>
      <c r="F35" s="2"/>
      <c r="G35" s="2"/>
      <c r="H35" s="2"/>
      <c r="I35" s="2"/>
      <c r="J35" s="2"/>
      <c r="K35" s="20"/>
    </row>
    <row r="36" spans="1:11" x14ac:dyDescent="0.25">
      <c r="A36" s="17"/>
      <c r="B36" s="18"/>
      <c r="C36" s="18"/>
      <c r="D36" s="2">
        <f t="shared" si="0"/>
        <v>0</v>
      </c>
      <c r="E36" s="2"/>
      <c r="F36" s="2"/>
      <c r="G36" s="2"/>
      <c r="H36" s="2"/>
      <c r="I36" s="2"/>
      <c r="J36" s="2"/>
      <c r="K36" s="20"/>
    </row>
    <row r="37" spans="1:11" x14ac:dyDescent="0.25">
      <c r="A37" s="17"/>
      <c r="B37" s="18"/>
      <c r="C37" s="18"/>
      <c r="D37" s="2">
        <f t="shared" si="0"/>
        <v>0</v>
      </c>
      <c r="E37" s="2"/>
      <c r="F37" s="2"/>
      <c r="G37" s="2"/>
      <c r="H37" s="2"/>
      <c r="I37" s="2"/>
      <c r="J37" s="2"/>
      <c r="K37" s="20"/>
    </row>
    <row r="38" spans="1:11" x14ac:dyDescent="0.25">
      <c r="A38" s="17"/>
      <c r="B38" s="18"/>
      <c r="C38" s="18"/>
      <c r="D38" s="2">
        <f t="shared" si="0"/>
        <v>0</v>
      </c>
      <c r="E38" s="2"/>
      <c r="F38" s="2"/>
      <c r="G38" s="2"/>
      <c r="H38" s="2"/>
      <c r="I38" s="2"/>
      <c r="J38" s="2"/>
      <c r="K38" s="20"/>
    </row>
    <row r="39" spans="1:11" x14ac:dyDescent="0.25">
      <c r="A39" s="17"/>
      <c r="B39" s="18"/>
      <c r="C39" s="18"/>
      <c r="D39" s="2">
        <f t="shared" si="0"/>
        <v>0</v>
      </c>
      <c r="E39" s="2"/>
      <c r="F39" s="2"/>
      <c r="G39" s="2"/>
      <c r="H39" s="2"/>
      <c r="I39" s="2"/>
      <c r="J39" s="2"/>
      <c r="K39" s="20"/>
    </row>
    <row r="40" spans="1:11" x14ac:dyDescent="0.25">
      <c r="A40" s="17"/>
      <c r="B40" s="18"/>
      <c r="C40" s="18"/>
      <c r="D40" s="2">
        <f t="shared" si="0"/>
        <v>0</v>
      </c>
      <c r="E40" s="2"/>
      <c r="F40" s="2"/>
      <c r="G40" s="2"/>
      <c r="H40" s="2"/>
      <c r="I40" s="2"/>
      <c r="J40" s="2"/>
      <c r="K40" s="20"/>
    </row>
    <row r="41" spans="1:11" x14ac:dyDescent="0.25">
      <c r="A41" s="17"/>
      <c r="B41" s="18"/>
      <c r="C41" s="18"/>
      <c r="D41" s="2">
        <f t="shared" si="0"/>
        <v>0</v>
      </c>
      <c r="E41" s="2"/>
      <c r="F41" s="2"/>
      <c r="G41" s="2"/>
      <c r="H41" s="2"/>
      <c r="I41" s="2"/>
      <c r="J41" s="2"/>
      <c r="K41" s="19"/>
    </row>
    <row r="42" spans="1:11" x14ac:dyDescent="0.25">
      <c r="A42" s="17"/>
      <c r="B42" s="18"/>
      <c r="C42" s="18"/>
      <c r="D42" s="2">
        <f t="shared" si="0"/>
        <v>0</v>
      </c>
      <c r="E42" s="2"/>
      <c r="F42" s="2"/>
      <c r="G42" s="2"/>
      <c r="H42" s="2"/>
      <c r="I42" s="2"/>
      <c r="J42" s="2"/>
      <c r="K42" s="20"/>
    </row>
    <row r="43" spans="1:11" x14ac:dyDescent="0.25">
      <c r="A43" s="17"/>
      <c r="B43" s="18"/>
      <c r="C43" s="18"/>
      <c r="D43" s="2">
        <f t="shared" si="0"/>
        <v>0</v>
      </c>
      <c r="E43" s="2"/>
      <c r="F43" s="2"/>
      <c r="G43" s="2"/>
      <c r="H43" s="2"/>
      <c r="I43" s="2"/>
      <c r="J43" s="2"/>
      <c r="K43" s="20"/>
    </row>
    <row r="44" spans="1:11" x14ac:dyDescent="0.25">
      <c r="A44" s="17"/>
      <c r="B44" s="18"/>
      <c r="C44" s="18"/>
      <c r="D44" s="2">
        <f t="shared" si="0"/>
        <v>0</v>
      </c>
      <c r="E44" s="2"/>
      <c r="F44" s="2"/>
      <c r="G44" s="2"/>
      <c r="H44" s="2"/>
      <c r="I44" s="2"/>
      <c r="J44" s="2"/>
      <c r="K44" s="20"/>
    </row>
    <row r="45" spans="1:11" x14ac:dyDescent="0.25">
      <c r="A45" s="17"/>
      <c r="B45" s="18"/>
      <c r="C45" s="18"/>
      <c r="D45" s="2">
        <f t="shared" si="0"/>
        <v>0</v>
      </c>
      <c r="E45" s="2"/>
      <c r="F45" s="2"/>
      <c r="G45" s="2"/>
      <c r="H45" s="2"/>
      <c r="I45" s="2"/>
      <c r="J45" s="2"/>
      <c r="K45" s="20"/>
    </row>
  </sheetData>
  <sheetProtection algorithmName="SHA-512" hashValue="VrbZnB2knjjoI2M5Y46Gj/1WdQUFyGbHdDOf4Prnex927l4qScBKAToV0Y1qseWcaoPDP6sSSIZSdIg9e+UwCA==" saltValue="8tJ3clb4qzenOtF1jPmbwQ==" spinCount="100000" sheet="1" objects="1" scenarios="1" selectLockedCells="1" selectUnlockedCells="1"/>
  <customSheetViews>
    <customSheetView guid="{E5A7B818-645B-417C-A128-9FE559D9B124}" fitToPage="1">
      <pane ySplit="6" topLeftCell="A13" activePane="bottomLeft" state="frozen"/>
      <selection pane="bottomLeft" activeCell="B30" sqref="B30"/>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101" priority="1" operator="lessThan">
      <formula>0</formula>
    </cfRule>
    <cfRule type="cellIs" dxfId="10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L44"/>
  <sheetViews>
    <sheetView workbookViewId="0">
      <pane ySplit="6" topLeftCell="A25" activePane="bottomLeft" state="frozen"/>
      <selection pane="bottomLeft" activeCell="C43" sqref="C43:C44"/>
    </sheetView>
  </sheetViews>
  <sheetFormatPr baseColWidth="10" defaultColWidth="11.42578125" defaultRowHeight="15" x14ac:dyDescent="0.25"/>
  <cols>
    <col min="1" max="4" width="11.42578125" style="27"/>
    <col min="5" max="5" width="11.42578125" style="97"/>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27" customWidth="1"/>
    <col min="13" max="16384" width="11.42578125" style="27"/>
  </cols>
  <sheetData>
    <row r="1" spans="1:12" ht="26.25" x14ac:dyDescent="0.4">
      <c r="A1" s="1" t="s">
        <v>585</v>
      </c>
      <c r="B1" s="28"/>
      <c r="C1" s="28"/>
      <c r="D1" s="28"/>
      <c r="E1" s="2"/>
      <c r="F1" s="28"/>
      <c r="G1" s="28"/>
      <c r="H1" s="28"/>
      <c r="I1" s="28"/>
      <c r="J1" s="39" t="s">
        <v>37</v>
      </c>
      <c r="K1" s="40">
        <f>288+132+36+36+102+12</f>
        <v>606</v>
      </c>
    </row>
    <row r="2" spans="1:12" ht="19.5" thickBot="1" x14ac:dyDescent="0.35">
      <c r="A2" s="5"/>
      <c r="B2" s="2"/>
      <c r="C2" s="2"/>
      <c r="D2" s="2"/>
      <c r="E2" s="2"/>
      <c r="F2" s="6" t="s">
        <v>1</v>
      </c>
      <c r="G2" s="2"/>
      <c r="H2" s="2"/>
      <c r="I2" s="2"/>
      <c r="J2" s="41" t="s">
        <v>38</v>
      </c>
      <c r="K2" s="42">
        <f>K1-F6</f>
        <v>26</v>
      </c>
    </row>
    <row r="3" spans="1:12" ht="15.75" thickBot="1" x14ac:dyDescent="0.3">
      <c r="A3" s="5"/>
      <c r="B3" s="2"/>
      <c r="C3" s="2"/>
      <c r="D3" s="2"/>
      <c r="E3" s="2"/>
      <c r="F3" s="2">
        <f>'06.22'!F6</f>
        <v>380</v>
      </c>
      <c r="G3" s="2"/>
      <c r="H3" s="2"/>
      <c r="I3" s="2"/>
      <c r="J3" s="2"/>
      <c r="K3" s="4"/>
    </row>
    <row r="4" spans="1:12" ht="30" x14ac:dyDescent="0.25">
      <c r="A4" s="5" t="s">
        <v>2</v>
      </c>
      <c r="B4" s="7" t="s">
        <v>3</v>
      </c>
      <c r="C4" s="7" t="s">
        <v>4</v>
      </c>
      <c r="D4" s="7" t="s">
        <v>5</v>
      </c>
      <c r="E4" s="7" t="s">
        <v>91</v>
      </c>
      <c r="F4" s="8" t="s">
        <v>6</v>
      </c>
      <c r="G4" s="7" t="s">
        <v>7</v>
      </c>
      <c r="H4" s="7" t="s">
        <v>8</v>
      </c>
      <c r="I4" s="2"/>
      <c r="J4" s="9" t="s">
        <v>9</v>
      </c>
      <c r="K4" s="4" t="s">
        <v>10</v>
      </c>
    </row>
    <row r="5" spans="1:12" x14ac:dyDescent="0.25">
      <c r="A5" s="5"/>
      <c r="B5" s="2"/>
      <c r="C5" s="2"/>
      <c r="D5" s="2"/>
      <c r="E5" s="2"/>
      <c r="F5" s="10"/>
      <c r="G5" s="2"/>
      <c r="H5" s="2"/>
      <c r="I5" s="2"/>
      <c r="J5" s="11"/>
      <c r="K5" s="4"/>
      <c r="L5" s="96" t="s">
        <v>18</v>
      </c>
    </row>
    <row r="6" spans="1:12" s="35" customFormat="1" ht="15.75" thickBot="1" x14ac:dyDescent="0.3">
      <c r="A6" s="29"/>
      <c r="B6" s="30"/>
      <c r="C6" s="30"/>
      <c r="D6" s="30"/>
      <c r="E6" s="30"/>
      <c r="F6" s="32">
        <f>SUM(D:D)+F3</f>
        <v>580</v>
      </c>
      <c r="G6" s="30">
        <f>SUM(B:B)</f>
        <v>231</v>
      </c>
      <c r="H6" s="30">
        <f>SUM(C:C)</f>
        <v>31</v>
      </c>
      <c r="I6" s="30"/>
      <c r="J6" s="33">
        <f>SUM(G6:H6)+SUM(E:E)</f>
        <v>440</v>
      </c>
      <c r="K6" s="34"/>
      <c r="L6" s="50">
        <f>J6/K1</f>
        <v>0.72607260726072609</v>
      </c>
    </row>
    <row r="7" spans="1:12" ht="39" customHeight="1" x14ac:dyDescent="0.25">
      <c r="A7" s="17">
        <v>44743</v>
      </c>
      <c r="B7" s="18">
        <v>18</v>
      </c>
      <c r="C7" s="18">
        <v>0</v>
      </c>
      <c r="D7" s="2">
        <f t="shared" ref="D7:D44" si="0">B7-C7</f>
        <v>18</v>
      </c>
      <c r="E7" s="2"/>
      <c r="F7" s="2"/>
      <c r="G7" s="2"/>
      <c r="H7" s="2"/>
      <c r="I7" s="2"/>
      <c r="J7" s="2"/>
      <c r="K7" s="19" t="s">
        <v>1503</v>
      </c>
      <c r="L7" s="53" t="s">
        <v>1504</v>
      </c>
    </row>
    <row r="8" spans="1:12" ht="15" customHeight="1" x14ac:dyDescent="0.25">
      <c r="A8" s="17">
        <v>44747</v>
      </c>
      <c r="B8" s="18">
        <v>0</v>
      </c>
      <c r="C8" s="18">
        <v>0</v>
      </c>
      <c r="D8" s="2">
        <f t="shared" si="0"/>
        <v>0</v>
      </c>
      <c r="E8" s="2">
        <v>24</v>
      </c>
      <c r="F8" s="2"/>
      <c r="G8" s="2"/>
      <c r="H8" s="2"/>
      <c r="I8" s="2"/>
      <c r="J8" s="2"/>
      <c r="K8" s="19" t="s">
        <v>107</v>
      </c>
      <c r="L8" s="53" t="s">
        <v>1505</v>
      </c>
    </row>
    <row r="9" spans="1:12" ht="46.5" customHeight="1" x14ac:dyDescent="0.25">
      <c r="A9" s="17">
        <v>44748</v>
      </c>
      <c r="B9" s="18">
        <v>24</v>
      </c>
      <c r="C9" s="18">
        <v>0</v>
      </c>
      <c r="D9" s="2">
        <f t="shared" si="0"/>
        <v>24</v>
      </c>
      <c r="E9" s="2"/>
      <c r="F9" s="2"/>
      <c r="G9" s="2"/>
      <c r="H9" s="2"/>
      <c r="I9" s="2"/>
      <c r="J9" s="2"/>
      <c r="K9" s="19" t="s">
        <v>1506</v>
      </c>
      <c r="L9" s="27" t="s">
        <v>1509</v>
      </c>
    </row>
    <row r="10" spans="1:12" ht="15" customHeight="1" x14ac:dyDescent="0.25">
      <c r="A10" s="17">
        <v>44748</v>
      </c>
      <c r="B10" s="18">
        <v>0</v>
      </c>
      <c r="C10" s="18">
        <v>0</v>
      </c>
      <c r="D10" s="2">
        <f t="shared" si="0"/>
        <v>0</v>
      </c>
      <c r="E10" s="2">
        <v>12</v>
      </c>
      <c r="F10" s="2"/>
      <c r="G10" s="2"/>
      <c r="H10" s="2"/>
      <c r="I10" s="2"/>
      <c r="J10" s="2"/>
      <c r="K10" s="19" t="s">
        <v>107</v>
      </c>
      <c r="L10" s="53" t="s">
        <v>1507</v>
      </c>
    </row>
    <row r="11" spans="1:12" ht="30.75" customHeight="1" x14ac:dyDescent="0.25">
      <c r="A11" s="17">
        <v>44750</v>
      </c>
      <c r="B11" s="18">
        <v>12</v>
      </c>
      <c r="C11" s="18">
        <v>0</v>
      </c>
      <c r="D11" s="2">
        <f t="shared" si="0"/>
        <v>12</v>
      </c>
      <c r="E11" s="2"/>
      <c r="F11" s="2"/>
      <c r="G11" s="2"/>
      <c r="H11" s="2"/>
      <c r="I11" s="2"/>
      <c r="J11" s="2"/>
      <c r="K11" s="19" t="s">
        <v>1508</v>
      </c>
      <c r="L11" s="53" t="s">
        <v>1510</v>
      </c>
    </row>
    <row r="12" spans="1:12" ht="36.75" customHeight="1" x14ac:dyDescent="0.25">
      <c r="A12" s="17">
        <v>44753</v>
      </c>
      <c r="B12" s="18">
        <v>15</v>
      </c>
      <c r="C12" s="18">
        <v>0</v>
      </c>
      <c r="D12" s="2">
        <f t="shared" si="0"/>
        <v>15</v>
      </c>
      <c r="E12" s="2"/>
      <c r="F12" s="2"/>
      <c r="G12" s="2"/>
      <c r="H12" s="2"/>
      <c r="I12" s="2"/>
      <c r="J12" s="2"/>
      <c r="K12" s="19" t="s">
        <v>1512</v>
      </c>
      <c r="L12" s="53" t="s">
        <v>1511</v>
      </c>
    </row>
    <row r="13" spans="1:12" ht="30" customHeight="1" x14ac:dyDescent="0.25">
      <c r="A13" s="17">
        <v>44757</v>
      </c>
      <c r="B13" s="18">
        <v>11</v>
      </c>
      <c r="C13" s="18">
        <v>0</v>
      </c>
      <c r="D13" s="2">
        <f t="shared" si="0"/>
        <v>11</v>
      </c>
      <c r="E13" s="2"/>
      <c r="F13" s="2"/>
      <c r="G13" s="2"/>
      <c r="H13" s="2"/>
      <c r="I13" s="2"/>
      <c r="J13" s="2"/>
      <c r="K13" s="19" t="s">
        <v>1513</v>
      </c>
      <c r="L13" s="53" t="s">
        <v>1514</v>
      </c>
    </row>
    <row r="14" spans="1:12" ht="15" customHeight="1" x14ac:dyDescent="0.25">
      <c r="A14" s="17">
        <v>44762</v>
      </c>
      <c r="B14" s="18">
        <v>0</v>
      </c>
      <c r="C14" s="18">
        <v>0</v>
      </c>
      <c r="D14" s="2">
        <f t="shared" si="0"/>
        <v>0</v>
      </c>
      <c r="E14" s="2">
        <v>22</v>
      </c>
      <c r="F14" s="2"/>
      <c r="G14" s="2"/>
      <c r="H14" s="2"/>
      <c r="I14" s="2"/>
      <c r="J14" s="2"/>
      <c r="K14" s="19" t="s">
        <v>107</v>
      </c>
      <c r="L14" s="53" t="s">
        <v>1515</v>
      </c>
    </row>
    <row r="15" spans="1:12" ht="45.75" customHeight="1" x14ac:dyDescent="0.25">
      <c r="A15" s="17">
        <v>44763</v>
      </c>
      <c r="B15" s="18">
        <v>22</v>
      </c>
      <c r="C15" s="18">
        <v>0</v>
      </c>
      <c r="D15" s="2">
        <f t="shared" si="0"/>
        <v>22</v>
      </c>
      <c r="E15" s="2"/>
      <c r="F15" s="2"/>
      <c r="G15" s="2"/>
      <c r="H15" s="2"/>
      <c r="I15" s="2"/>
      <c r="J15" s="2"/>
      <c r="K15" s="19" t="s">
        <v>1516</v>
      </c>
      <c r="L15" s="53" t="s">
        <v>1517</v>
      </c>
    </row>
    <row r="16" spans="1:12" ht="15" customHeight="1" x14ac:dyDescent="0.25">
      <c r="A16" s="17">
        <v>44763</v>
      </c>
      <c r="B16" s="18">
        <v>0</v>
      </c>
      <c r="C16" s="18">
        <v>0</v>
      </c>
      <c r="D16" s="2">
        <f t="shared" si="0"/>
        <v>0</v>
      </c>
      <c r="E16" s="2">
        <v>33</v>
      </c>
      <c r="F16" s="2"/>
      <c r="G16" s="2"/>
      <c r="H16" s="2"/>
      <c r="I16" s="2"/>
      <c r="J16" s="2"/>
      <c r="K16" s="19" t="s">
        <v>107</v>
      </c>
      <c r="L16" s="53" t="s">
        <v>1518</v>
      </c>
    </row>
    <row r="17" spans="1:12" ht="15" customHeight="1" x14ac:dyDescent="0.25">
      <c r="A17" s="17">
        <v>44763</v>
      </c>
      <c r="B17" s="18">
        <v>0</v>
      </c>
      <c r="C17" s="18">
        <v>10</v>
      </c>
      <c r="D17" s="2">
        <f t="shared" si="0"/>
        <v>-10</v>
      </c>
      <c r="E17" s="2"/>
      <c r="F17" s="2"/>
      <c r="G17" s="2"/>
      <c r="H17" s="2"/>
      <c r="I17" s="2"/>
      <c r="J17" s="2"/>
      <c r="K17" s="19" t="s">
        <v>1519</v>
      </c>
      <c r="L17" s="53" t="s">
        <v>1520</v>
      </c>
    </row>
    <row r="18" spans="1:12" ht="15" customHeight="1" x14ac:dyDescent="0.25">
      <c r="A18" s="17">
        <v>44763</v>
      </c>
      <c r="B18" s="18">
        <v>3</v>
      </c>
      <c r="C18" s="18">
        <v>0</v>
      </c>
      <c r="D18" s="2">
        <f t="shared" si="0"/>
        <v>3</v>
      </c>
      <c r="E18" s="2"/>
      <c r="F18" s="2"/>
      <c r="G18" s="2"/>
      <c r="H18" s="2"/>
      <c r="I18" s="2"/>
      <c r="J18" s="2"/>
      <c r="K18" s="19" t="s">
        <v>1521</v>
      </c>
      <c r="L18" s="53"/>
    </row>
    <row r="19" spans="1:12" ht="63.75" customHeight="1" x14ac:dyDescent="0.25">
      <c r="A19" s="17">
        <v>44763</v>
      </c>
      <c r="B19" s="18">
        <v>33</v>
      </c>
      <c r="C19" s="18">
        <v>0</v>
      </c>
      <c r="D19" s="2">
        <f t="shared" si="0"/>
        <v>33</v>
      </c>
      <c r="E19" s="2"/>
      <c r="F19" s="2"/>
      <c r="G19" s="2"/>
      <c r="H19" s="2"/>
      <c r="I19" s="2"/>
      <c r="J19" s="2"/>
      <c r="K19" s="19" t="s">
        <v>1523</v>
      </c>
      <c r="L19" s="53" t="s">
        <v>1522</v>
      </c>
    </row>
    <row r="20" spans="1:12" ht="15" customHeight="1" x14ac:dyDescent="0.25">
      <c r="A20" s="17">
        <v>44763</v>
      </c>
      <c r="B20" s="18">
        <v>0</v>
      </c>
      <c r="C20" s="18">
        <v>0</v>
      </c>
      <c r="D20" s="2">
        <f t="shared" si="0"/>
        <v>0</v>
      </c>
      <c r="E20" s="2">
        <v>15</v>
      </c>
      <c r="F20" s="2"/>
      <c r="G20" s="2"/>
      <c r="H20" s="2"/>
      <c r="I20" s="2"/>
      <c r="J20" s="2"/>
      <c r="K20" s="19" t="s">
        <v>107</v>
      </c>
      <c r="L20" s="53" t="s">
        <v>1524</v>
      </c>
    </row>
    <row r="21" spans="1:12" ht="32.25" customHeight="1" x14ac:dyDescent="0.25">
      <c r="A21" s="21">
        <v>44764</v>
      </c>
      <c r="B21" s="22">
        <v>15</v>
      </c>
      <c r="C21" s="22">
        <v>0</v>
      </c>
      <c r="D21" s="2">
        <f t="shared" si="0"/>
        <v>15</v>
      </c>
      <c r="E21" s="23"/>
      <c r="F21" s="23"/>
      <c r="G21" s="23"/>
      <c r="H21" s="23"/>
      <c r="I21" s="23"/>
      <c r="J21" s="23"/>
      <c r="K21" s="25" t="s">
        <v>1526</v>
      </c>
      <c r="L21" s="53" t="s">
        <v>1525</v>
      </c>
    </row>
    <row r="22" spans="1:12" ht="15" customHeight="1" x14ac:dyDescent="0.25">
      <c r="A22" s="17">
        <v>44767</v>
      </c>
      <c r="B22" s="18">
        <v>0</v>
      </c>
      <c r="C22" s="18">
        <v>0</v>
      </c>
      <c r="D22" s="2">
        <f t="shared" si="0"/>
        <v>0</v>
      </c>
      <c r="E22" s="2">
        <v>11</v>
      </c>
      <c r="F22" s="2"/>
      <c r="G22" s="2"/>
      <c r="H22" s="2"/>
      <c r="I22" s="2"/>
      <c r="J22" s="2"/>
      <c r="K22" s="19" t="s">
        <v>107</v>
      </c>
      <c r="L22" s="53" t="s">
        <v>1527</v>
      </c>
    </row>
    <row r="23" spans="1:12" ht="15" customHeight="1" x14ac:dyDescent="0.25">
      <c r="A23" s="17">
        <v>44769</v>
      </c>
      <c r="B23" s="18">
        <v>0</v>
      </c>
      <c r="C23" s="18">
        <v>0</v>
      </c>
      <c r="D23" s="2">
        <f t="shared" si="0"/>
        <v>0</v>
      </c>
      <c r="E23" s="2">
        <v>21</v>
      </c>
      <c r="F23" s="2"/>
      <c r="G23" s="2"/>
      <c r="H23" s="2"/>
      <c r="I23" s="2"/>
      <c r="J23" s="2"/>
      <c r="K23" s="19" t="s">
        <v>107</v>
      </c>
      <c r="L23" s="53" t="s">
        <v>1528</v>
      </c>
    </row>
    <row r="24" spans="1:12" ht="34.5" customHeight="1" x14ac:dyDescent="0.25">
      <c r="A24" s="17">
        <v>44769</v>
      </c>
      <c r="B24" s="18">
        <v>11</v>
      </c>
      <c r="C24" s="18">
        <v>0</v>
      </c>
      <c r="D24" s="2">
        <f t="shared" si="0"/>
        <v>11</v>
      </c>
      <c r="E24" s="2"/>
      <c r="F24" s="2"/>
      <c r="G24" s="2"/>
      <c r="H24" s="2"/>
      <c r="I24" s="2"/>
      <c r="J24" s="2"/>
      <c r="K24" s="19" t="s">
        <v>1529</v>
      </c>
      <c r="L24" s="53" t="s">
        <v>1530</v>
      </c>
    </row>
    <row r="25" spans="1:12" ht="15" customHeight="1" x14ac:dyDescent="0.25">
      <c r="A25" s="17">
        <v>44770</v>
      </c>
      <c r="B25" s="18">
        <v>0</v>
      </c>
      <c r="C25" s="18">
        <v>0</v>
      </c>
      <c r="D25" s="2">
        <f t="shared" si="0"/>
        <v>0</v>
      </c>
      <c r="E25" s="2">
        <v>18</v>
      </c>
      <c r="F25" s="2"/>
      <c r="G25" s="2"/>
      <c r="H25" s="2"/>
      <c r="I25" s="2"/>
      <c r="J25" s="2"/>
      <c r="K25" s="19" t="s">
        <v>107</v>
      </c>
      <c r="L25" s="53" t="s">
        <v>1531</v>
      </c>
    </row>
    <row r="26" spans="1:12" ht="15" customHeight="1" x14ac:dyDescent="0.25">
      <c r="A26" s="17">
        <v>44770</v>
      </c>
      <c r="B26" s="18">
        <v>0</v>
      </c>
      <c r="C26" s="18">
        <v>0</v>
      </c>
      <c r="D26" s="2">
        <f t="shared" si="0"/>
        <v>0</v>
      </c>
      <c r="E26" s="2">
        <v>14</v>
      </c>
      <c r="F26" s="2"/>
      <c r="G26" s="2"/>
      <c r="H26" s="2"/>
      <c r="I26" s="2"/>
      <c r="J26" s="2"/>
      <c r="K26" s="19" t="s">
        <v>107</v>
      </c>
      <c r="L26" s="53" t="s">
        <v>1532</v>
      </c>
    </row>
    <row r="27" spans="1:12" ht="48.75" customHeight="1" x14ac:dyDescent="0.25">
      <c r="A27" s="17">
        <v>44770</v>
      </c>
      <c r="B27" s="18">
        <v>0</v>
      </c>
      <c r="C27" s="18">
        <v>21</v>
      </c>
      <c r="D27" s="2">
        <f t="shared" si="0"/>
        <v>-21</v>
      </c>
      <c r="E27" s="2"/>
      <c r="F27" s="2"/>
      <c r="G27" s="2"/>
      <c r="H27" s="2"/>
      <c r="I27" s="2"/>
      <c r="J27" s="2"/>
      <c r="K27" s="19" t="s">
        <v>1533</v>
      </c>
    </row>
    <row r="28" spans="1:12" x14ac:dyDescent="0.25">
      <c r="A28" s="17">
        <v>44770</v>
      </c>
      <c r="B28" s="18">
        <v>6</v>
      </c>
      <c r="C28" s="18">
        <v>0</v>
      </c>
      <c r="D28" s="2">
        <f t="shared" si="0"/>
        <v>6</v>
      </c>
      <c r="E28" s="2"/>
      <c r="F28" s="2"/>
      <c r="G28" s="2"/>
      <c r="H28" s="2"/>
      <c r="I28" s="2"/>
      <c r="J28" s="2"/>
      <c r="K28" s="20" t="s">
        <v>1534</v>
      </c>
    </row>
    <row r="29" spans="1:12" ht="45" x14ac:dyDescent="0.25">
      <c r="A29" s="17">
        <v>44770</v>
      </c>
      <c r="B29" s="18">
        <v>21</v>
      </c>
      <c r="C29" s="18">
        <v>0</v>
      </c>
      <c r="D29" s="2">
        <f t="shared" si="0"/>
        <v>21</v>
      </c>
      <c r="E29" s="2"/>
      <c r="F29" s="2"/>
      <c r="G29" s="2"/>
      <c r="H29" s="2"/>
      <c r="I29" s="2"/>
      <c r="J29" s="2"/>
      <c r="K29" s="19" t="s">
        <v>1536</v>
      </c>
      <c r="L29" s="53" t="s">
        <v>1535</v>
      </c>
    </row>
    <row r="30" spans="1:12" ht="30" x14ac:dyDescent="0.25">
      <c r="A30" s="17">
        <v>44770</v>
      </c>
      <c r="B30" s="18">
        <v>18</v>
      </c>
      <c r="C30" s="18">
        <v>0</v>
      </c>
      <c r="D30" s="2">
        <f t="shared" si="0"/>
        <v>18</v>
      </c>
      <c r="E30" s="2"/>
      <c r="F30" s="2"/>
      <c r="G30" s="2"/>
      <c r="H30" s="2"/>
      <c r="I30" s="2"/>
      <c r="J30" s="2"/>
      <c r="K30" s="19" t="s">
        <v>1538</v>
      </c>
      <c r="L30" s="53" t="s">
        <v>1537</v>
      </c>
    </row>
    <row r="31" spans="1:12" ht="34.5" customHeight="1" x14ac:dyDescent="0.25">
      <c r="A31" s="17">
        <v>44770</v>
      </c>
      <c r="B31" s="18">
        <v>14</v>
      </c>
      <c r="C31" s="18">
        <v>0</v>
      </c>
      <c r="D31" s="2">
        <f t="shared" si="0"/>
        <v>14</v>
      </c>
      <c r="E31" s="2"/>
      <c r="F31" s="2"/>
      <c r="G31" s="2"/>
      <c r="H31" s="2"/>
      <c r="I31" s="2"/>
      <c r="J31" s="2"/>
      <c r="K31" s="19" t="s">
        <v>1540</v>
      </c>
      <c r="L31" s="53" t="s">
        <v>1539</v>
      </c>
    </row>
    <row r="32" spans="1:12" x14ac:dyDescent="0.25">
      <c r="A32" s="17">
        <v>44771</v>
      </c>
      <c r="B32" s="18">
        <v>0</v>
      </c>
      <c r="C32" s="18">
        <v>0</v>
      </c>
      <c r="D32" s="2">
        <f t="shared" si="0"/>
        <v>0</v>
      </c>
      <c r="E32" s="2">
        <v>8</v>
      </c>
      <c r="F32" s="2"/>
      <c r="G32" s="2"/>
      <c r="H32" s="2"/>
      <c r="I32" s="2"/>
      <c r="J32" s="2"/>
      <c r="K32" s="19" t="s">
        <v>107</v>
      </c>
      <c r="L32" s="53" t="s">
        <v>1541</v>
      </c>
    </row>
    <row r="33" spans="1:12" x14ac:dyDescent="0.25">
      <c r="A33" s="17">
        <v>44772</v>
      </c>
      <c r="B33" s="18">
        <v>8</v>
      </c>
      <c r="C33" s="18">
        <v>0</v>
      </c>
      <c r="D33" s="2">
        <f t="shared" si="0"/>
        <v>8</v>
      </c>
      <c r="E33" s="2"/>
      <c r="F33" s="2"/>
      <c r="G33" s="2"/>
      <c r="H33" s="2"/>
      <c r="I33" s="2"/>
      <c r="J33" s="2"/>
      <c r="K33" s="19" t="s">
        <v>1542</v>
      </c>
      <c r="L33" s="53" t="s">
        <v>1543</v>
      </c>
    </row>
    <row r="34" spans="1:12" x14ac:dyDescent="0.25">
      <c r="A34" s="17"/>
      <c r="B34" s="18"/>
      <c r="C34" s="18"/>
      <c r="D34" s="2">
        <f t="shared" si="0"/>
        <v>0</v>
      </c>
      <c r="E34" s="2"/>
      <c r="F34" s="2"/>
      <c r="G34" s="2"/>
      <c r="H34" s="2"/>
      <c r="I34" s="2"/>
      <c r="J34" s="2"/>
      <c r="K34" s="20"/>
    </row>
    <row r="35" spans="1:12" x14ac:dyDescent="0.25">
      <c r="A35" s="17"/>
      <c r="B35" s="18"/>
      <c r="C35" s="18"/>
      <c r="D35" s="2">
        <f t="shared" si="0"/>
        <v>0</v>
      </c>
      <c r="E35" s="2"/>
      <c r="F35" s="2"/>
      <c r="G35" s="2"/>
      <c r="H35" s="2"/>
      <c r="I35" s="2"/>
      <c r="J35" s="2"/>
      <c r="K35" s="20"/>
    </row>
    <row r="36" spans="1:12" x14ac:dyDescent="0.25">
      <c r="A36" s="17"/>
      <c r="B36" s="18"/>
      <c r="C36" s="18"/>
      <c r="D36" s="2">
        <f t="shared" si="0"/>
        <v>0</v>
      </c>
      <c r="E36" s="2"/>
      <c r="F36" s="2"/>
      <c r="G36" s="2"/>
      <c r="H36" s="2"/>
      <c r="I36" s="2"/>
      <c r="J36" s="2"/>
      <c r="K36" s="20"/>
    </row>
    <row r="37" spans="1:12" x14ac:dyDescent="0.25">
      <c r="A37" s="17"/>
      <c r="B37" s="18"/>
      <c r="C37" s="18"/>
      <c r="D37" s="2">
        <f t="shared" si="0"/>
        <v>0</v>
      </c>
      <c r="E37" s="2"/>
      <c r="F37" s="2"/>
      <c r="G37" s="2"/>
      <c r="H37" s="2"/>
      <c r="I37" s="2"/>
      <c r="J37" s="2"/>
      <c r="K37" s="20"/>
    </row>
    <row r="38" spans="1:12" x14ac:dyDescent="0.25">
      <c r="A38" s="17"/>
      <c r="B38" s="18"/>
      <c r="C38" s="18"/>
      <c r="D38" s="2">
        <f t="shared" si="0"/>
        <v>0</v>
      </c>
      <c r="E38" s="2"/>
      <c r="F38" s="2"/>
      <c r="G38" s="2"/>
      <c r="H38" s="2"/>
      <c r="I38" s="2"/>
      <c r="J38" s="2"/>
      <c r="K38" s="20"/>
    </row>
    <row r="39" spans="1:12" x14ac:dyDescent="0.25">
      <c r="A39" s="17"/>
      <c r="B39" s="18"/>
      <c r="C39" s="18"/>
      <c r="D39" s="2">
        <f t="shared" si="0"/>
        <v>0</v>
      </c>
      <c r="E39" s="2"/>
      <c r="F39" s="2"/>
      <c r="G39" s="2"/>
      <c r="H39" s="2"/>
      <c r="I39" s="2"/>
      <c r="J39" s="2"/>
      <c r="K39" s="20"/>
    </row>
    <row r="40" spans="1:12" x14ac:dyDescent="0.25">
      <c r="A40" s="17"/>
      <c r="B40" s="18"/>
      <c r="C40" s="18"/>
      <c r="D40" s="2">
        <f t="shared" si="0"/>
        <v>0</v>
      </c>
      <c r="E40" s="2"/>
      <c r="F40" s="2"/>
      <c r="G40" s="2"/>
      <c r="H40" s="2"/>
      <c r="I40" s="2"/>
      <c r="J40" s="2"/>
      <c r="K40" s="19"/>
    </row>
    <row r="41" spans="1:12" x14ac:dyDescent="0.25">
      <c r="A41" s="17"/>
      <c r="B41" s="18"/>
      <c r="C41" s="18"/>
      <c r="D41" s="2">
        <f t="shared" si="0"/>
        <v>0</v>
      </c>
      <c r="E41" s="2"/>
      <c r="F41" s="2"/>
      <c r="G41" s="2"/>
      <c r="H41" s="2"/>
      <c r="I41" s="2"/>
      <c r="J41" s="2"/>
      <c r="K41" s="20"/>
    </row>
    <row r="42" spans="1:12" x14ac:dyDescent="0.25">
      <c r="A42" s="17"/>
      <c r="B42" s="18"/>
      <c r="C42" s="18"/>
      <c r="D42" s="2">
        <f t="shared" si="0"/>
        <v>0</v>
      </c>
      <c r="E42" s="2"/>
      <c r="F42" s="2"/>
      <c r="G42" s="2"/>
      <c r="H42" s="2"/>
      <c r="I42" s="2"/>
      <c r="J42" s="2"/>
      <c r="K42" s="20"/>
    </row>
    <row r="43" spans="1:12" x14ac:dyDescent="0.25">
      <c r="A43" s="17"/>
      <c r="B43" s="18"/>
      <c r="C43" s="18"/>
      <c r="D43" s="2">
        <f t="shared" si="0"/>
        <v>0</v>
      </c>
      <c r="E43" s="2"/>
      <c r="F43" s="2"/>
      <c r="G43" s="2"/>
      <c r="H43" s="2"/>
      <c r="I43" s="2"/>
      <c r="J43" s="2"/>
      <c r="K43" s="20"/>
    </row>
    <row r="44" spans="1:12" x14ac:dyDescent="0.25">
      <c r="A44" s="17"/>
      <c r="B44" s="18"/>
      <c r="C44" s="18"/>
      <c r="D44" s="2">
        <f t="shared" si="0"/>
        <v>0</v>
      </c>
      <c r="E44" s="2"/>
      <c r="F44" s="2"/>
      <c r="G44" s="2"/>
      <c r="H44" s="2"/>
      <c r="I44" s="2"/>
      <c r="J44" s="2"/>
      <c r="K44" s="20"/>
    </row>
  </sheetData>
  <sheetProtection algorithmName="SHA-512" hashValue="b/ZtE0BQrg2hmRIRKJP4f4JgHAxbBdO+EkDnE1WfV3gtZQXbpZnYhjuvXBvHy8XuT4vTttEeJrBLtnQ+zUIb5A==" saltValue="bObhL+bAEURv1E4aLqsQMQ==" spinCount="100000" sheet="1" objects="1" scenarios="1" selectLockedCells="1" selectUnlockedCells="1"/>
  <customSheetViews>
    <customSheetView guid="{E5A7B818-645B-417C-A128-9FE559D9B124}" fitToPage="1">
      <pane ySplit="6" topLeftCell="A25" activePane="bottomLeft" state="frozen"/>
      <selection pane="bottomLeft" activeCell="C43" sqref="C43:C44"/>
      <pageMargins left="0.70866141732283472" right="0.70866141732283472" top="0.78740157480314965" bottom="0.78740157480314965" header="0.31496062992125984" footer="0.31496062992125984"/>
      <printOptions horizontalCentered="1" verticalCentered="1"/>
      <pageSetup paperSize="9" scale="58" orientation="landscape" r:id="rId1"/>
      <headerFooter>
        <oddFooter>&amp;C&amp;D / &amp;T&amp;RSeite &amp;P von &amp;N</oddFooter>
      </headerFooter>
    </customSheetView>
  </customSheetViews>
  <conditionalFormatting sqref="K2">
    <cfRule type="cellIs" dxfId="99" priority="1" operator="lessThan">
      <formula>0</formula>
    </cfRule>
    <cfRule type="cellIs" dxfId="9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8" orientation="landscape" r:id="rId2"/>
  <headerFooter>
    <oddFooter>&amp;C&amp;D / &amp;T&amp;RSeite &amp;P von &amp;N</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L44"/>
  <sheetViews>
    <sheetView workbookViewId="0">
      <pane ySplit="6" topLeftCell="A10" activePane="bottomLeft" state="frozen"/>
      <selection pane="bottomLeft" activeCell="K15" sqref="K15:L1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27"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40">
        <f>288+132+36+36+102+12+12+(24)</f>
        <v>642</v>
      </c>
      <c r="L1" s="27"/>
    </row>
    <row r="2" spans="1:12" ht="19.5" thickBot="1" x14ac:dyDescent="0.35">
      <c r="A2" s="5"/>
      <c r="B2" s="2"/>
      <c r="C2" s="2"/>
      <c r="D2" s="2"/>
      <c r="E2" s="2"/>
      <c r="F2" s="6" t="s">
        <v>1</v>
      </c>
      <c r="G2" s="2"/>
      <c r="H2" s="2"/>
      <c r="I2" s="2"/>
      <c r="J2" s="41" t="s">
        <v>38</v>
      </c>
      <c r="K2" s="42">
        <f>K1-F6</f>
        <v>-17</v>
      </c>
      <c r="L2" s="27"/>
    </row>
    <row r="3" spans="1:12" ht="15.75" thickBot="1" x14ac:dyDescent="0.3">
      <c r="A3" s="5"/>
      <c r="B3" s="2"/>
      <c r="C3" s="2"/>
      <c r="D3" s="2"/>
      <c r="E3" s="2"/>
      <c r="F3" s="2">
        <f>'07.22'!F6</f>
        <v>580</v>
      </c>
      <c r="G3" s="2"/>
      <c r="H3" s="2"/>
      <c r="I3" s="2"/>
      <c r="J3" s="2"/>
      <c r="K3" s="4"/>
      <c r="L3" s="27"/>
    </row>
    <row r="4" spans="1:12" ht="30" x14ac:dyDescent="0.25">
      <c r="A4" s="5" t="s">
        <v>2</v>
      </c>
      <c r="B4" s="7" t="s">
        <v>3</v>
      </c>
      <c r="C4" s="7" t="s">
        <v>4</v>
      </c>
      <c r="D4" s="7" t="s">
        <v>5</v>
      </c>
      <c r="E4" s="7" t="s">
        <v>91</v>
      </c>
      <c r="F4" s="8" t="s">
        <v>6</v>
      </c>
      <c r="G4" s="7" t="s">
        <v>7</v>
      </c>
      <c r="H4" s="7" t="s">
        <v>8</v>
      </c>
      <c r="I4" s="2"/>
      <c r="J4" s="9" t="s">
        <v>9</v>
      </c>
      <c r="K4" s="4" t="s">
        <v>10</v>
      </c>
      <c r="L4" s="27"/>
    </row>
    <row r="5" spans="1:12" x14ac:dyDescent="0.25">
      <c r="A5" s="5"/>
      <c r="B5" s="2"/>
      <c r="C5" s="2"/>
      <c r="D5" s="2"/>
      <c r="E5" s="2"/>
      <c r="F5" s="10"/>
      <c r="G5" s="2"/>
      <c r="H5" s="2"/>
      <c r="I5" s="2"/>
      <c r="J5" s="11"/>
      <c r="K5" s="4"/>
      <c r="L5" s="105" t="s">
        <v>18</v>
      </c>
    </row>
    <row r="6" spans="1:12" s="35" customFormat="1" ht="15.75" thickBot="1" x14ac:dyDescent="0.3">
      <c r="A6" s="29"/>
      <c r="B6" s="30"/>
      <c r="C6" s="30"/>
      <c r="D6" s="30"/>
      <c r="E6" s="30"/>
      <c r="F6" s="32">
        <f>SUM(D:D)+F3</f>
        <v>659</v>
      </c>
      <c r="G6" s="30">
        <f>SUM(B:B)</f>
        <v>210</v>
      </c>
      <c r="H6" s="30">
        <f>SUM(C:C)</f>
        <v>131</v>
      </c>
      <c r="I6" s="30"/>
      <c r="J6" s="33">
        <f>SUM(G6:H6)+SUM(E:E)</f>
        <v>515</v>
      </c>
      <c r="K6" s="34"/>
      <c r="L6" s="50">
        <f>J6/K1</f>
        <v>0.80218068535825549</v>
      </c>
    </row>
    <row r="7" spans="1:12" x14ac:dyDescent="0.25">
      <c r="A7" s="17">
        <v>44774</v>
      </c>
      <c r="B7" s="18">
        <v>0</v>
      </c>
      <c r="C7" s="18">
        <v>0</v>
      </c>
      <c r="D7" s="2">
        <f t="shared" ref="D7:D44" si="0">B7-C7</f>
        <v>0</v>
      </c>
      <c r="E7" s="18">
        <v>32</v>
      </c>
      <c r="F7" s="2"/>
      <c r="G7" s="2"/>
      <c r="H7" s="2"/>
      <c r="I7" s="2"/>
      <c r="J7" s="2"/>
      <c r="K7" s="19" t="s">
        <v>107</v>
      </c>
      <c r="L7" s="106" t="s">
        <v>1544</v>
      </c>
    </row>
    <row r="8" spans="1:12" x14ac:dyDescent="0.25">
      <c r="A8" s="17">
        <v>44774</v>
      </c>
      <c r="B8" s="18">
        <v>0</v>
      </c>
      <c r="C8" s="18">
        <v>0</v>
      </c>
      <c r="D8" s="2">
        <f t="shared" si="0"/>
        <v>0</v>
      </c>
      <c r="E8" s="18">
        <v>25</v>
      </c>
      <c r="F8" s="2"/>
      <c r="G8" s="2"/>
      <c r="H8" s="2"/>
      <c r="I8" s="2"/>
      <c r="J8" s="2"/>
      <c r="K8" s="19" t="s">
        <v>107</v>
      </c>
      <c r="L8" s="106" t="s">
        <v>1545</v>
      </c>
    </row>
    <row r="9" spans="1:12" ht="60" x14ac:dyDescent="0.25">
      <c r="A9" s="17">
        <v>44774</v>
      </c>
      <c r="B9" s="18">
        <v>32</v>
      </c>
      <c r="C9" s="18">
        <v>0</v>
      </c>
      <c r="D9" s="2">
        <f t="shared" si="0"/>
        <v>32</v>
      </c>
      <c r="E9" s="18"/>
      <c r="F9" s="2"/>
      <c r="G9" s="2"/>
      <c r="H9" s="2"/>
      <c r="I9" s="2"/>
      <c r="J9" s="2"/>
      <c r="K9" s="19" t="s">
        <v>1546</v>
      </c>
      <c r="L9" s="66" t="s">
        <v>1547</v>
      </c>
    </row>
    <row r="10" spans="1:12" ht="45" x14ac:dyDescent="0.25">
      <c r="A10" s="17">
        <v>44774</v>
      </c>
      <c r="B10" s="18">
        <v>25</v>
      </c>
      <c r="C10" s="18">
        <v>0</v>
      </c>
      <c r="D10" s="2">
        <f t="shared" si="0"/>
        <v>25</v>
      </c>
      <c r="E10" s="18"/>
      <c r="F10" s="2"/>
      <c r="G10" s="2"/>
      <c r="H10" s="2"/>
      <c r="I10" s="2"/>
      <c r="J10" s="2"/>
      <c r="K10" s="19" t="s">
        <v>1548</v>
      </c>
      <c r="L10" s="66" t="s">
        <v>1549</v>
      </c>
    </row>
    <row r="11" spans="1:12" ht="30" x14ac:dyDescent="0.25">
      <c r="A11" s="17">
        <v>44777</v>
      </c>
      <c r="B11" s="18">
        <v>0</v>
      </c>
      <c r="C11" s="18">
        <v>15</v>
      </c>
      <c r="D11" s="2">
        <f t="shared" si="0"/>
        <v>-15</v>
      </c>
      <c r="E11" s="18"/>
      <c r="F11" s="2"/>
      <c r="G11" s="2"/>
      <c r="H11" s="2"/>
      <c r="I11" s="2"/>
      <c r="J11" s="2"/>
      <c r="K11" s="19" t="s">
        <v>1550</v>
      </c>
      <c r="L11" s="106" t="s">
        <v>1551</v>
      </c>
    </row>
    <row r="12" spans="1:12" ht="16.5" customHeight="1" x14ac:dyDescent="0.25">
      <c r="A12" s="17">
        <v>44777</v>
      </c>
      <c r="B12" s="18">
        <v>10</v>
      </c>
      <c r="C12" s="18">
        <v>0</v>
      </c>
      <c r="D12" s="2">
        <f t="shared" si="0"/>
        <v>10</v>
      </c>
      <c r="E12" s="18"/>
      <c r="F12" s="2"/>
      <c r="G12" s="2"/>
      <c r="H12" s="2"/>
      <c r="I12" s="2"/>
      <c r="J12" s="2"/>
      <c r="K12" s="19" t="s">
        <v>1552</v>
      </c>
      <c r="L12" s="106"/>
    </row>
    <row r="13" spans="1:12" ht="30" x14ac:dyDescent="0.25">
      <c r="A13" s="17">
        <v>44777</v>
      </c>
      <c r="B13" s="18">
        <v>0</v>
      </c>
      <c r="C13" s="18">
        <v>11</v>
      </c>
      <c r="D13" s="2">
        <f t="shared" si="0"/>
        <v>-11</v>
      </c>
      <c r="E13" s="18">
        <v>11</v>
      </c>
      <c r="F13" s="2"/>
      <c r="G13" s="2"/>
      <c r="H13" s="2"/>
      <c r="I13" s="2"/>
      <c r="J13" s="2"/>
      <c r="K13" s="19" t="s">
        <v>1556</v>
      </c>
      <c r="L13" s="106" t="s">
        <v>1553</v>
      </c>
    </row>
    <row r="14" spans="1:12" ht="30" x14ac:dyDescent="0.25">
      <c r="A14" s="17">
        <v>44777</v>
      </c>
      <c r="B14" s="18">
        <v>11</v>
      </c>
      <c r="C14" s="18">
        <v>0</v>
      </c>
      <c r="D14" s="2">
        <f t="shared" si="0"/>
        <v>11</v>
      </c>
      <c r="E14" s="18"/>
      <c r="F14" s="2"/>
      <c r="G14" s="2"/>
      <c r="H14" s="2"/>
      <c r="I14" s="2"/>
      <c r="J14" s="2"/>
      <c r="K14" s="19" t="s">
        <v>1555</v>
      </c>
      <c r="L14" s="106" t="s">
        <v>1554</v>
      </c>
    </row>
    <row r="15" spans="1:12" x14ac:dyDescent="0.25">
      <c r="A15" s="17">
        <v>44778</v>
      </c>
      <c r="B15" s="18">
        <v>0</v>
      </c>
      <c r="C15" s="18">
        <v>0</v>
      </c>
      <c r="D15" s="2">
        <f t="shared" si="0"/>
        <v>0</v>
      </c>
      <c r="E15" s="18">
        <v>22</v>
      </c>
      <c r="F15" s="2"/>
      <c r="G15" s="2"/>
      <c r="H15" s="2"/>
      <c r="I15" s="2"/>
      <c r="J15" s="2"/>
      <c r="K15" s="19" t="s">
        <v>107</v>
      </c>
      <c r="L15" s="106" t="s">
        <v>1557</v>
      </c>
    </row>
    <row r="16" spans="1:12" x14ac:dyDescent="0.25">
      <c r="A16" s="17">
        <v>44778</v>
      </c>
      <c r="B16" s="18">
        <v>7</v>
      </c>
      <c r="C16" s="18">
        <v>7</v>
      </c>
      <c r="D16" s="2">
        <f t="shared" si="0"/>
        <v>0</v>
      </c>
      <c r="E16" s="18">
        <v>7</v>
      </c>
      <c r="F16" s="2"/>
      <c r="G16" s="2"/>
      <c r="H16" s="2"/>
      <c r="I16" s="2"/>
      <c r="J16" s="2"/>
      <c r="K16" s="19" t="s">
        <v>1558</v>
      </c>
      <c r="L16" s="106"/>
    </row>
    <row r="17" spans="1:12" ht="45" x14ac:dyDescent="0.25">
      <c r="A17" s="17">
        <v>44778</v>
      </c>
      <c r="B17" s="18">
        <v>22</v>
      </c>
      <c r="C17" s="18">
        <v>0</v>
      </c>
      <c r="D17" s="2">
        <f t="shared" si="0"/>
        <v>22</v>
      </c>
      <c r="E17" s="18"/>
      <c r="F17" s="2"/>
      <c r="G17" s="2"/>
      <c r="H17" s="2"/>
      <c r="I17" s="2"/>
      <c r="J17" s="2"/>
      <c r="K17" s="19" t="s">
        <v>1559</v>
      </c>
      <c r="L17" s="107" t="s">
        <v>1566</v>
      </c>
    </row>
    <row r="18" spans="1:12" ht="45" x14ac:dyDescent="0.25">
      <c r="A18" s="17">
        <v>44784</v>
      </c>
      <c r="B18" s="18">
        <v>0</v>
      </c>
      <c r="C18" s="18">
        <v>27</v>
      </c>
      <c r="D18" s="2">
        <f t="shared" si="0"/>
        <v>-27</v>
      </c>
      <c r="E18" s="18"/>
      <c r="F18" s="2"/>
      <c r="G18" s="2"/>
      <c r="H18" s="2"/>
      <c r="I18" s="2"/>
      <c r="J18" s="2"/>
      <c r="K18" s="19" t="s">
        <v>1560</v>
      </c>
      <c r="L18" s="106" t="s">
        <v>1551</v>
      </c>
    </row>
    <row r="19" spans="1:12" x14ac:dyDescent="0.25">
      <c r="A19" s="17">
        <v>44784</v>
      </c>
      <c r="B19" s="18">
        <v>7</v>
      </c>
      <c r="C19" s="18">
        <v>0</v>
      </c>
      <c r="D19" s="2">
        <f t="shared" si="0"/>
        <v>7</v>
      </c>
      <c r="E19" s="18"/>
      <c r="F19" s="2"/>
      <c r="G19" s="2"/>
      <c r="H19" s="2"/>
      <c r="I19" s="2"/>
      <c r="J19" s="2"/>
      <c r="K19" s="19" t="s">
        <v>1561</v>
      </c>
    </row>
    <row r="20" spans="1:12" x14ac:dyDescent="0.25">
      <c r="A20" s="17">
        <v>44784</v>
      </c>
      <c r="B20" s="18">
        <v>1</v>
      </c>
      <c r="C20" s="18">
        <v>1</v>
      </c>
      <c r="D20" s="2">
        <f t="shared" si="0"/>
        <v>0</v>
      </c>
      <c r="E20" s="18">
        <v>2</v>
      </c>
      <c r="F20" s="2"/>
      <c r="G20" s="2"/>
      <c r="H20" s="2"/>
      <c r="I20" s="2"/>
      <c r="J20" s="2"/>
      <c r="K20" s="19">
        <v>583623</v>
      </c>
      <c r="L20" s="106" t="s">
        <v>1562</v>
      </c>
    </row>
    <row r="21" spans="1:12" x14ac:dyDescent="0.25">
      <c r="A21" s="21">
        <v>44785</v>
      </c>
      <c r="B21" s="22">
        <v>0</v>
      </c>
      <c r="C21" s="22">
        <v>2</v>
      </c>
      <c r="D21" s="2">
        <f t="shared" si="0"/>
        <v>-2</v>
      </c>
      <c r="E21" s="22"/>
      <c r="F21" s="23"/>
      <c r="G21" s="23"/>
      <c r="H21" s="23"/>
      <c r="I21" s="23"/>
      <c r="J21" s="23"/>
      <c r="K21" s="25" t="s">
        <v>1563</v>
      </c>
      <c r="L21" s="106" t="s">
        <v>1564</v>
      </c>
    </row>
    <row r="22" spans="1:12" ht="45" x14ac:dyDescent="0.25">
      <c r="A22" s="17">
        <v>44790</v>
      </c>
      <c r="B22" s="18">
        <v>20</v>
      </c>
      <c r="C22" s="18">
        <v>0</v>
      </c>
      <c r="D22" s="2">
        <f t="shared" si="0"/>
        <v>20</v>
      </c>
      <c r="E22" s="18"/>
      <c r="F22" s="2"/>
      <c r="G22" s="2"/>
      <c r="H22" s="2"/>
      <c r="I22" s="2"/>
      <c r="J22" s="2"/>
      <c r="K22" s="19" t="s">
        <v>1569</v>
      </c>
      <c r="L22" s="106" t="s">
        <v>1570</v>
      </c>
    </row>
    <row r="23" spans="1:12" ht="30" x14ac:dyDescent="0.25">
      <c r="A23" s="17">
        <v>44791</v>
      </c>
      <c r="B23" s="18">
        <v>0</v>
      </c>
      <c r="C23" s="18">
        <v>18</v>
      </c>
      <c r="D23" s="2">
        <f t="shared" si="0"/>
        <v>-18</v>
      </c>
      <c r="E23" s="18"/>
      <c r="F23" s="2"/>
      <c r="G23" s="2"/>
      <c r="H23" s="2"/>
      <c r="I23" s="2"/>
      <c r="J23" s="2"/>
      <c r="K23" s="108" t="s">
        <v>1567</v>
      </c>
      <c r="L23" s="106" t="s">
        <v>1568</v>
      </c>
    </row>
    <row r="24" spans="1:12" x14ac:dyDescent="0.25">
      <c r="A24" s="17">
        <v>44792</v>
      </c>
      <c r="B24" s="18">
        <v>0</v>
      </c>
      <c r="C24" s="18">
        <v>1</v>
      </c>
      <c r="D24" s="2">
        <f t="shared" si="0"/>
        <v>-1</v>
      </c>
      <c r="E24" s="18"/>
      <c r="F24" s="2"/>
      <c r="G24" s="2"/>
      <c r="H24" s="2"/>
      <c r="I24" s="2"/>
      <c r="J24" s="2"/>
      <c r="K24" s="19" t="s">
        <v>1571</v>
      </c>
      <c r="L24" s="106" t="s">
        <v>1572</v>
      </c>
    </row>
    <row r="25" spans="1:12" x14ac:dyDescent="0.25">
      <c r="A25" s="17">
        <v>44795</v>
      </c>
      <c r="B25" s="18">
        <v>0</v>
      </c>
      <c r="C25" s="18">
        <v>0</v>
      </c>
      <c r="D25" s="2">
        <f t="shared" si="0"/>
        <v>0</v>
      </c>
      <c r="E25" s="18">
        <v>40</v>
      </c>
      <c r="F25" s="2"/>
      <c r="G25" s="2"/>
      <c r="H25" s="2"/>
      <c r="I25" s="2"/>
      <c r="J25" s="2"/>
      <c r="K25" s="19" t="s">
        <v>107</v>
      </c>
      <c r="L25" s="106" t="s">
        <v>1584</v>
      </c>
    </row>
    <row r="26" spans="1:12" x14ac:dyDescent="0.25">
      <c r="A26" s="17">
        <v>44795</v>
      </c>
      <c r="B26" s="18">
        <v>4</v>
      </c>
      <c r="C26" s="18">
        <v>4</v>
      </c>
      <c r="D26" s="2">
        <f t="shared" si="0"/>
        <v>0</v>
      </c>
      <c r="E26" s="18">
        <v>4</v>
      </c>
      <c r="F26" s="2"/>
      <c r="G26" s="2"/>
      <c r="H26" s="2"/>
      <c r="I26" s="2"/>
      <c r="J26" s="2"/>
      <c r="K26" s="19" t="s">
        <v>1573</v>
      </c>
      <c r="L26" s="106"/>
    </row>
    <row r="27" spans="1:12" ht="75" x14ac:dyDescent="0.25">
      <c r="A27" s="17">
        <v>44797</v>
      </c>
      <c r="B27" s="18">
        <v>40</v>
      </c>
      <c r="C27" s="18">
        <v>0</v>
      </c>
      <c r="D27" s="2">
        <f t="shared" si="0"/>
        <v>40</v>
      </c>
      <c r="E27" s="18"/>
      <c r="F27" s="2"/>
      <c r="G27" s="2"/>
      <c r="H27" s="2"/>
      <c r="I27" s="2"/>
      <c r="J27" s="2"/>
      <c r="K27" s="19" t="s">
        <v>1579</v>
      </c>
      <c r="L27" s="107" t="s">
        <v>1574</v>
      </c>
    </row>
    <row r="28" spans="1:12" x14ac:dyDescent="0.25">
      <c r="A28" s="17">
        <v>44795</v>
      </c>
      <c r="B28" s="18">
        <v>0</v>
      </c>
      <c r="C28" s="18">
        <v>5</v>
      </c>
      <c r="D28" s="2">
        <f t="shared" si="0"/>
        <v>-5</v>
      </c>
      <c r="E28" s="18"/>
      <c r="F28" s="2"/>
      <c r="G28" s="2"/>
      <c r="H28" s="2"/>
      <c r="I28" s="2"/>
      <c r="J28" s="2"/>
      <c r="K28" s="19" t="s">
        <v>1575</v>
      </c>
      <c r="L28" s="106" t="s">
        <v>1576</v>
      </c>
    </row>
    <row r="29" spans="1:12" x14ac:dyDescent="0.25">
      <c r="A29" s="17">
        <v>44797</v>
      </c>
      <c r="B29" s="18">
        <v>0</v>
      </c>
      <c r="C29" s="18">
        <v>4</v>
      </c>
      <c r="D29" s="2">
        <f t="shared" si="0"/>
        <v>-4</v>
      </c>
      <c r="E29" s="18"/>
      <c r="F29" s="2"/>
      <c r="G29" s="2"/>
      <c r="H29" s="2"/>
      <c r="I29" s="2"/>
      <c r="J29" s="2"/>
      <c r="K29" s="19" t="s">
        <v>1577</v>
      </c>
      <c r="L29" s="106" t="s">
        <v>1578</v>
      </c>
    </row>
    <row r="30" spans="1:12" x14ac:dyDescent="0.25">
      <c r="A30" s="17">
        <v>44798</v>
      </c>
      <c r="B30" s="18">
        <v>0</v>
      </c>
      <c r="C30" s="18">
        <v>0</v>
      </c>
      <c r="D30" s="2">
        <f t="shared" si="0"/>
        <v>0</v>
      </c>
      <c r="E30" s="18">
        <v>31</v>
      </c>
      <c r="F30" s="2"/>
      <c r="G30" s="2"/>
      <c r="H30" s="2"/>
      <c r="I30" s="2"/>
      <c r="J30" s="2"/>
      <c r="K30" s="19" t="s">
        <v>107</v>
      </c>
      <c r="L30" s="107" t="s">
        <v>1580</v>
      </c>
    </row>
    <row r="31" spans="1:12" ht="75" x14ac:dyDescent="0.25">
      <c r="A31" s="17">
        <v>44798</v>
      </c>
      <c r="B31" s="18">
        <v>31</v>
      </c>
      <c r="C31" s="18">
        <v>0</v>
      </c>
      <c r="D31" s="2">
        <f t="shared" si="0"/>
        <v>31</v>
      </c>
      <c r="E31" s="18"/>
      <c r="F31" s="2"/>
      <c r="G31" s="2"/>
      <c r="H31" s="2"/>
      <c r="I31" s="2"/>
      <c r="J31" s="2"/>
      <c r="K31" s="19" t="s">
        <v>1585</v>
      </c>
      <c r="L31" s="109" t="s">
        <v>1582</v>
      </c>
    </row>
    <row r="32" spans="1:12" ht="60" x14ac:dyDescent="0.25">
      <c r="A32" s="17">
        <v>44799</v>
      </c>
      <c r="B32" s="18">
        <v>0</v>
      </c>
      <c r="C32" s="18">
        <v>36</v>
      </c>
      <c r="D32" s="2">
        <f t="shared" si="0"/>
        <v>-36</v>
      </c>
      <c r="E32" s="18"/>
      <c r="F32" s="2"/>
      <c r="G32" s="2"/>
      <c r="H32" s="2"/>
      <c r="I32" s="2"/>
      <c r="J32" s="2"/>
      <c r="K32" s="19" t="s">
        <v>1583</v>
      </c>
      <c r="L32" s="106" t="s">
        <v>1581</v>
      </c>
    </row>
    <row r="33" spans="1:12" x14ac:dyDescent="0.25">
      <c r="A33" s="17"/>
      <c r="B33" s="18"/>
      <c r="C33" s="18"/>
      <c r="D33" s="2">
        <f t="shared" si="0"/>
        <v>0</v>
      </c>
      <c r="E33" s="18"/>
      <c r="F33" s="2"/>
      <c r="G33" s="2"/>
      <c r="H33" s="2"/>
      <c r="I33" s="2"/>
      <c r="J33" s="2"/>
      <c r="K33" s="19"/>
    </row>
    <row r="34" spans="1:12" x14ac:dyDescent="0.25">
      <c r="A34" s="17"/>
      <c r="B34" s="18"/>
      <c r="C34" s="18"/>
      <c r="D34" s="2">
        <f t="shared" si="0"/>
        <v>0</v>
      </c>
      <c r="E34" s="18"/>
      <c r="F34" s="2"/>
      <c r="G34" s="2"/>
      <c r="H34" s="2"/>
      <c r="I34" s="2"/>
      <c r="J34" s="2"/>
      <c r="K34" s="19"/>
    </row>
    <row r="35" spans="1:12" x14ac:dyDescent="0.25">
      <c r="A35" s="17"/>
      <c r="B35" s="18"/>
      <c r="C35" s="18"/>
      <c r="D35" s="2">
        <f t="shared" si="0"/>
        <v>0</v>
      </c>
      <c r="E35" s="18"/>
      <c r="F35" s="2"/>
      <c r="G35" s="2"/>
      <c r="H35" s="2"/>
      <c r="I35" s="2"/>
      <c r="J35" s="2"/>
      <c r="K35" s="19"/>
    </row>
    <row r="36" spans="1:12" x14ac:dyDescent="0.25">
      <c r="A36" s="17"/>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c r="L44" s="66" t="s">
        <v>1565</v>
      </c>
    </row>
  </sheetData>
  <sheetProtection algorithmName="SHA-512" hashValue="vboEnTl0i0gs0fDfzF6mGbx39M06kAgbHLotFLBBfgksGRg0Zb+WejcmyZwmu8jy6UTJOYIube5rWEuEilIZog==" saltValue="BEFD966VtF4Bzd1kG4cs4w==" spinCount="100000" sheet="1" objects="1" scenarios="1" selectLockedCells="1" selectUnlockedCells="1"/>
  <customSheetViews>
    <customSheetView guid="{E5A7B818-645B-417C-A128-9FE559D9B124}" fitToPage="1">
      <pane ySplit="6" topLeftCell="A10" activePane="bottomLeft" state="frozen"/>
      <selection pane="bottomLeft" activeCell="K15" sqref="K15:L15"/>
      <pageMargins left="0.70866141732283472" right="0.70866141732283472" top="0.78740157480314965" bottom="0.78740157480314965" header="0.31496062992125984" footer="0.31496062992125984"/>
      <printOptions horizontalCentered="1" verticalCentered="1"/>
      <pageSetup paperSize="9" scale="68" fitToHeight="2" orientation="landscape" r:id="rId1"/>
      <headerFooter>
        <oddFooter>&amp;C&amp;D / &amp;T&amp;RSeite &amp;P von &amp;N</oddFooter>
      </headerFooter>
    </customSheetView>
  </customSheetViews>
  <conditionalFormatting sqref="K2">
    <cfRule type="cellIs" dxfId="97" priority="1" operator="lessThan">
      <formula>0</formula>
    </cfRule>
    <cfRule type="cellIs" dxfId="9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2" orientation="landscape" r:id="rId2"/>
  <headerFooter>
    <oddFooter>&amp;C&amp;D / &amp;T&amp;RSeite &amp;P von &amp;N</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L44"/>
  <sheetViews>
    <sheetView workbookViewId="0">
      <pane ySplit="6" topLeftCell="A25" activePane="bottomLeft" state="frozen"/>
      <selection pane="bottomLeft" activeCell="C41" sqref="C41"/>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f>288+132+36+36+102+12+12+24</f>
        <v>642</v>
      </c>
      <c r="L1" s="27"/>
    </row>
    <row r="2" spans="1:12" ht="19.5" thickBot="1" x14ac:dyDescent="0.35">
      <c r="A2" s="5"/>
      <c r="B2" s="2"/>
      <c r="C2" s="2"/>
      <c r="D2" s="2"/>
      <c r="E2" s="2"/>
      <c r="F2" s="6" t="s">
        <v>1</v>
      </c>
      <c r="G2" s="2"/>
      <c r="H2" s="2"/>
      <c r="I2" s="2"/>
      <c r="J2" s="41" t="s">
        <v>38</v>
      </c>
      <c r="K2" s="111">
        <f>K1-F6</f>
        <v>-25</v>
      </c>
      <c r="L2" s="27"/>
    </row>
    <row r="3" spans="1:12" ht="15.75" thickBot="1" x14ac:dyDescent="0.3">
      <c r="A3" s="5"/>
      <c r="B3" s="2"/>
      <c r="C3" s="2"/>
      <c r="D3" s="2"/>
      <c r="E3" s="2"/>
      <c r="F3" s="2">
        <f>'08.22'!F6</f>
        <v>659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667</v>
      </c>
      <c r="G6" s="30">
        <f>SUM(B:B)</f>
        <v>161</v>
      </c>
      <c r="H6" s="30">
        <f>SUM(C:C)</f>
        <v>153</v>
      </c>
      <c r="I6" s="30"/>
      <c r="J6" s="33">
        <f>SUM(G6:H6)+SUM(E:E)</f>
        <v>434</v>
      </c>
      <c r="K6" s="112"/>
      <c r="L6" s="50">
        <f>J6/K1</f>
        <v>0.67601246105919</v>
      </c>
    </row>
    <row r="7" spans="1:12" ht="45" x14ac:dyDescent="0.25">
      <c r="A7" s="17">
        <v>44805</v>
      </c>
      <c r="B7" s="18">
        <v>0</v>
      </c>
      <c r="C7" s="18">
        <v>23</v>
      </c>
      <c r="D7" s="2">
        <f t="shared" ref="D7:D44" si="0">B7-C7</f>
        <v>-23</v>
      </c>
      <c r="E7" s="18"/>
      <c r="F7" s="2"/>
      <c r="G7" s="2"/>
      <c r="H7" s="2"/>
      <c r="I7" s="2"/>
      <c r="J7" s="2"/>
      <c r="K7" s="19" t="s">
        <v>1586</v>
      </c>
      <c r="L7" s="106" t="s">
        <v>1587</v>
      </c>
    </row>
    <row r="8" spans="1:12" ht="45" x14ac:dyDescent="0.25">
      <c r="A8" s="17">
        <v>44805</v>
      </c>
      <c r="B8" s="18">
        <v>21</v>
      </c>
      <c r="C8" s="18">
        <v>0</v>
      </c>
      <c r="D8" s="2">
        <f t="shared" si="0"/>
        <v>21</v>
      </c>
      <c r="E8" s="18"/>
      <c r="F8" s="2"/>
      <c r="G8" s="2"/>
      <c r="H8" s="2"/>
      <c r="I8" s="2"/>
      <c r="J8" s="2"/>
      <c r="K8" s="19" t="s">
        <v>1588</v>
      </c>
    </row>
    <row r="9" spans="1:12" x14ac:dyDescent="0.25">
      <c r="A9" s="17">
        <v>44809</v>
      </c>
      <c r="B9" s="18">
        <v>0</v>
      </c>
      <c r="C9" s="18">
        <v>0</v>
      </c>
      <c r="D9" s="2">
        <f t="shared" si="0"/>
        <v>0</v>
      </c>
      <c r="E9" s="18">
        <v>7</v>
      </c>
      <c r="F9" s="2"/>
      <c r="G9" s="2"/>
      <c r="H9" s="2"/>
      <c r="I9" s="2"/>
      <c r="J9" s="2"/>
      <c r="K9" s="19" t="s">
        <v>107</v>
      </c>
      <c r="L9" s="106" t="s">
        <v>1589</v>
      </c>
    </row>
    <row r="10" spans="1:12" ht="30" x14ac:dyDescent="0.25">
      <c r="A10" s="17">
        <v>44809</v>
      </c>
      <c r="B10" s="18">
        <v>7</v>
      </c>
      <c r="C10" s="18">
        <v>0</v>
      </c>
      <c r="D10" s="2">
        <f t="shared" si="0"/>
        <v>7</v>
      </c>
      <c r="E10" s="18"/>
      <c r="F10" s="2"/>
      <c r="G10" s="2"/>
      <c r="H10" s="2"/>
      <c r="I10" s="2"/>
      <c r="J10" s="2"/>
      <c r="K10" s="19" t="s">
        <v>1590</v>
      </c>
      <c r="L10" s="107" t="s">
        <v>1591</v>
      </c>
    </row>
    <row r="11" spans="1:12" x14ac:dyDescent="0.25">
      <c r="A11" s="17">
        <v>44811</v>
      </c>
      <c r="B11" s="18">
        <v>0</v>
      </c>
      <c r="C11" s="18">
        <v>0</v>
      </c>
      <c r="D11" s="2">
        <f t="shared" si="0"/>
        <v>0</v>
      </c>
      <c r="E11" s="18">
        <v>29</v>
      </c>
      <c r="F11" s="2"/>
      <c r="G11" s="2"/>
      <c r="H11" s="2"/>
      <c r="I11" s="2"/>
      <c r="J11" s="2"/>
      <c r="K11" s="19" t="s">
        <v>107</v>
      </c>
      <c r="L11" s="106" t="s">
        <v>1592</v>
      </c>
    </row>
    <row r="12" spans="1:12" ht="60" x14ac:dyDescent="0.25">
      <c r="A12" s="17">
        <v>44811</v>
      </c>
      <c r="B12" s="18">
        <v>29</v>
      </c>
      <c r="C12" s="18">
        <v>0</v>
      </c>
      <c r="D12" s="2">
        <f t="shared" si="0"/>
        <v>29</v>
      </c>
      <c r="E12" s="18"/>
      <c r="F12" s="2"/>
      <c r="G12" s="2"/>
      <c r="H12" s="2"/>
      <c r="I12" s="2"/>
      <c r="J12" s="2"/>
      <c r="K12" s="19" t="s">
        <v>1594</v>
      </c>
      <c r="L12" s="107" t="s">
        <v>1593</v>
      </c>
    </row>
    <row r="13" spans="1:12" ht="60" x14ac:dyDescent="0.25">
      <c r="A13" s="17">
        <v>44812</v>
      </c>
      <c r="B13" s="18">
        <v>0</v>
      </c>
      <c r="C13" s="18">
        <v>36</v>
      </c>
      <c r="D13" s="2">
        <f t="shared" si="0"/>
        <v>-36</v>
      </c>
      <c r="E13" s="18"/>
      <c r="F13" s="2"/>
      <c r="G13" s="2"/>
      <c r="H13" s="2"/>
      <c r="I13" s="2"/>
      <c r="J13" s="2"/>
      <c r="K13" s="19" t="s">
        <v>1595</v>
      </c>
      <c r="L13" s="107" t="s">
        <v>1596</v>
      </c>
    </row>
    <row r="14" spans="1:12" ht="30" x14ac:dyDescent="0.25">
      <c r="A14" s="17">
        <v>44817</v>
      </c>
      <c r="B14" s="18">
        <v>10</v>
      </c>
      <c r="C14" s="18">
        <v>0</v>
      </c>
      <c r="D14" s="2">
        <f t="shared" si="0"/>
        <v>10</v>
      </c>
      <c r="E14" s="18"/>
      <c r="F14" s="2"/>
      <c r="G14" s="2"/>
      <c r="H14" s="2"/>
      <c r="I14" s="2"/>
      <c r="J14" s="2"/>
      <c r="K14" s="19" t="s">
        <v>1598</v>
      </c>
      <c r="L14" s="107" t="s">
        <v>1597</v>
      </c>
    </row>
    <row r="15" spans="1:12" ht="30" x14ac:dyDescent="0.25">
      <c r="A15" s="17">
        <v>44817</v>
      </c>
      <c r="B15" s="18">
        <v>0</v>
      </c>
      <c r="C15" s="18">
        <v>7</v>
      </c>
      <c r="D15" s="2">
        <f t="shared" si="0"/>
        <v>-7</v>
      </c>
      <c r="E15" s="18"/>
      <c r="F15" s="2"/>
      <c r="G15" s="2"/>
      <c r="H15" s="2"/>
      <c r="I15" s="2"/>
      <c r="J15" s="2"/>
      <c r="K15" s="19" t="s">
        <v>1600</v>
      </c>
      <c r="L15" s="107" t="s">
        <v>1599</v>
      </c>
    </row>
    <row r="16" spans="1:12" ht="30" x14ac:dyDescent="0.25">
      <c r="A16" s="17">
        <v>44819</v>
      </c>
      <c r="B16" s="18">
        <v>0</v>
      </c>
      <c r="C16" s="18">
        <v>18</v>
      </c>
      <c r="D16" s="2">
        <f t="shared" si="0"/>
        <v>-18</v>
      </c>
      <c r="E16" s="18"/>
      <c r="F16" s="2"/>
      <c r="G16" s="2"/>
      <c r="H16" s="2"/>
      <c r="I16" s="2"/>
      <c r="J16" s="2"/>
      <c r="K16" s="19" t="s">
        <v>1601</v>
      </c>
      <c r="L16" s="107" t="s">
        <v>1602</v>
      </c>
    </row>
    <row r="17" spans="1:12" x14ac:dyDescent="0.25">
      <c r="A17" s="17">
        <v>44823</v>
      </c>
      <c r="B17" s="18">
        <v>0</v>
      </c>
      <c r="C17" s="18">
        <v>0</v>
      </c>
      <c r="D17" s="2">
        <f t="shared" si="0"/>
        <v>0</v>
      </c>
      <c r="E17" s="18">
        <v>28</v>
      </c>
      <c r="F17" s="2"/>
      <c r="G17" s="2"/>
      <c r="H17" s="2"/>
      <c r="I17" s="2"/>
      <c r="J17" s="2"/>
      <c r="K17" s="19" t="s">
        <v>107</v>
      </c>
      <c r="L17" s="106" t="s">
        <v>1603</v>
      </c>
    </row>
    <row r="18" spans="1:12" ht="60" x14ac:dyDescent="0.25">
      <c r="A18" s="17">
        <v>44823</v>
      </c>
      <c r="B18" s="18">
        <v>28</v>
      </c>
      <c r="C18" s="18"/>
      <c r="D18" s="2">
        <f t="shared" si="0"/>
        <v>28</v>
      </c>
      <c r="E18" s="18"/>
      <c r="F18" s="2"/>
      <c r="G18" s="2"/>
      <c r="H18" s="2"/>
      <c r="I18" s="2"/>
      <c r="J18" s="2"/>
      <c r="K18" s="19" t="s">
        <v>1606</v>
      </c>
      <c r="L18" s="107" t="s">
        <v>1604</v>
      </c>
    </row>
    <row r="19" spans="1:12" ht="30" x14ac:dyDescent="0.25">
      <c r="A19" s="17">
        <v>44823</v>
      </c>
      <c r="B19" s="18">
        <v>4</v>
      </c>
      <c r="C19" s="18">
        <v>6</v>
      </c>
      <c r="D19" s="2">
        <f t="shared" si="0"/>
        <v>-2</v>
      </c>
      <c r="E19" s="18">
        <v>4</v>
      </c>
      <c r="F19" s="2"/>
      <c r="G19" s="2"/>
      <c r="H19" s="2"/>
      <c r="I19" s="2"/>
      <c r="J19" s="2"/>
      <c r="K19" s="19" t="s">
        <v>1607</v>
      </c>
      <c r="L19" s="66" t="s">
        <v>1605</v>
      </c>
    </row>
    <row r="20" spans="1:12" x14ac:dyDescent="0.25">
      <c r="A20" s="17">
        <v>44825</v>
      </c>
      <c r="B20" s="18">
        <v>0</v>
      </c>
      <c r="C20" s="18">
        <v>0</v>
      </c>
      <c r="D20" s="2">
        <f t="shared" si="0"/>
        <v>0</v>
      </c>
      <c r="E20" s="18">
        <v>11</v>
      </c>
      <c r="F20" s="2"/>
      <c r="G20" s="2"/>
      <c r="H20" s="2"/>
      <c r="I20" s="2"/>
      <c r="J20" s="2"/>
      <c r="K20" s="19" t="s">
        <v>107</v>
      </c>
      <c r="L20" s="106" t="s">
        <v>1608</v>
      </c>
    </row>
    <row r="21" spans="1:12" ht="30" x14ac:dyDescent="0.25">
      <c r="A21" s="21">
        <v>44825</v>
      </c>
      <c r="B21" s="22">
        <v>11</v>
      </c>
      <c r="C21" s="22">
        <v>0</v>
      </c>
      <c r="D21" s="2">
        <f t="shared" si="0"/>
        <v>11</v>
      </c>
      <c r="E21" s="22"/>
      <c r="F21" s="23"/>
      <c r="G21" s="23"/>
      <c r="H21" s="23"/>
      <c r="I21" s="23"/>
      <c r="J21" s="23"/>
      <c r="K21" s="25" t="s">
        <v>1615</v>
      </c>
      <c r="L21" s="107" t="s">
        <v>1609</v>
      </c>
    </row>
    <row r="22" spans="1:12" x14ac:dyDescent="0.25">
      <c r="A22" s="17">
        <v>44825</v>
      </c>
      <c r="B22" s="18">
        <v>0</v>
      </c>
      <c r="C22" s="18">
        <v>7</v>
      </c>
      <c r="D22" s="2">
        <f t="shared" si="0"/>
        <v>-7</v>
      </c>
      <c r="E22" s="18"/>
      <c r="F22" s="2"/>
      <c r="G22" s="2"/>
      <c r="H22" s="2"/>
      <c r="I22" s="2"/>
      <c r="J22" s="2"/>
      <c r="K22" s="19" t="s">
        <v>1610</v>
      </c>
      <c r="L22" s="106" t="s">
        <v>1611</v>
      </c>
    </row>
    <row r="23" spans="1:12" x14ac:dyDescent="0.25">
      <c r="A23" s="17">
        <v>44825</v>
      </c>
      <c r="B23" s="18">
        <v>3</v>
      </c>
      <c r="C23" s="18">
        <v>0</v>
      </c>
      <c r="D23" s="2">
        <f t="shared" si="0"/>
        <v>3</v>
      </c>
      <c r="E23" s="18"/>
      <c r="F23" s="2"/>
      <c r="G23" s="2"/>
      <c r="H23" s="2"/>
      <c r="I23" s="2"/>
      <c r="J23" s="2"/>
      <c r="K23" s="108" t="s">
        <v>1612</v>
      </c>
      <c r="L23" s="106"/>
    </row>
    <row r="24" spans="1:12" ht="45" x14ac:dyDescent="0.25">
      <c r="A24" s="17">
        <v>44826</v>
      </c>
      <c r="B24" s="18">
        <v>0</v>
      </c>
      <c r="C24" s="18">
        <v>19</v>
      </c>
      <c r="D24" s="2">
        <f t="shared" si="0"/>
        <v>-19</v>
      </c>
      <c r="E24" s="18"/>
      <c r="F24" s="2"/>
      <c r="G24" s="2"/>
      <c r="H24" s="2"/>
      <c r="I24" s="2"/>
      <c r="J24" s="2"/>
      <c r="K24" s="19" t="s">
        <v>1613</v>
      </c>
      <c r="L24" s="107" t="s">
        <v>1614</v>
      </c>
    </row>
    <row r="25" spans="1:12" ht="30" x14ac:dyDescent="0.25">
      <c r="A25" s="17">
        <v>44831</v>
      </c>
      <c r="B25" s="18">
        <v>0</v>
      </c>
      <c r="C25" s="18">
        <v>0</v>
      </c>
      <c r="D25" s="2">
        <f t="shared" si="0"/>
        <v>0</v>
      </c>
      <c r="E25" s="18">
        <v>29</v>
      </c>
      <c r="F25" s="2"/>
      <c r="G25" s="2"/>
      <c r="H25" s="2"/>
      <c r="I25" s="2"/>
      <c r="J25" s="2"/>
      <c r="K25" s="19" t="s">
        <v>107</v>
      </c>
      <c r="L25" s="107" t="s">
        <v>1616</v>
      </c>
    </row>
    <row r="26" spans="1:12" ht="30" x14ac:dyDescent="0.25">
      <c r="A26" s="17">
        <v>44831</v>
      </c>
      <c r="B26" s="18">
        <v>0</v>
      </c>
      <c r="C26" s="18">
        <v>16</v>
      </c>
      <c r="D26" s="2">
        <f t="shared" si="0"/>
        <v>-16</v>
      </c>
      <c r="E26" s="18"/>
      <c r="F26" s="2"/>
      <c r="G26" s="2"/>
      <c r="H26" s="2"/>
      <c r="I26" s="2"/>
      <c r="J26" s="2"/>
      <c r="K26" s="19" t="s">
        <v>1617</v>
      </c>
      <c r="L26" s="107" t="s">
        <v>1618</v>
      </c>
    </row>
    <row r="27" spans="1:12" x14ac:dyDescent="0.25">
      <c r="A27" s="17">
        <v>44831</v>
      </c>
      <c r="B27" s="18">
        <v>7</v>
      </c>
      <c r="C27" s="18">
        <v>0</v>
      </c>
      <c r="D27" s="2">
        <f t="shared" si="0"/>
        <v>7</v>
      </c>
      <c r="E27" s="18"/>
      <c r="F27" s="2"/>
      <c r="G27" s="2"/>
      <c r="H27" s="2"/>
      <c r="I27" s="2"/>
      <c r="J27" s="2"/>
      <c r="K27" s="19" t="s">
        <v>1619</v>
      </c>
    </row>
    <row r="28" spans="1:12" ht="54" customHeight="1" x14ac:dyDescent="0.25">
      <c r="A28" s="17">
        <v>44831</v>
      </c>
      <c r="B28" s="18">
        <v>29</v>
      </c>
      <c r="C28" s="18">
        <v>0</v>
      </c>
      <c r="D28" s="2">
        <f t="shared" si="0"/>
        <v>29</v>
      </c>
      <c r="E28" s="18"/>
      <c r="F28" s="2"/>
      <c r="G28" s="2"/>
      <c r="H28" s="2"/>
      <c r="I28" s="2"/>
      <c r="J28" s="2"/>
      <c r="K28" s="19" t="s">
        <v>1620</v>
      </c>
      <c r="L28" s="109" t="s">
        <v>1621</v>
      </c>
    </row>
    <row r="29" spans="1:12" ht="30" x14ac:dyDescent="0.25">
      <c r="A29" s="17">
        <v>44831</v>
      </c>
      <c r="B29" s="18">
        <v>0</v>
      </c>
      <c r="C29" s="18">
        <v>0</v>
      </c>
      <c r="D29" s="2">
        <f t="shared" si="0"/>
        <v>0</v>
      </c>
      <c r="E29" s="18">
        <v>12</v>
      </c>
      <c r="F29" s="2"/>
      <c r="G29" s="2"/>
      <c r="H29" s="2"/>
      <c r="I29" s="2"/>
      <c r="J29" s="2"/>
      <c r="K29" s="19" t="s">
        <v>107</v>
      </c>
      <c r="L29" s="107" t="s">
        <v>1622</v>
      </c>
    </row>
    <row r="30" spans="1:12" ht="30" x14ac:dyDescent="0.25">
      <c r="A30" s="17">
        <v>44831</v>
      </c>
      <c r="B30" s="18">
        <v>12</v>
      </c>
      <c r="C30" s="18">
        <v>0</v>
      </c>
      <c r="D30" s="2">
        <f t="shared" si="0"/>
        <v>12</v>
      </c>
      <c r="E30" s="18"/>
      <c r="F30" s="2"/>
      <c r="G30" s="2"/>
      <c r="H30" s="2"/>
      <c r="I30" s="2"/>
      <c r="J30" s="2"/>
      <c r="K30" s="19" t="s">
        <v>1624</v>
      </c>
      <c r="L30" s="66" t="s">
        <v>1623</v>
      </c>
    </row>
    <row r="31" spans="1:12" ht="45" x14ac:dyDescent="0.25">
      <c r="A31" s="17">
        <v>44833</v>
      </c>
      <c r="B31" s="18">
        <v>0</v>
      </c>
      <c r="C31" s="18">
        <v>21</v>
      </c>
      <c r="D31" s="2">
        <f t="shared" si="0"/>
        <v>-21</v>
      </c>
      <c r="E31" s="18"/>
      <c r="F31" s="2"/>
      <c r="G31" s="2"/>
      <c r="H31" s="2"/>
      <c r="I31" s="2"/>
      <c r="J31" s="2"/>
      <c r="K31" s="19" t="s">
        <v>1625</v>
      </c>
      <c r="L31" s="66" t="s">
        <v>1626</v>
      </c>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WPDa+wrCYL86soHYmLrrCLpO1GbA7Ejcn9V2/O1JZEy+0la6eV5d5wv6f6MZOxasvCMNpQyJCiwG3Fz29h499A==" saltValue="zSQhjNVpwlYK0o4gAq1+JQ==" spinCount="100000" sheet="1" objects="1" scenarios="1" selectLockedCells="1" selectUnlockedCells="1"/>
  <customSheetViews>
    <customSheetView guid="{E5A7B818-645B-417C-A128-9FE559D9B124}" fitToPage="1">
      <pane ySplit="6" topLeftCell="A25" activePane="bottomLeft" state="frozen"/>
      <selection pane="bottomLeft" activeCell="C41" sqref="C41"/>
      <pageMargins left="0.70866141732283472" right="0.70866141732283472" top="0.78740157480314965" bottom="0.78740157480314965" header="0.31496062992125984" footer="0.31496062992125984"/>
      <printOptions horizontalCentered="1" verticalCentered="1"/>
      <pageSetup paperSize="9" scale="68" fitToHeight="2" orientation="landscape" r:id="rId1"/>
      <headerFooter>
        <oddFooter>&amp;C&amp;D / &amp;T&amp;RSeite &amp;P von &amp;N</oddFooter>
      </headerFooter>
    </customSheetView>
  </customSheetViews>
  <conditionalFormatting sqref="K2">
    <cfRule type="cellIs" dxfId="95" priority="1" operator="lessThan">
      <formula>0</formula>
    </cfRule>
    <cfRule type="cellIs" dxfId="9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2" orientation="landscape" r:id="rId2"/>
  <headerFooter>
    <oddFooter>&amp;C&amp;D / &amp;T&amp;RSeite &amp;P von &amp;N</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L44"/>
  <sheetViews>
    <sheetView workbookViewId="0">
      <pane ySplit="6" topLeftCell="A19" activePane="bottomLeft" state="frozen"/>
      <selection pane="bottomLeft" activeCell="K24" sqref="K24:L2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f>288+132+36+36+102+12+12+24</f>
        <v>642</v>
      </c>
      <c r="L1" s="27"/>
    </row>
    <row r="2" spans="1:12" ht="19.5" thickBot="1" x14ac:dyDescent="0.35">
      <c r="A2" s="5"/>
      <c r="B2" s="2"/>
      <c r="C2" s="2"/>
      <c r="D2" s="2"/>
      <c r="E2" s="2"/>
      <c r="F2" s="6" t="s">
        <v>1</v>
      </c>
      <c r="G2" s="2"/>
      <c r="H2" s="2"/>
      <c r="I2" s="2"/>
      <c r="J2" s="41" t="s">
        <v>38</v>
      </c>
      <c r="K2" s="111">
        <f>K1-F6</f>
        <v>-77</v>
      </c>
      <c r="L2" s="27"/>
    </row>
    <row r="3" spans="1:12" ht="15.75" thickBot="1" x14ac:dyDescent="0.3">
      <c r="A3" s="5"/>
      <c r="B3" s="2"/>
      <c r="C3" s="2"/>
      <c r="D3" s="2"/>
      <c r="E3" s="2"/>
      <c r="F3" s="2">
        <f>'09.22'!F6</f>
        <v>667</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719</v>
      </c>
      <c r="G6" s="30">
        <f>SUM(B:B)</f>
        <v>144</v>
      </c>
      <c r="H6" s="30">
        <f>SUM(C:C)</f>
        <v>92</v>
      </c>
      <c r="I6" s="30"/>
      <c r="J6" s="33">
        <f>SUM(G6:H6)+SUM(E:E)</f>
        <v>357</v>
      </c>
      <c r="K6" s="112"/>
      <c r="L6" s="50">
        <f>J6/K1</f>
        <v>0.55607476635514019</v>
      </c>
    </row>
    <row r="7" spans="1:12" ht="30" x14ac:dyDescent="0.25">
      <c r="A7" s="17">
        <v>44839</v>
      </c>
      <c r="B7" s="18">
        <v>0</v>
      </c>
      <c r="C7" s="18">
        <v>14</v>
      </c>
      <c r="D7" s="2">
        <f t="shared" ref="D7:D44" si="0">B7-C7</f>
        <v>-14</v>
      </c>
      <c r="E7" s="18"/>
      <c r="F7" s="2"/>
      <c r="G7" s="2"/>
      <c r="H7" s="2"/>
      <c r="I7" s="2"/>
      <c r="J7" s="2"/>
      <c r="K7" s="19" t="s">
        <v>1627</v>
      </c>
      <c r="L7" s="106" t="s">
        <v>1628</v>
      </c>
    </row>
    <row r="8" spans="1:12" ht="30" x14ac:dyDescent="0.25">
      <c r="A8" s="17">
        <v>44841</v>
      </c>
      <c r="B8" s="18">
        <v>0</v>
      </c>
      <c r="C8" s="18">
        <v>0</v>
      </c>
      <c r="D8" s="2">
        <f t="shared" si="0"/>
        <v>0</v>
      </c>
      <c r="E8" s="18">
        <v>25</v>
      </c>
      <c r="F8" s="2"/>
      <c r="G8" s="2"/>
      <c r="H8" s="2"/>
      <c r="I8" s="2"/>
      <c r="J8" s="2"/>
      <c r="K8" s="19" t="s">
        <v>107</v>
      </c>
      <c r="L8" s="107" t="s">
        <v>1629</v>
      </c>
    </row>
    <row r="9" spans="1:12" ht="45" x14ac:dyDescent="0.25">
      <c r="A9" s="17">
        <v>44844</v>
      </c>
      <c r="B9" s="18">
        <v>25</v>
      </c>
      <c r="C9" s="18">
        <v>0</v>
      </c>
      <c r="D9" s="2">
        <f t="shared" si="0"/>
        <v>25</v>
      </c>
      <c r="E9" s="18"/>
      <c r="F9" s="2"/>
      <c r="G9" s="2"/>
      <c r="H9" s="2"/>
      <c r="I9" s="2"/>
      <c r="J9" s="2"/>
      <c r="K9" s="19" t="s">
        <v>1631</v>
      </c>
      <c r="L9" s="66" t="s">
        <v>1630</v>
      </c>
    </row>
    <row r="10" spans="1:12" ht="30" x14ac:dyDescent="0.25">
      <c r="A10" s="17">
        <v>44844</v>
      </c>
      <c r="B10" s="18">
        <v>0</v>
      </c>
      <c r="C10" s="18">
        <v>0</v>
      </c>
      <c r="D10" s="2">
        <f t="shared" si="0"/>
        <v>0</v>
      </c>
      <c r="E10" s="18">
        <v>10</v>
      </c>
      <c r="F10" s="2"/>
      <c r="G10" s="2"/>
      <c r="H10" s="2"/>
      <c r="I10" s="2"/>
      <c r="J10" s="2"/>
      <c r="K10" s="19" t="s">
        <v>107</v>
      </c>
      <c r="L10" s="107" t="s">
        <v>1632</v>
      </c>
    </row>
    <row r="11" spans="1:12" ht="30" x14ac:dyDescent="0.25">
      <c r="A11" s="17">
        <v>44845</v>
      </c>
      <c r="B11" s="18">
        <v>10</v>
      </c>
      <c r="C11" s="18">
        <v>0</v>
      </c>
      <c r="D11" s="2">
        <f t="shared" si="0"/>
        <v>10</v>
      </c>
      <c r="E11" s="18"/>
      <c r="F11" s="2"/>
      <c r="G11" s="2"/>
      <c r="H11" s="2"/>
      <c r="I11" s="2"/>
      <c r="J11" s="2"/>
      <c r="K11" s="19" t="s">
        <v>1634</v>
      </c>
      <c r="L11" s="106" t="s">
        <v>1633</v>
      </c>
    </row>
    <row r="12" spans="1:12" ht="30" x14ac:dyDescent="0.25">
      <c r="A12" s="17">
        <v>44847</v>
      </c>
      <c r="B12" s="18">
        <v>0</v>
      </c>
      <c r="C12" s="18">
        <v>17</v>
      </c>
      <c r="D12" s="2">
        <f t="shared" si="0"/>
        <v>-17</v>
      </c>
      <c r="E12" s="18"/>
      <c r="F12" s="2"/>
      <c r="G12" s="2"/>
      <c r="H12" s="2"/>
      <c r="I12" s="2"/>
      <c r="J12" s="2"/>
      <c r="K12" s="19" t="s">
        <v>1635</v>
      </c>
      <c r="L12" s="106" t="s">
        <v>1628</v>
      </c>
    </row>
    <row r="13" spans="1:12" ht="30" x14ac:dyDescent="0.25">
      <c r="A13" s="17">
        <v>44848</v>
      </c>
      <c r="B13" s="18">
        <v>0</v>
      </c>
      <c r="C13" s="18">
        <v>0</v>
      </c>
      <c r="D13" s="2">
        <f t="shared" si="0"/>
        <v>0</v>
      </c>
      <c r="E13" s="18">
        <v>10</v>
      </c>
      <c r="F13" s="2"/>
      <c r="G13" s="2"/>
      <c r="H13" s="2"/>
      <c r="I13" s="2"/>
      <c r="J13" s="2"/>
      <c r="K13" s="19" t="s">
        <v>107</v>
      </c>
      <c r="L13" s="107" t="s">
        <v>1636</v>
      </c>
    </row>
    <row r="14" spans="1:12" ht="30" x14ac:dyDescent="0.25">
      <c r="A14" s="17">
        <v>44851</v>
      </c>
      <c r="B14" s="18">
        <v>10</v>
      </c>
      <c r="C14" s="18">
        <v>0</v>
      </c>
      <c r="D14" s="2">
        <f t="shared" si="0"/>
        <v>10</v>
      </c>
      <c r="E14" s="18"/>
      <c r="F14" s="2"/>
      <c r="G14" s="2"/>
      <c r="H14" s="2"/>
      <c r="I14" s="2"/>
      <c r="J14" s="2"/>
      <c r="K14" s="19" t="s">
        <v>1638</v>
      </c>
      <c r="L14" s="106" t="s">
        <v>1637</v>
      </c>
    </row>
    <row r="15" spans="1:12" ht="30" x14ac:dyDescent="0.25">
      <c r="A15" s="17">
        <v>44852</v>
      </c>
      <c r="B15" s="18">
        <v>15</v>
      </c>
      <c r="C15" s="18">
        <v>0</v>
      </c>
      <c r="D15" s="2">
        <f t="shared" si="0"/>
        <v>15</v>
      </c>
      <c r="E15" s="18"/>
      <c r="F15" s="2"/>
      <c r="G15" s="2"/>
      <c r="H15" s="2"/>
      <c r="I15" s="2"/>
      <c r="J15" s="2"/>
      <c r="K15" s="19" t="s">
        <v>1639</v>
      </c>
      <c r="L15" s="107" t="s">
        <v>1640</v>
      </c>
    </row>
    <row r="16" spans="1:12" x14ac:dyDescent="0.25">
      <c r="A16" s="17">
        <v>44853</v>
      </c>
      <c r="B16" s="18">
        <v>0</v>
      </c>
      <c r="C16" s="18">
        <v>1</v>
      </c>
      <c r="D16" s="2">
        <f t="shared" si="0"/>
        <v>-1</v>
      </c>
      <c r="E16" s="18"/>
      <c r="F16" s="2"/>
      <c r="G16" s="2"/>
      <c r="H16" s="2"/>
      <c r="I16" s="2"/>
      <c r="J16" s="2"/>
      <c r="K16" s="19">
        <v>582123</v>
      </c>
      <c r="L16" s="106" t="s">
        <v>1641</v>
      </c>
    </row>
    <row r="17" spans="1:12" ht="30" x14ac:dyDescent="0.25">
      <c r="A17" s="17">
        <v>44854</v>
      </c>
      <c r="B17" s="18">
        <v>0</v>
      </c>
      <c r="C17" s="18">
        <v>17</v>
      </c>
      <c r="D17" s="2">
        <f t="shared" si="0"/>
        <v>-17</v>
      </c>
      <c r="E17" s="18"/>
      <c r="F17" s="2"/>
      <c r="G17" s="2"/>
      <c r="H17" s="2"/>
      <c r="I17" s="2"/>
      <c r="J17" s="2"/>
      <c r="K17" s="19" t="s">
        <v>1642</v>
      </c>
      <c r="L17" s="106" t="s">
        <v>1643</v>
      </c>
    </row>
    <row r="18" spans="1:12" x14ac:dyDescent="0.25">
      <c r="A18" s="17">
        <v>44854</v>
      </c>
      <c r="B18" s="18">
        <v>8</v>
      </c>
      <c r="C18" s="18">
        <v>0</v>
      </c>
      <c r="D18" s="2">
        <f t="shared" si="0"/>
        <v>8</v>
      </c>
      <c r="E18" s="18"/>
      <c r="F18" s="2"/>
      <c r="G18" s="2"/>
      <c r="H18" s="2"/>
      <c r="I18" s="2"/>
      <c r="J18" s="2"/>
      <c r="K18" s="19" t="s">
        <v>1644</v>
      </c>
      <c r="L18" s="106"/>
    </row>
    <row r="19" spans="1:12" x14ac:dyDescent="0.25">
      <c r="A19" s="17">
        <v>44858</v>
      </c>
      <c r="B19" s="18">
        <v>0</v>
      </c>
      <c r="C19" s="18">
        <v>3</v>
      </c>
      <c r="D19" s="2">
        <f t="shared" si="0"/>
        <v>-3</v>
      </c>
      <c r="E19" s="18"/>
      <c r="F19" s="2"/>
      <c r="G19" s="2"/>
      <c r="H19" s="2"/>
      <c r="I19" s="2"/>
      <c r="J19" s="2"/>
      <c r="K19" s="19" t="s">
        <v>1645</v>
      </c>
      <c r="L19" s="106" t="s">
        <v>1658</v>
      </c>
    </row>
    <row r="20" spans="1:12" ht="30" x14ac:dyDescent="0.25">
      <c r="A20" s="17">
        <v>44858</v>
      </c>
      <c r="B20" s="18">
        <v>0</v>
      </c>
      <c r="C20" s="18">
        <v>0</v>
      </c>
      <c r="D20" s="2">
        <f t="shared" si="0"/>
        <v>0</v>
      </c>
      <c r="E20" s="18">
        <v>38</v>
      </c>
      <c r="F20" s="2"/>
      <c r="G20" s="2"/>
      <c r="H20" s="2"/>
      <c r="I20" s="2"/>
      <c r="J20" s="2"/>
      <c r="K20" s="19" t="s">
        <v>107</v>
      </c>
      <c r="L20" s="107" t="s">
        <v>1650</v>
      </c>
    </row>
    <row r="21" spans="1:12" x14ac:dyDescent="0.25">
      <c r="A21" s="21">
        <v>44859</v>
      </c>
      <c r="B21" s="22">
        <v>0</v>
      </c>
      <c r="C21" s="22">
        <v>8</v>
      </c>
      <c r="D21" s="2">
        <f t="shared" si="0"/>
        <v>-8</v>
      </c>
      <c r="E21" s="22"/>
      <c r="F21" s="23"/>
      <c r="G21" s="23"/>
      <c r="H21" s="23"/>
      <c r="I21" s="23"/>
      <c r="J21" s="23"/>
      <c r="K21" s="25" t="s">
        <v>1644</v>
      </c>
      <c r="L21" s="106" t="s">
        <v>1646</v>
      </c>
    </row>
    <row r="22" spans="1:12" ht="30" x14ac:dyDescent="0.25">
      <c r="A22" s="17">
        <v>44859</v>
      </c>
      <c r="B22" s="18">
        <v>8</v>
      </c>
      <c r="C22" s="18">
        <v>0</v>
      </c>
      <c r="D22" s="2">
        <f t="shared" si="0"/>
        <v>8</v>
      </c>
      <c r="E22" s="18">
        <v>8</v>
      </c>
      <c r="F22" s="2"/>
      <c r="G22" s="2"/>
      <c r="H22" s="2"/>
      <c r="I22" s="2"/>
      <c r="J22" s="2"/>
      <c r="K22" s="19" t="s">
        <v>1647</v>
      </c>
      <c r="L22" s="106" t="s">
        <v>1648</v>
      </c>
    </row>
    <row r="23" spans="1:12" ht="75" x14ac:dyDescent="0.25">
      <c r="A23" s="17">
        <v>44859</v>
      </c>
      <c r="B23" s="18">
        <v>38</v>
      </c>
      <c r="C23" s="18">
        <v>0</v>
      </c>
      <c r="D23" s="2">
        <f t="shared" si="0"/>
        <v>38</v>
      </c>
      <c r="E23" s="18"/>
      <c r="F23" s="2"/>
      <c r="G23" s="2"/>
      <c r="H23" s="2"/>
      <c r="I23" s="2"/>
      <c r="J23" s="2"/>
      <c r="K23" s="49" t="s">
        <v>1649</v>
      </c>
      <c r="L23" s="106" t="s">
        <v>1651</v>
      </c>
    </row>
    <row r="24" spans="1:12" ht="30" x14ac:dyDescent="0.25">
      <c r="A24" s="17">
        <v>44860</v>
      </c>
      <c r="B24" s="18">
        <v>0</v>
      </c>
      <c r="C24" s="18">
        <v>0</v>
      </c>
      <c r="D24" s="2">
        <f t="shared" si="0"/>
        <v>0</v>
      </c>
      <c r="E24" s="18">
        <v>21</v>
      </c>
      <c r="F24" s="2"/>
      <c r="G24" s="2"/>
      <c r="H24" s="2"/>
      <c r="I24" s="2"/>
      <c r="J24" s="2"/>
      <c r="K24" s="19" t="s">
        <v>107</v>
      </c>
      <c r="L24" s="107" t="s">
        <v>1652</v>
      </c>
    </row>
    <row r="25" spans="1:12" ht="45" x14ac:dyDescent="0.25">
      <c r="A25" s="17">
        <v>44860</v>
      </c>
      <c r="B25" s="18">
        <v>21</v>
      </c>
      <c r="C25" s="18">
        <v>0</v>
      </c>
      <c r="D25" s="2">
        <f t="shared" si="0"/>
        <v>21</v>
      </c>
      <c r="E25" s="18"/>
      <c r="F25" s="2"/>
      <c r="G25" s="2"/>
      <c r="H25" s="2"/>
      <c r="I25" s="2"/>
      <c r="J25" s="2"/>
      <c r="K25" s="19" t="s">
        <v>1654</v>
      </c>
      <c r="L25" s="106" t="s">
        <v>1653</v>
      </c>
    </row>
    <row r="26" spans="1:12" ht="30" x14ac:dyDescent="0.25">
      <c r="A26" s="17">
        <v>44860</v>
      </c>
      <c r="B26" s="18">
        <v>9</v>
      </c>
      <c r="C26" s="18">
        <v>9</v>
      </c>
      <c r="D26" s="2">
        <f t="shared" si="0"/>
        <v>0</v>
      </c>
      <c r="E26" s="18">
        <v>9</v>
      </c>
      <c r="F26" s="2"/>
      <c r="G26" s="2"/>
      <c r="H26" s="2"/>
      <c r="I26" s="2"/>
      <c r="J26" s="2"/>
      <c r="K26" s="19" t="s">
        <v>1655</v>
      </c>
      <c r="L26" s="106"/>
    </row>
    <row r="27" spans="1:12" ht="30" x14ac:dyDescent="0.25">
      <c r="A27" s="17">
        <v>44861</v>
      </c>
      <c r="B27" s="18">
        <v>0</v>
      </c>
      <c r="C27" s="18">
        <v>18</v>
      </c>
      <c r="D27" s="2">
        <f t="shared" si="0"/>
        <v>-18</v>
      </c>
      <c r="E27" s="18"/>
      <c r="F27" s="2"/>
      <c r="G27" s="2"/>
      <c r="H27" s="2"/>
      <c r="I27" s="2"/>
      <c r="J27" s="2"/>
      <c r="K27" s="19" t="s">
        <v>1656</v>
      </c>
      <c r="L27" s="106" t="s">
        <v>1657</v>
      </c>
    </row>
    <row r="28" spans="1:12" ht="30" x14ac:dyDescent="0.25">
      <c r="A28" s="17">
        <v>44861</v>
      </c>
      <c r="B28" s="18">
        <v>0</v>
      </c>
      <c r="C28" s="18">
        <v>5</v>
      </c>
      <c r="D28" s="2">
        <f t="shared" si="0"/>
        <v>-5</v>
      </c>
      <c r="E28" s="18"/>
      <c r="F28" s="2"/>
      <c r="G28" s="2"/>
      <c r="H28" s="2"/>
      <c r="I28" s="2"/>
      <c r="J28" s="2"/>
      <c r="K28" s="19" t="s">
        <v>1659</v>
      </c>
      <c r="L28" s="107" t="s">
        <v>1660</v>
      </c>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IijSYuoCuuGHbyEnNkM015fQM3MLVvjE/MbzVhQcOp/41XAk9BEYnx+nGeJoUmVhDrhNQhgOZeWMndjKsCZUpQ==" saltValue="00V+5WK89eXRjTySxGJ3MQ==" spinCount="100000" sheet="1" objects="1" scenarios="1" selectLockedCells="1" selectUnlockedCells="1"/>
  <customSheetViews>
    <customSheetView guid="{E5A7B818-645B-417C-A128-9FE559D9B124}" fitToPage="1">
      <pane ySplit="6" topLeftCell="A19" activePane="bottomLeft" state="frozen"/>
      <selection pane="bottomLeft" activeCell="K24" sqref="K24:L24"/>
      <pageMargins left="0.70866141732283472" right="0.70866141732283472" top="0.78740157480314965" bottom="0.78740157480314965" header="0.31496062992125984" footer="0.31496062992125984"/>
      <printOptions horizontalCentered="1" verticalCentered="1"/>
      <pageSetup paperSize="9" scale="62" orientation="landscape" r:id="rId1"/>
      <headerFooter>
        <oddFooter>&amp;C&amp;D / &amp;T&amp;RSeite &amp;P von &amp;N</oddFooter>
      </headerFooter>
    </customSheetView>
  </customSheetViews>
  <conditionalFormatting sqref="K2">
    <cfRule type="cellIs" dxfId="93" priority="1" operator="lessThan">
      <formula>0</formula>
    </cfRule>
    <cfRule type="cellIs" dxfId="9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2" orientation="landscape" r:id="rId2"/>
  <headerFooter>
    <oddFooter>&amp;C&amp;D / &amp;T&amp;RSeite &amp;P von &amp;N</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L44"/>
  <sheetViews>
    <sheetView workbookViewId="0">
      <pane ySplit="6" topLeftCell="A28" activePane="bottomLeft" state="frozen"/>
      <selection pane="bottomLeft" activeCell="K33" sqref="K33:L33"/>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f>288+132+36+36+102+12+12+24</f>
        <v>642</v>
      </c>
      <c r="L1" s="27"/>
    </row>
    <row r="2" spans="1:12" ht="19.5" thickBot="1" x14ac:dyDescent="0.35">
      <c r="A2" s="5"/>
      <c r="B2" s="2"/>
      <c r="C2" s="2"/>
      <c r="D2" s="2"/>
      <c r="E2" s="2"/>
      <c r="F2" s="6" t="s">
        <v>1</v>
      </c>
      <c r="G2" s="2"/>
      <c r="H2" s="2"/>
      <c r="I2" s="2"/>
      <c r="J2" s="41" t="s">
        <v>38</v>
      </c>
      <c r="K2" s="111">
        <f>K1-F6</f>
        <v>-84</v>
      </c>
      <c r="L2" s="27"/>
    </row>
    <row r="3" spans="1:12" ht="15.75" thickBot="1" x14ac:dyDescent="0.3">
      <c r="A3" s="5"/>
      <c r="B3" s="2"/>
      <c r="C3" s="2"/>
      <c r="D3" s="2"/>
      <c r="E3" s="2"/>
      <c r="F3" s="2">
        <f>'10.22'!F6</f>
        <v>719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726</v>
      </c>
      <c r="G6" s="30">
        <f>SUM(B:B)</f>
        <v>149</v>
      </c>
      <c r="H6" s="30">
        <f>SUM(C:C)</f>
        <v>142</v>
      </c>
      <c r="I6" s="30"/>
      <c r="J6" s="33">
        <f>SUM(G6:H6)+SUM(E:E)</f>
        <v>447</v>
      </c>
      <c r="K6" s="112"/>
      <c r="L6" s="50">
        <f>J6/K1</f>
        <v>0.69626168224299068</v>
      </c>
    </row>
    <row r="7" spans="1:12" ht="45" x14ac:dyDescent="0.25">
      <c r="A7" s="17">
        <v>44868</v>
      </c>
      <c r="B7" s="18">
        <v>0</v>
      </c>
      <c r="C7" s="18">
        <v>19</v>
      </c>
      <c r="D7" s="2">
        <f t="shared" ref="D7:D44" si="0">B7-C7</f>
        <v>-19</v>
      </c>
      <c r="E7" s="18"/>
      <c r="F7" s="2"/>
      <c r="G7" s="2"/>
      <c r="H7" s="2"/>
      <c r="I7" s="2"/>
      <c r="J7" s="2"/>
      <c r="K7" s="19" t="s">
        <v>1661</v>
      </c>
      <c r="L7" s="106" t="s">
        <v>1662</v>
      </c>
    </row>
    <row r="8" spans="1:12" x14ac:dyDescent="0.25">
      <c r="A8" s="17">
        <v>44872</v>
      </c>
      <c r="B8" s="18">
        <v>0</v>
      </c>
      <c r="C8" s="18">
        <v>3</v>
      </c>
      <c r="D8" s="2">
        <f t="shared" si="0"/>
        <v>-3</v>
      </c>
      <c r="E8" s="18"/>
      <c r="F8" s="2"/>
      <c r="G8" s="2"/>
      <c r="H8" s="2"/>
      <c r="I8" s="2"/>
      <c r="J8" s="2"/>
      <c r="K8" s="19" t="s">
        <v>1663</v>
      </c>
      <c r="L8" s="106" t="s">
        <v>1664</v>
      </c>
    </row>
    <row r="9" spans="1:12" x14ac:dyDescent="0.25">
      <c r="A9" s="17">
        <v>44873</v>
      </c>
      <c r="B9" s="18">
        <v>8</v>
      </c>
      <c r="C9" s="18">
        <v>0</v>
      </c>
      <c r="D9" s="2">
        <f t="shared" si="0"/>
        <v>8</v>
      </c>
      <c r="E9" s="18"/>
      <c r="F9" s="2"/>
      <c r="G9" s="2"/>
      <c r="H9" s="2"/>
      <c r="I9" s="2"/>
      <c r="J9" s="2"/>
      <c r="K9" s="19" t="s">
        <v>1666</v>
      </c>
      <c r="L9" s="106" t="s">
        <v>1665</v>
      </c>
    </row>
    <row r="10" spans="1:12" ht="45" x14ac:dyDescent="0.25">
      <c r="A10" s="17">
        <v>44875</v>
      </c>
      <c r="B10" s="18">
        <v>0</v>
      </c>
      <c r="C10" s="18">
        <f>15+11</f>
        <v>26</v>
      </c>
      <c r="D10" s="2">
        <f t="shared" si="0"/>
        <v>-26</v>
      </c>
      <c r="E10" s="18"/>
      <c r="F10" s="2"/>
      <c r="G10" s="2"/>
      <c r="H10" s="2"/>
      <c r="I10" s="2"/>
      <c r="J10" s="2"/>
      <c r="K10" s="19" t="s">
        <v>1668</v>
      </c>
      <c r="L10" s="106" t="s">
        <v>1667</v>
      </c>
    </row>
    <row r="11" spans="1:12" x14ac:dyDescent="0.25">
      <c r="A11" s="17">
        <v>44876</v>
      </c>
      <c r="B11" s="18">
        <v>0</v>
      </c>
      <c r="C11" s="18">
        <v>1</v>
      </c>
      <c r="D11" s="2">
        <f t="shared" si="0"/>
        <v>-1</v>
      </c>
      <c r="E11" s="18"/>
      <c r="F11" s="2"/>
      <c r="G11" s="2"/>
      <c r="H11" s="2"/>
      <c r="I11" s="2"/>
      <c r="J11" s="2"/>
      <c r="K11" s="19" t="s">
        <v>1669</v>
      </c>
      <c r="L11" s="106" t="s">
        <v>1670</v>
      </c>
    </row>
    <row r="12" spans="1:12" ht="30" x14ac:dyDescent="0.25">
      <c r="A12" s="17">
        <v>44879</v>
      </c>
      <c r="B12" s="18">
        <v>0</v>
      </c>
      <c r="C12" s="18">
        <v>0</v>
      </c>
      <c r="D12" s="2">
        <f t="shared" si="0"/>
        <v>0</v>
      </c>
      <c r="E12" s="18">
        <v>10</v>
      </c>
      <c r="F12" s="2"/>
      <c r="G12" s="2"/>
      <c r="H12" s="2"/>
      <c r="I12" s="2"/>
      <c r="J12" s="2"/>
      <c r="K12" s="19" t="s">
        <v>107</v>
      </c>
      <c r="L12" s="107" t="s">
        <v>1671</v>
      </c>
    </row>
    <row r="13" spans="1:12" ht="45" x14ac:dyDescent="0.25">
      <c r="A13" s="17">
        <v>44879</v>
      </c>
      <c r="B13" s="18">
        <v>10</v>
      </c>
      <c r="C13" s="18">
        <v>10</v>
      </c>
      <c r="D13" s="2">
        <f t="shared" si="0"/>
        <v>0</v>
      </c>
      <c r="E13" s="18">
        <v>10</v>
      </c>
      <c r="F13" s="2"/>
      <c r="G13" s="2"/>
      <c r="H13" s="2"/>
      <c r="I13" s="2"/>
      <c r="J13" s="2"/>
      <c r="K13" s="19" t="s">
        <v>1673</v>
      </c>
    </row>
    <row r="14" spans="1:12" ht="30" x14ac:dyDescent="0.25">
      <c r="A14" s="17">
        <v>44879</v>
      </c>
      <c r="B14" s="18">
        <v>10</v>
      </c>
      <c r="C14" s="18">
        <v>0</v>
      </c>
      <c r="D14" s="2">
        <f t="shared" si="0"/>
        <v>10</v>
      </c>
      <c r="E14" s="18"/>
      <c r="F14" s="2"/>
      <c r="G14" s="2"/>
      <c r="H14" s="2"/>
      <c r="I14" s="2"/>
      <c r="J14" s="2"/>
      <c r="K14" s="19" t="s">
        <v>1674</v>
      </c>
      <c r="L14" s="66" t="s">
        <v>1672</v>
      </c>
    </row>
    <row r="15" spans="1:12" ht="60" x14ac:dyDescent="0.25">
      <c r="A15" s="17">
        <v>44882</v>
      </c>
      <c r="B15" s="18">
        <v>0</v>
      </c>
      <c r="C15" s="18">
        <v>28</v>
      </c>
      <c r="D15" s="2">
        <f t="shared" si="0"/>
        <v>-28</v>
      </c>
      <c r="E15" s="18"/>
      <c r="F15" s="2"/>
      <c r="G15" s="2"/>
      <c r="H15" s="2"/>
      <c r="I15" s="2"/>
      <c r="J15" s="2"/>
      <c r="K15" s="19" t="s">
        <v>1675</v>
      </c>
      <c r="L15" s="106" t="s">
        <v>1676</v>
      </c>
    </row>
    <row r="16" spans="1:12" ht="30" x14ac:dyDescent="0.25">
      <c r="A16" s="17">
        <v>44882</v>
      </c>
      <c r="B16" s="18">
        <v>0</v>
      </c>
      <c r="C16" s="18">
        <v>0</v>
      </c>
      <c r="D16" s="2">
        <f t="shared" si="0"/>
        <v>0</v>
      </c>
      <c r="E16" s="18">
        <v>7</v>
      </c>
      <c r="F16" s="2"/>
      <c r="G16" s="2"/>
      <c r="H16" s="2"/>
      <c r="I16" s="2"/>
      <c r="J16" s="2"/>
      <c r="K16" s="19" t="s">
        <v>107</v>
      </c>
      <c r="L16" s="107" t="s">
        <v>1678</v>
      </c>
    </row>
    <row r="17" spans="1:12" x14ac:dyDescent="0.25">
      <c r="A17" s="17">
        <v>44883</v>
      </c>
      <c r="B17" s="18">
        <v>7</v>
      </c>
      <c r="C17" s="18">
        <v>0</v>
      </c>
      <c r="D17" s="2">
        <f t="shared" si="0"/>
        <v>7</v>
      </c>
      <c r="E17" s="18"/>
      <c r="F17" s="2"/>
      <c r="G17" s="2"/>
      <c r="H17" s="2"/>
      <c r="I17" s="2"/>
      <c r="J17" s="2"/>
      <c r="K17" s="19" t="s">
        <v>1677</v>
      </c>
      <c r="L17" s="106" t="s">
        <v>1679</v>
      </c>
    </row>
    <row r="18" spans="1:12" ht="45" x14ac:dyDescent="0.25">
      <c r="A18" s="17">
        <v>44883</v>
      </c>
      <c r="B18" s="18">
        <v>0</v>
      </c>
      <c r="C18" s="18">
        <v>0</v>
      </c>
      <c r="D18" s="2">
        <f t="shared" si="0"/>
        <v>0</v>
      </c>
      <c r="E18" s="18">
        <v>66</v>
      </c>
      <c r="F18" s="2"/>
      <c r="G18" s="2"/>
      <c r="H18" s="2"/>
      <c r="I18" s="2"/>
      <c r="J18" s="2"/>
      <c r="K18" s="19" t="s">
        <v>1688</v>
      </c>
      <c r="L18" s="107" t="s">
        <v>1689</v>
      </c>
    </row>
    <row r="19" spans="1:12" ht="60" x14ac:dyDescent="0.25">
      <c r="A19" s="17">
        <v>44886</v>
      </c>
      <c r="B19" s="18">
        <v>33</v>
      </c>
      <c r="C19" s="18">
        <v>0</v>
      </c>
      <c r="D19" s="2">
        <f t="shared" si="0"/>
        <v>33</v>
      </c>
      <c r="E19" s="18"/>
      <c r="F19" s="2"/>
      <c r="G19" s="2"/>
      <c r="H19" s="2"/>
      <c r="I19" s="2"/>
      <c r="J19" s="2"/>
      <c r="K19" s="19" t="s">
        <v>1686</v>
      </c>
      <c r="L19" s="66" t="s">
        <v>1680</v>
      </c>
    </row>
    <row r="20" spans="1:12" ht="30" x14ac:dyDescent="0.25">
      <c r="A20" s="17">
        <v>44886</v>
      </c>
      <c r="B20" s="18">
        <v>0</v>
      </c>
      <c r="C20" s="18">
        <v>18</v>
      </c>
      <c r="D20" s="2">
        <f t="shared" si="0"/>
        <v>-18</v>
      </c>
      <c r="E20" s="18"/>
      <c r="F20" s="2"/>
      <c r="G20" s="2"/>
      <c r="H20" s="2"/>
      <c r="I20" s="2"/>
      <c r="J20" s="2"/>
      <c r="K20" s="19" t="s">
        <v>1681</v>
      </c>
      <c r="L20" s="106" t="s">
        <v>1682</v>
      </c>
    </row>
    <row r="21" spans="1:12" ht="30" x14ac:dyDescent="0.25">
      <c r="A21" s="21">
        <v>44886</v>
      </c>
      <c r="B21" s="22">
        <v>0</v>
      </c>
      <c r="C21" s="22">
        <v>0</v>
      </c>
      <c r="D21" s="2">
        <f t="shared" si="0"/>
        <v>0</v>
      </c>
      <c r="E21" s="22">
        <v>16</v>
      </c>
      <c r="F21" s="23"/>
      <c r="G21" s="23"/>
      <c r="H21" s="23"/>
      <c r="I21" s="23"/>
      <c r="J21" s="23"/>
      <c r="K21" s="19" t="s">
        <v>107</v>
      </c>
      <c r="L21" s="107" t="s">
        <v>1683</v>
      </c>
    </row>
    <row r="22" spans="1:12" ht="30" x14ac:dyDescent="0.25">
      <c r="A22" s="17">
        <v>44886</v>
      </c>
      <c r="B22" s="18">
        <v>16</v>
      </c>
      <c r="C22" s="18">
        <v>0</v>
      </c>
      <c r="D22" s="2">
        <f t="shared" si="0"/>
        <v>16</v>
      </c>
      <c r="E22" s="18"/>
      <c r="F22" s="2"/>
      <c r="G22" s="2"/>
      <c r="H22" s="2"/>
      <c r="I22" s="2"/>
      <c r="J22" s="2"/>
      <c r="K22" s="19" t="s">
        <v>1685</v>
      </c>
      <c r="L22" s="66" t="s">
        <v>1684</v>
      </c>
    </row>
    <row r="23" spans="1:12" ht="30" x14ac:dyDescent="0.25">
      <c r="A23" s="17">
        <v>44886</v>
      </c>
      <c r="B23" s="18">
        <v>3</v>
      </c>
      <c r="C23" s="18">
        <v>3</v>
      </c>
      <c r="D23" s="2">
        <f t="shared" si="0"/>
        <v>0</v>
      </c>
      <c r="E23" s="18">
        <v>3</v>
      </c>
      <c r="F23" s="2"/>
      <c r="G23" s="2"/>
      <c r="H23" s="2"/>
      <c r="I23" s="2"/>
      <c r="J23" s="2"/>
      <c r="K23" s="49" t="s">
        <v>1687</v>
      </c>
      <c r="L23" s="106"/>
    </row>
    <row r="24" spans="1:12" ht="30" x14ac:dyDescent="0.25">
      <c r="A24" s="17">
        <v>44888</v>
      </c>
      <c r="B24" s="18">
        <v>0</v>
      </c>
      <c r="C24" s="18">
        <v>0</v>
      </c>
      <c r="D24" s="2">
        <f>B24-C24</f>
        <v>0</v>
      </c>
      <c r="E24" s="18">
        <v>17</v>
      </c>
      <c r="F24" s="2"/>
      <c r="G24" s="2"/>
      <c r="H24" s="2"/>
      <c r="I24" s="2"/>
      <c r="J24" s="2"/>
      <c r="K24" s="19" t="s">
        <v>107</v>
      </c>
      <c r="L24" s="107" t="s">
        <v>1690</v>
      </c>
    </row>
    <row r="25" spans="1:12" ht="30" x14ac:dyDescent="0.25">
      <c r="A25" s="17">
        <v>44888</v>
      </c>
      <c r="B25" s="18">
        <v>17</v>
      </c>
      <c r="C25" s="18">
        <v>0</v>
      </c>
      <c r="D25" s="2">
        <f t="shared" si="0"/>
        <v>17</v>
      </c>
      <c r="E25" s="18"/>
      <c r="F25" s="2"/>
      <c r="G25" s="2"/>
      <c r="H25" s="2"/>
      <c r="I25" s="2"/>
      <c r="J25" s="2"/>
      <c r="K25" s="19" t="s">
        <v>1692</v>
      </c>
      <c r="L25" s="66" t="s">
        <v>1691</v>
      </c>
    </row>
    <row r="26" spans="1:12" ht="30" x14ac:dyDescent="0.25">
      <c r="A26" s="17">
        <v>44888</v>
      </c>
      <c r="B26" s="18">
        <v>18</v>
      </c>
      <c r="C26" s="18">
        <v>0</v>
      </c>
      <c r="D26" s="2">
        <f t="shared" si="0"/>
        <v>18</v>
      </c>
      <c r="E26" s="18"/>
      <c r="F26" s="2"/>
      <c r="G26" s="2"/>
      <c r="H26" s="2"/>
      <c r="I26" s="2"/>
      <c r="J26" s="2"/>
      <c r="K26" s="19" t="s">
        <v>1693</v>
      </c>
      <c r="L26" s="107" t="s">
        <v>1694</v>
      </c>
    </row>
    <row r="27" spans="1:12" ht="45" x14ac:dyDescent="0.25">
      <c r="A27" s="17">
        <v>44889</v>
      </c>
      <c r="B27" s="18">
        <v>0</v>
      </c>
      <c r="C27" s="18">
        <v>23</v>
      </c>
      <c r="D27" s="2">
        <f t="shared" si="0"/>
        <v>-23</v>
      </c>
      <c r="E27" s="18"/>
      <c r="F27" s="2"/>
      <c r="G27" s="2"/>
      <c r="H27" s="2"/>
      <c r="I27" s="2"/>
      <c r="J27" s="2"/>
      <c r="K27" s="19" t="s">
        <v>1696</v>
      </c>
      <c r="L27" s="66" t="s">
        <v>1695</v>
      </c>
    </row>
    <row r="28" spans="1:12" ht="30" x14ac:dyDescent="0.25">
      <c r="A28" s="17">
        <v>44893</v>
      </c>
      <c r="B28" s="18">
        <v>0</v>
      </c>
      <c r="C28" s="18">
        <v>0</v>
      </c>
      <c r="D28" s="2">
        <f t="shared" si="0"/>
        <v>0</v>
      </c>
      <c r="E28" s="18">
        <v>8</v>
      </c>
      <c r="F28" s="2"/>
      <c r="G28" s="2"/>
      <c r="H28" s="2"/>
      <c r="I28" s="2"/>
      <c r="J28" s="2"/>
      <c r="K28" s="19" t="s">
        <v>107</v>
      </c>
      <c r="L28" s="107" t="s">
        <v>1697</v>
      </c>
    </row>
    <row r="29" spans="1:12" ht="30" x14ac:dyDescent="0.25">
      <c r="A29" s="17">
        <v>44894</v>
      </c>
      <c r="B29" s="18">
        <v>8</v>
      </c>
      <c r="C29" s="18">
        <v>8</v>
      </c>
      <c r="D29" s="2">
        <f t="shared" si="0"/>
        <v>0</v>
      </c>
      <c r="E29" s="18">
        <v>8</v>
      </c>
      <c r="F29" s="2"/>
      <c r="G29" s="2"/>
      <c r="H29" s="2"/>
      <c r="I29" s="2"/>
      <c r="J29" s="2"/>
      <c r="K29" s="49" t="s">
        <v>1700</v>
      </c>
    </row>
    <row r="30" spans="1:12" x14ac:dyDescent="0.25">
      <c r="A30" s="17">
        <v>44894</v>
      </c>
      <c r="B30" s="18">
        <v>8</v>
      </c>
      <c r="C30" s="18">
        <v>0</v>
      </c>
      <c r="D30" s="2">
        <f t="shared" si="0"/>
        <v>8</v>
      </c>
      <c r="E30" s="18"/>
      <c r="F30" s="2"/>
      <c r="G30" s="2"/>
      <c r="H30" s="2"/>
      <c r="I30" s="2"/>
      <c r="J30" s="2"/>
      <c r="K30" s="19" t="s">
        <v>1699</v>
      </c>
      <c r="L30" s="66" t="s">
        <v>1698</v>
      </c>
    </row>
    <row r="31" spans="1:12" x14ac:dyDescent="0.25">
      <c r="A31" s="17">
        <v>44894</v>
      </c>
      <c r="B31" s="18">
        <v>1</v>
      </c>
      <c r="C31" s="18">
        <v>1</v>
      </c>
      <c r="D31" s="2">
        <f t="shared" si="0"/>
        <v>0</v>
      </c>
      <c r="E31" s="18">
        <v>1</v>
      </c>
      <c r="F31" s="2"/>
      <c r="G31" s="2"/>
      <c r="H31" s="2"/>
      <c r="I31" s="2"/>
      <c r="J31" s="2"/>
      <c r="K31" s="19" t="s">
        <v>1701</v>
      </c>
    </row>
    <row r="32" spans="1:12" x14ac:dyDescent="0.25">
      <c r="A32" s="17">
        <v>44895</v>
      </c>
      <c r="B32" s="18">
        <v>0</v>
      </c>
      <c r="C32" s="18">
        <v>2</v>
      </c>
      <c r="D32" s="2">
        <f t="shared" si="0"/>
        <v>-2</v>
      </c>
      <c r="E32" s="18"/>
      <c r="F32" s="2"/>
      <c r="G32" s="2"/>
      <c r="H32" s="2"/>
      <c r="I32" s="2"/>
      <c r="J32" s="2"/>
      <c r="K32" s="19" t="s">
        <v>1702</v>
      </c>
      <c r="L32" s="66" t="s">
        <v>1695</v>
      </c>
    </row>
    <row r="33" spans="1:12" ht="30" x14ac:dyDescent="0.25">
      <c r="A33" s="17">
        <v>44895</v>
      </c>
      <c r="B33" s="18">
        <v>0</v>
      </c>
      <c r="C33" s="18">
        <v>0</v>
      </c>
      <c r="D33" s="2">
        <f t="shared" si="0"/>
        <v>0</v>
      </c>
      <c r="E33" s="18">
        <v>10</v>
      </c>
      <c r="F33" s="2"/>
      <c r="G33" s="2"/>
      <c r="H33" s="2"/>
      <c r="I33" s="2"/>
      <c r="J33" s="2"/>
      <c r="K33" s="19" t="s">
        <v>107</v>
      </c>
      <c r="L33" s="107" t="s">
        <v>1703</v>
      </c>
    </row>
    <row r="34" spans="1:12" ht="30" x14ac:dyDescent="0.25">
      <c r="A34" s="17">
        <v>44895</v>
      </c>
      <c r="B34" s="18">
        <v>10</v>
      </c>
      <c r="C34" s="18">
        <v>0</v>
      </c>
      <c r="D34" s="2">
        <f t="shared" si="0"/>
        <v>10</v>
      </c>
      <c r="E34" s="18"/>
      <c r="F34" s="2"/>
      <c r="G34" s="2"/>
      <c r="H34" s="2"/>
      <c r="I34" s="2"/>
      <c r="J34" s="2"/>
      <c r="K34" s="25" t="s">
        <v>1706</v>
      </c>
    </row>
    <row r="35" spans="1:12" x14ac:dyDescent="0.25">
      <c r="A35" s="17"/>
      <c r="B35" s="18"/>
      <c r="C35" s="18"/>
      <c r="D35" s="2">
        <f t="shared" si="0"/>
        <v>0</v>
      </c>
      <c r="E35" s="18"/>
      <c r="F35" s="2"/>
      <c r="G35" s="2"/>
      <c r="H35" s="2"/>
      <c r="I35" s="2"/>
      <c r="J35" s="2"/>
      <c r="K35" s="19"/>
    </row>
    <row r="36" spans="1:12" x14ac:dyDescent="0.25">
      <c r="A36" s="17"/>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row>
  </sheetData>
  <sheetProtection algorithmName="SHA-512" hashValue="6y7ftdnmdvnHy3A2Ve9EzqkKjzGEUHBvijDoB8Ya2wVPx4wJbF386oJhsKggNjZABaPMQvv2Y1IjiGaXgJvj0A==" saltValue="M+2y4bDjO1Q0JMOKZXiRwg==" spinCount="100000" sheet="1" objects="1" scenarios="1" selectLockedCells="1" selectUnlockedCells="1"/>
  <customSheetViews>
    <customSheetView guid="{E5A7B818-645B-417C-A128-9FE559D9B124}" fitToPage="1">
      <pane ySplit="6" topLeftCell="A28" activePane="bottomLeft" state="frozen"/>
      <selection pane="bottomLeft" activeCell="K33" sqref="K33:L33"/>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91" priority="1" operator="lessThan">
      <formula>0</formula>
    </cfRule>
    <cfRule type="cellIs" dxfId="9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L44"/>
  <sheetViews>
    <sheetView workbookViewId="0">
      <pane ySplit="6" topLeftCell="A16" activePane="bottomLeft" state="frozen"/>
      <selection pane="bottomLeft" activeCell="K9" sqref="K9:L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f>288+132+36+36+102+12+12+24</f>
        <v>642</v>
      </c>
      <c r="L1" s="27"/>
    </row>
    <row r="2" spans="1:12" ht="19.5" thickBot="1" x14ac:dyDescent="0.35">
      <c r="A2" s="5"/>
      <c r="B2" s="2"/>
      <c r="C2" s="2"/>
      <c r="D2" s="2"/>
      <c r="E2" s="2"/>
      <c r="F2" s="6" t="s">
        <v>1</v>
      </c>
      <c r="G2" s="2"/>
      <c r="H2" s="2"/>
      <c r="I2" s="2"/>
      <c r="J2" s="41" t="s">
        <v>38</v>
      </c>
      <c r="K2" s="111">
        <f>K1-F6</f>
        <v>-87</v>
      </c>
      <c r="L2" s="27"/>
    </row>
    <row r="3" spans="1:12" ht="15.75" thickBot="1" x14ac:dyDescent="0.3">
      <c r="A3" s="5"/>
      <c r="B3" s="2"/>
      <c r="C3" s="2"/>
      <c r="D3" s="2"/>
      <c r="E3" s="2"/>
      <c r="F3" s="2">
        <f>'11.22'!F6</f>
        <v>726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729</v>
      </c>
      <c r="G6" s="30">
        <f>SUM(B:B)</f>
        <v>123</v>
      </c>
      <c r="H6" s="30">
        <f>SUM(C:C)</f>
        <v>120</v>
      </c>
      <c r="I6" s="30"/>
      <c r="J6" s="33">
        <f>SUM(G6:H6)+SUM(E:E)</f>
        <v>648</v>
      </c>
      <c r="K6" s="112"/>
      <c r="L6" s="50">
        <f>J6/K1</f>
        <v>1.0093457943925233</v>
      </c>
    </row>
    <row r="7" spans="1:12" ht="30" x14ac:dyDescent="0.25">
      <c r="A7" s="17">
        <v>44896</v>
      </c>
      <c r="B7" s="18">
        <v>0</v>
      </c>
      <c r="C7" s="18">
        <v>17</v>
      </c>
      <c r="D7" s="2">
        <f t="shared" ref="D7:D44" si="0">B7-C7</f>
        <v>-17</v>
      </c>
      <c r="E7" s="18"/>
      <c r="F7" s="2"/>
      <c r="G7" s="2"/>
      <c r="H7" s="2"/>
      <c r="I7" s="2"/>
      <c r="J7" s="2"/>
      <c r="K7" s="19" t="s">
        <v>1704</v>
      </c>
      <c r="L7" s="106" t="s">
        <v>1705</v>
      </c>
    </row>
    <row r="8" spans="1:12" ht="30" x14ac:dyDescent="0.25">
      <c r="A8" s="17">
        <v>44903</v>
      </c>
      <c r="B8" s="18">
        <v>15</v>
      </c>
      <c r="C8" s="18">
        <v>0</v>
      </c>
      <c r="D8" s="2">
        <f t="shared" si="0"/>
        <v>15</v>
      </c>
      <c r="E8" s="18"/>
      <c r="F8" s="2"/>
      <c r="G8" s="2"/>
      <c r="H8" s="2"/>
      <c r="I8" s="2"/>
      <c r="J8" s="2"/>
      <c r="K8" s="19" t="s">
        <v>1707</v>
      </c>
      <c r="L8" s="106" t="s">
        <v>1708</v>
      </c>
    </row>
    <row r="9" spans="1:12" ht="30" x14ac:dyDescent="0.25">
      <c r="A9" s="17">
        <v>44903</v>
      </c>
      <c r="B9" s="18">
        <v>0</v>
      </c>
      <c r="C9" s="18">
        <v>0</v>
      </c>
      <c r="D9" s="2">
        <f t="shared" si="0"/>
        <v>0</v>
      </c>
      <c r="E9" s="18">
        <v>308</v>
      </c>
      <c r="F9" s="2"/>
      <c r="G9" s="2"/>
      <c r="H9" s="2"/>
      <c r="I9" s="2"/>
      <c r="J9" s="2"/>
      <c r="K9" s="19" t="s">
        <v>1710</v>
      </c>
      <c r="L9" s="66" t="s">
        <v>1709</v>
      </c>
    </row>
    <row r="10" spans="1:12" ht="30" x14ac:dyDescent="0.25">
      <c r="A10" s="17">
        <v>44907</v>
      </c>
      <c r="B10" s="18">
        <v>0</v>
      </c>
      <c r="C10" s="18">
        <v>0</v>
      </c>
      <c r="D10" s="2">
        <f t="shared" si="0"/>
        <v>0</v>
      </c>
      <c r="E10" s="18">
        <v>30</v>
      </c>
      <c r="F10" s="2"/>
      <c r="G10" s="2"/>
      <c r="H10" s="2"/>
      <c r="I10" s="2"/>
      <c r="J10" s="2"/>
      <c r="K10" s="19" t="s">
        <v>107</v>
      </c>
      <c r="L10" s="107" t="s">
        <v>1725</v>
      </c>
    </row>
    <row r="11" spans="1:12" ht="45" x14ac:dyDescent="0.25">
      <c r="A11" s="17">
        <v>44907</v>
      </c>
      <c r="B11" s="18">
        <v>0</v>
      </c>
      <c r="C11" s="18">
        <v>26</v>
      </c>
      <c r="D11" s="2">
        <f>B11-C11</f>
        <v>-26</v>
      </c>
      <c r="E11" s="18"/>
      <c r="F11" s="2"/>
      <c r="G11" s="2"/>
      <c r="H11" s="2"/>
      <c r="I11" s="2"/>
      <c r="J11" s="2"/>
      <c r="K11" s="19" t="s">
        <v>1712</v>
      </c>
      <c r="L11" s="106" t="s">
        <v>1718</v>
      </c>
    </row>
    <row r="12" spans="1:12" ht="60" x14ac:dyDescent="0.25">
      <c r="A12" s="17">
        <v>44908</v>
      </c>
      <c r="B12" s="18">
        <v>30</v>
      </c>
      <c r="C12" s="18">
        <v>0</v>
      </c>
      <c r="D12" s="2">
        <f>B12-C12</f>
        <v>30</v>
      </c>
      <c r="E12" s="18"/>
      <c r="F12" s="2"/>
      <c r="G12" s="2"/>
      <c r="H12" s="2"/>
      <c r="I12" s="2"/>
      <c r="J12" s="2"/>
      <c r="K12" s="19" t="s">
        <v>1713</v>
      </c>
      <c r="L12" s="106" t="s">
        <v>1711</v>
      </c>
    </row>
    <row r="13" spans="1:12" ht="30" x14ac:dyDescent="0.25">
      <c r="A13" s="17">
        <v>44909</v>
      </c>
      <c r="B13" s="18">
        <v>0</v>
      </c>
      <c r="C13" s="18">
        <v>0</v>
      </c>
      <c r="D13" s="2">
        <f t="shared" si="0"/>
        <v>0</v>
      </c>
      <c r="E13" s="18">
        <v>8</v>
      </c>
      <c r="F13" s="2"/>
      <c r="G13" s="2"/>
      <c r="H13" s="2"/>
      <c r="I13" s="2"/>
      <c r="J13" s="2"/>
      <c r="K13" s="19" t="s">
        <v>107</v>
      </c>
      <c r="L13" s="107" t="s">
        <v>1714</v>
      </c>
    </row>
    <row r="14" spans="1:12" x14ac:dyDescent="0.25">
      <c r="A14" s="17">
        <v>44910</v>
      </c>
      <c r="B14" s="18">
        <v>8</v>
      </c>
      <c r="C14" s="18">
        <v>0</v>
      </c>
      <c r="D14" s="2">
        <f t="shared" si="0"/>
        <v>8</v>
      </c>
      <c r="E14" s="18"/>
      <c r="F14" s="2"/>
      <c r="G14" s="2"/>
      <c r="H14" s="2"/>
      <c r="I14" s="2"/>
      <c r="J14" s="2"/>
      <c r="K14" s="19" t="s">
        <v>1716</v>
      </c>
      <c r="L14" s="66" t="s">
        <v>1715</v>
      </c>
    </row>
    <row r="15" spans="1:12" ht="60" x14ac:dyDescent="0.25">
      <c r="A15" s="17">
        <v>44910</v>
      </c>
      <c r="B15" s="18">
        <v>0</v>
      </c>
      <c r="C15" s="18">
        <v>32</v>
      </c>
      <c r="D15" s="2">
        <f t="shared" si="0"/>
        <v>-32</v>
      </c>
      <c r="E15" s="18"/>
      <c r="F15" s="2"/>
      <c r="G15" s="2"/>
      <c r="H15" s="2"/>
      <c r="I15" s="2"/>
      <c r="J15" s="2"/>
      <c r="K15" s="19" t="s">
        <v>1717</v>
      </c>
      <c r="L15" s="106" t="s">
        <v>1719</v>
      </c>
    </row>
    <row r="16" spans="1:12" x14ac:dyDescent="0.25">
      <c r="A16" s="17">
        <v>44910</v>
      </c>
      <c r="B16" s="18">
        <v>6</v>
      </c>
      <c r="C16" s="18">
        <v>0</v>
      </c>
      <c r="D16" s="2">
        <f t="shared" si="0"/>
        <v>6</v>
      </c>
      <c r="E16" s="18"/>
      <c r="F16" s="2"/>
      <c r="G16" s="2"/>
      <c r="H16" s="2"/>
      <c r="I16" s="2"/>
      <c r="J16" s="2"/>
      <c r="K16" s="19" t="s">
        <v>1720</v>
      </c>
      <c r="L16" s="106"/>
    </row>
    <row r="17" spans="1:12" ht="30" x14ac:dyDescent="0.25">
      <c r="A17" s="17">
        <v>44911</v>
      </c>
      <c r="B17" s="18">
        <v>0</v>
      </c>
      <c r="C17" s="18">
        <v>0</v>
      </c>
      <c r="D17" s="2">
        <f t="shared" si="0"/>
        <v>0</v>
      </c>
      <c r="E17" s="18">
        <v>5</v>
      </c>
      <c r="F17" s="2"/>
      <c r="G17" s="2"/>
      <c r="H17" s="2"/>
      <c r="I17" s="2"/>
      <c r="J17" s="2"/>
      <c r="K17" s="19" t="s">
        <v>107</v>
      </c>
      <c r="L17" s="107" t="s">
        <v>1721</v>
      </c>
    </row>
    <row r="18" spans="1:12" x14ac:dyDescent="0.25">
      <c r="A18" s="17">
        <v>44914</v>
      </c>
      <c r="B18" s="18">
        <v>5</v>
      </c>
      <c r="C18" s="18">
        <v>0</v>
      </c>
      <c r="D18" s="2">
        <f t="shared" si="0"/>
        <v>5</v>
      </c>
      <c r="E18" s="18"/>
      <c r="F18" s="2"/>
      <c r="G18" s="2"/>
      <c r="H18" s="2"/>
      <c r="I18" s="2"/>
      <c r="J18" s="2"/>
      <c r="K18" s="19" t="s">
        <v>1726</v>
      </c>
      <c r="L18" s="106" t="s">
        <v>1722</v>
      </c>
    </row>
    <row r="19" spans="1:12" ht="30" x14ac:dyDescent="0.25">
      <c r="A19" s="17">
        <v>44914</v>
      </c>
      <c r="B19" s="18">
        <v>0</v>
      </c>
      <c r="C19" s="18">
        <v>0</v>
      </c>
      <c r="D19" s="2">
        <f t="shared" si="0"/>
        <v>0</v>
      </c>
      <c r="E19" s="18">
        <v>29</v>
      </c>
      <c r="F19" s="2"/>
      <c r="G19" s="2"/>
      <c r="H19" s="2"/>
      <c r="I19" s="2"/>
      <c r="J19" s="2"/>
      <c r="K19" s="19" t="s">
        <v>107</v>
      </c>
      <c r="L19" s="107" t="s">
        <v>1723</v>
      </c>
    </row>
    <row r="20" spans="1:12" ht="60" x14ac:dyDescent="0.25">
      <c r="A20" s="17">
        <v>44914</v>
      </c>
      <c r="B20" s="18">
        <v>29</v>
      </c>
      <c r="C20" s="18">
        <v>0</v>
      </c>
      <c r="D20" s="2">
        <f t="shared" si="0"/>
        <v>29</v>
      </c>
      <c r="E20" s="18"/>
      <c r="F20" s="2"/>
      <c r="G20" s="2"/>
      <c r="H20" s="2"/>
      <c r="I20" s="2"/>
      <c r="J20" s="2"/>
      <c r="K20" s="19" t="s">
        <v>1727</v>
      </c>
      <c r="L20" s="106" t="s">
        <v>1724</v>
      </c>
    </row>
    <row r="21" spans="1:12" ht="30" x14ac:dyDescent="0.25">
      <c r="A21" s="21">
        <v>44915</v>
      </c>
      <c r="B21" s="22">
        <v>0</v>
      </c>
      <c r="C21" s="22">
        <v>0</v>
      </c>
      <c r="D21" s="2">
        <f t="shared" si="0"/>
        <v>0</v>
      </c>
      <c r="E21" s="22">
        <v>25</v>
      </c>
      <c r="F21" s="23"/>
      <c r="G21" s="23"/>
      <c r="H21" s="23"/>
      <c r="I21" s="23"/>
      <c r="J21" s="23"/>
      <c r="K21" s="19" t="s">
        <v>107</v>
      </c>
      <c r="L21" s="107" t="s">
        <v>1729</v>
      </c>
    </row>
    <row r="22" spans="1:12" ht="45" x14ac:dyDescent="0.25">
      <c r="A22" s="17">
        <v>44915</v>
      </c>
      <c r="B22" s="18">
        <v>25</v>
      </c>
      <c r="C22" s="18">
        <v>0</v>
      </c>
      <c r="D22" s="2">
        <f t="shared" si="0"/>
        <v>25</v>
      </c>
      <c r="E22" s="18"/>
      <c r="F22" s="2"/>
      <c r="G22" s="2"/>
      <c r="H22" s="2"/>
      <c r="I22" s="2"/>
      <c r="J22" s="2"/>
      <c r="K22" s="19" t="s">
        <v>1732</v>
      </c>
      <c r="L22" s="106" t="s">
        <v>1728</v>
      </c>
    </row>
    <row r="23" spans="1:12" ht="45" x14ac:dyDescent="0.25">
      <c r="A23" s="17">
        <v>44917</v>
      </c>
      <c r="B23" s="18">
        <v>0</v>
      </c>
      <c r="C23" s="18">
        <v>26</v>
      </c>
      <c r="D23" s="2">
        <f t="shared" si="0"/>
        <v>-26</v>
      </c>
      <c r="E23" s="18"/>
      <c r="F23" s="2"/>
      <c r="G23" s="2"/>
      <c r="H23" s="2"/>
      <c r="I23" s="2"/>
      <c r="J23" s="2"/>
      <c r="K23" s="49" t="s">
        <v>1730</v>
      </c>
      <c r="L23" s="106" t="s">
        <v>1731</v>
      </c>
    </row>
    <row r="24" spans="1:12" x14ac:dyDescent="0.25">
      <c r="A24" s="17">
        <v>44917</v>
      </c>
      <c r="B24" s="18">
        <v>5</v>
      </c>
      <c r="C24" s="18">
        <v>0</v>
      </c>
      <c r="D24" s="2">
        <f t="shared" si="0"/>
        <v>5</v>
      </c>
      <c r="E24" s="18"/>
      <c r="F24" s="2"/>
      <c r="G24" s="2"/>
      <c r="H24" s="2"/>
      <c r="I24" s="2"/>
      <c r="J24" s="2"/>
      <c r="K24" s="19" t="s">
        <v>1733</v>
      </c>
      <c r="L24" s="106"/>
    </row>
    <row r="25" spans="1:12" x14ac:dyDescent="0.25">
      <c r="A25" s="17">
        <v>44922</v>
      </c>
      <c r="B25" s="18">
        <v>0</v>
      </c>
      <c r="C25" s="18">
        <v>3</v>
      </c>
      <c r="D25" s="2">
        <f t="shared" si="0"/>
        <v>-3</v>
      </c>
      <c r="E25" s="18"/>
      <c r="F25" s="2"/>
      <c r="G25" s="2"/>
      <c r="H25" s="2"/>
      <c r="I25" s="2"/>
      <c r="J25" s="2"/>
      <c r="K25" s="19" t="s">
        <v>1612</v>
      </c>
      <c r="L25" s="106" t="s">
        <v>1734</v>
      </c>
    </row>
    <row r="26" spans="1:12" ht="30" x14ac:dyDescent="0.25">
      <c r="A26" s="17">
        <v>44923</v>
      </c>
      <c r="B26" s="18">
        <v>0</v>
      </c>
      <c r="C26" s="18">
        <v>16</v>
      </c>
      <c r="D26" s="2">
        <f t="shared" si="0"/>
        <v>-16</v>
      </c>
      <c r="E26" s="18"/>
      <c r="F26" s="2"/>
      <c r="G26" s="2"/>
      <c r="H26" s="2"/>
      <c r="I26" s="2"/>
      <c r="J26" s="2"/>
      <c r="K26" s="19" t="s">
        <v>1736</v>
      </c>
      <c r="L26" s="106" t="s">
        <v>1735</v>
      </c>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selectLockedCells="1" selectUnlockedCells="1"/>
  <sortState xmlns:xlrd2="http://schemas.microsoft.com/office/spreadsheetml/2017/richdata2" ref="A11:L12">
    <sortCondition ref="A12"/>
  </sortState>
  <customSheetViews>
    <customSheetView guid="{E5A7B818-645B-417C-A128-9FE559D9B124}" fitToPage="1">
      <pane ySplit="6" topLeftCell="A16" activePane="bottomLeft" state="frozen"/>
      <selection pane="bottomLeft" activeCell="K9" sqref="K9:L9"/>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89" priority="1" operator="lessThan">
      <formula>0</formula>
    </cfRule>
    <cfRule type="cellIs" dxfId="8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L44"/>
  <sheetViews>
    <sheetView workbookViewId="0">
      <pane ySplit="6" topLeftCell="A7" activePane="bottomLeft" state="frozen"/>
      <selection pane="bottomLeft" activeCell="D22" sqref="D22"/>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f>288+132+36+36+102+12+12+24</f>
        <v>642</v>
      </c>
      <c r="L1" s="27"/>
    </row>
    <row r="2" spans="1:12" ht="19.5" thickBot="1" x14ac:dyDescent="0.35">
      <c r="A2" s="5"/>
      <c r="B2" s="2"/>
      <c r="C2" s="2"/>
      <c r="D2" s="2"/>
      <c r="E2" s="2"/>
      <c r="F2" s="6" t="s">
        <v>1</v>
      </c>
      <c r="G2" s="2"/>
      <c r="H2" s="2"/>
      <c r="I2" s="2"/>
      <c r="J2" s="41" t="s">
        <v>38</v>
      </c>
      <c r="K2" s="111">
        <f>K1-F6</f>
        <v>-84</v>
      </c>
      <c r="L2" s="27"/>
    </row>
    <row r="3" spans="1:12" ht="15.75" thickBot="1" x14ac:dyDescent="0.3">
      <c r="A3" s="5"/>
      <c r="B3" s="2"/>
      <c r="C3" s="2"/>
      <c r="D3" s="2"/>
      <c r="E3" s="2"/>
      <c r="F3" s="2">
        <f>'12.22'!F6</f>
        <v>729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726</v>
      </c>
      <c r="G6" s="30">
        <f>SUM(B:B)</f>
        <v>126</v>
      </c>
      <c r="H6" s="30">
        <f>SUM(C:C)</f>
        <v>129</v>
      </c>
      <c r="I6" s="30"/>
      <c r="J6" s="33">
        <f>SUM(G6:H6)+SUM(E:E)</f>
        <v>381</v>
      </c>
      <c r="K6" s="112"/>
      <c r="L6" s="50">
        <f>J6/K1</f>
        <v>0.59345794392523366</v>
      </c>
    </row>
    <row r="7" spans="1:12" x14ac:dyDescent="0.25">
      <c r="A7" s="17">
        <v>44932</v>
      </c>
      <c r="B7" s="18">
        <v>0</v>
      </c>
      <c r="C7" s="18">
        <v>5</v>
      </c>
      <c r="D7" s="2">
        <f t="shared" ref="D7:D44" si="0">B7-C7</f>
        <v>-5</v>
      </c>
      <c r="E7" s="18"/>
      <c r="F7" s="2"/>
      <c r="G7" s="2"/>
      <c r="H7" s="2"/>
      <c r="I7" s="2"/>
      <c r="J7" s="2"/>
      <c r="K7" s="19" t="s">
        <v>1737</v>
      </c>
      <c r="L7" s="106" t="s">
        <v>1742</v>
      </c>
    </row>
    <row r="8" spans="1:12" ht="30" x14ac:dyDescent="0.25">
      <c r="A8" s="17">
        <v>44935</v>
      </c>
      <c r="B8" s="18">
        <v>0</v>
      </c>
      <c r="C8" s="18">
        <v>0</v>
      </c>
      <c r="D8" s="2">
        <f t="shared" si="0"/>
        <v>0</v>
      </c>
      <c r="E8" s="18">
        <v>36</v>
      </c>
      <c r="F8" s="2"/>
      <c r="G8" s="2"/>
      <c r="H8" s="2"/>
      <c r="I8" s="2"/>
      <c r="J8" s="2"/>
      <c r="K8" s="19" t="s">
        <v>107</v>
      </c>
      <c r="L8" s="107" t="s">
        <v>1738</v>
      </c>
    </row>
    <row r="9" spans="1:12" ht="60" x14ac:dyDescent="0.25">
      <c r="A9" s="17">
        <v>44935</v>
      </c>
      <c r="B9" s="18">
        <v>36</v>
      </c>
      <c r="C9" s="18">
        <v>0</v>
      </c>
      <c r="D9" s="2">
        <f t="shared" si="0"/>
        <v>36</v>
      </c>
      <c r="E9" s="18"/>
      <c r="F9" s="2"/>
      <c r="G9" s="2"/>
      <c r="H9" s="2"/>
      <c r="I9" s="2"/>
      <c r="J9" s="2"/>
      <c r="K9" s="19" t="s">
        <v>1740</v>
      </c>
      <c r="L9" s="66" t="s">
        <v>1739</v>
      </c>
    </row>
    <row r="10" spans="1:12" ht="30" x14ac:dyDescent="0.25">
      <c r="A10" s="17">
        <v>44935</v>
      </c>
      <c r="B10" s="18">
        <v>0</v>
      </c>
      <c r="C10" s="18">
        <v>16</v>
      </c>
      <c r="D10" s="2">
        <f t="shared" si="0"/>
        <v>-16</v>
      </c>
      <c r="E10" s="18"/>
      <c r="F10" s="2"/>
      <c r="G10" s="2"/>
      <c r="H10" s="2"/>
      <c r="I10" s="2"/>
      <c r="J10" s="2"/>
      <c r="K10" s="19" t="s">
        <v>1741</v>
      </c>
      <c r="L10" s="106" t="s">
        <v>1743</v>
      </c>
    </row>
    <row r="11" spans="1:12" x14ac:dyDescent="0.25">
      <c r="A11" s="17">
        <v>44936</v>
      </c>
      <c r="B11" s="18">
        <v>0</v>
      </c>
      <c r="C11" s="18">
        <v>2</v>
      </c>
      <c r="D11" s="2">
        <f t="shared" si="0"/>
        <v>-2</v>
      </c>
      <c r="E11" s="18"/>
      <c r="F11" s="2"/>
      <c r="G11" s="2"/>
      <c r="H11" s="2"/>
      <c r="I11" s="2"/>
      <c r="J11" s="2"/>
      <c r="K11" s="19" t="s">
        <v>1745</v>
      </c>
      <c r="L11" s="106" t="s">
        <v>1744</v>
      </c>
    </row>
    <row r="12" spans="1:12" ht="30" x14ac:dyDescent="0.25">
      <c r="A12" s="17">
        <v>44937</v>
      </c>
      <c r="B12" s="18">
        <v>0</v>
      </c>
      <c r="C12" s="18">
        <v>0</v>
      </c>
      <c r="D12" s="2">
        <f t="shared" si="0"/>
        <v>0</v>
      </c>
      <c r="E12" s="18">
        <v>30</v>
      </c>
      <c r="F12" s="2"/>
      <c r="G12" s="2"/>
      <c r="H12" s="2"/>
      <c r="I12" s="2"/>
      <c r="J12" s="2"/>
      <c r="K12" s="19" t="s">
        <v>107</v>
      </c>
      <c r="L12" s="107" t="s">
        <v>1746</v>
      </c>
    </row>
    <row r="13" spans="1:12" ht="60" x14ac:dyDescent="0.25">
      <c r="A13" s="17">
        <v>44937</v>
      </c>
      <c r="B13" s="18">
        <v>30</v>
      </c>
      <c r="C13" s="18">
        <v>0</v>
      </c>
      <c r="D13" s="2">
        <f t="shared" si="0"/>
        <v>30</v>
      </c>
      <c r="E13" s="18"/>
      <c r="F13" s="2"/>
      <c r="G13" s="2"/>
      <c r="H13" s="2"/>
      <c r="I13" s="2"/>
      <c r="J13" s="2"/>
      <c r="K13" s="19" t="s">
        <v>1748</v>
      </c>
      <c r="L13" s="66" t="s">
        <v>1747</v>
      </c>
    </row>
    <row r="14" spans="1:12" ht="60" x14ac:dyDescent="0.25">
      <c r="A14" s="17">
        <v>44938</v>
      </c>
      <c r="B14" s="18">
        <v>0</v>
      </c>
      <c r="C14" s="18">
        <v>36</v>
      </c>
      <c r="D14" s="2">
        <f t="shared" si="0"/>
        <v>-36</v>
      </c>
      <c r="E14" s="18"/>
      <c r="F14" s="2"/>
      <c r="G14" s="2"/>
      <c r="H14" s="2"/>
      <c r="I14" s="2"/>
      <c r="J14" s="2"/>
      <c r="K14" s="19" t="s">
        <v>1750</v>
      </c>
      <c r="L14" s="106" t="s">
        <v>1749</v>
      </c>
    </row>
    <row r="15" spans="1:12" ht="30" x14ac:dyDescent="0.25">
      <c r="A15" s="17">
        <v>44942</v>
      </c>
      <c r="B15" s="18">
        <v>0</v>
      </c>
      <c r="C15" s="18">
        <v>0</v>
      </c>
      <c r="D15" s="2">
        <f t="shared" si="0"/>
        <v>0</v>
      </c>
      <c r="E15" s="18">
        <v>20</v>
      </c>
      <c r="F15" s="2"/>
      <c r="G15" s="2"/>
      <c r="H15" s="2"/>
      <c r="I15" s="2"/>
      <c r="J15" s="2"/>
      <c r="K15" s="19" t="s">
        <v>107</v>
      </c>
      <c r="L15" s="107" t="s">
        <v>1751</v>
      </c>
    </row>
    <row r="16" spans="1:12" ht="45" x14ac:dyDescent="0.25">
      <c r="A16" s="17">
        <v>44943</v>
      </c>
      <c r="B16" s="18">
        <v>20</v>
      </c>
      <c r="C16" s="18">
        <v>0</v>
      </c>
      <c r="D16" s="2">
        <f t="shared" si="0"/>
        <v>20</v>
      </c>
      <c r="E16" s="18"/>
      <c r="F16" s="2"/>
      <c r="G16" s="2"/>
      <c r="H16" s="2"/>
      <c r="I16" s="2"/>
      <c r="J16" s="2"/>
      <c r="K16" s="19" t="s">
        <v>1753</v>
      </c>
      <c r="L16" s="106" t="s">
        <v>1752</v>
      </c>
    </row>
    <row r="17" spans="1:12" ht="30" x14ac:dyDescent="0.25">
      <c r="A17" s="17">
        <v>44945</v>
      </c>
      <c r="B17" s="18">
        <v>5</v>
      </c>
      <c r="C17" s="18">
        <v>5</v>
      </c>
      <c r="D17" s="2">
        <f t="shared" si="0"/>
        <v>0</v>
      </c>
      <c r="E17" s="18">
        <v>5</v>
      </c>
      <c r="F17" s="2"/>
      <c r="G17" s="2"/>
      <c r="H17" s="2"/>
      <c r="I17" s="2"/>
      <c r="J17" s="2"/>
      <c r="K17" s="19" t="s">
        <v>1754</v>
      </c>
      <c r="L17" s="106"/>
    </row>
    <row r="18" spans="1:12" ht="60" x14ac:dyDescent="0.25">
      <c r="A18" s="17">
        <v>44945</v>
      </c>
      <c r="B18" s="18">
        <v>0</v>
      </c>
      <c r="C18" s="18">
        <v>35</v>
      </c>
      <c r="D18" s="2">
        <f t="shared" si="0"/>
        <v>-35</v>
      </c>
      <c r="E18" s="18"/>
      <c r="F18" s="2"/>
      <c r="G18" s="2"/>
      <c r="H18" s="2"/>
      <c r="I18" s="2"/>
      <c r="J18" s="2"/>
      <c r="K18" s="19" t="s">
        <v>1756</v>
      </c>
      <c r="L18" s="106" t="s">
        <v>1755</v>
      </c>
    </row>
    <row r="19" spans="1:12" ht="30" x14ac:dyDescent="0.25">
      <c r="A19" s="17">
        <v>44949</v>
      </c>
      <c r="B19" s="18">
        <v>0</v>
      </c>
      <c r="C19" s="18">
        <v>0</v>
      </c>
      <c r="D19" s="2">
        <f t="shared" si="0"/>
        <v>0</v>
      </c>
      <c r="E19" s="18">
        <v>32</v>
      </c>
      <c r="F19" s="2"/>
      <c r="G19" s="2"/>
      <c r="H19" s="2"/>
      <c r="I19" s="2"/>
      <c r="J19" s="2"/>
      <c r="K19" s="19" t="s">
        <v>107</v>
      </c>
      <c r="L19" s="107" t="s">
        <v>1757</v>
      </c>
    </row>
    <row r="20" spans="1:12" x14ac:dyDescent="0.25">
      <c r="A20" s="17">
        <v>44949</v>
      </c>
      <c r="B20" s="18">
        <v>3</v>
      </c>
      <c r="C20" s="18">
        <v>3</v>
      </c>
      <c r="D20" s="2">
        <f t="shared" si="0"/>
        <v>0</v>
      </c>
      <c r="E20" s="18">
        <v>3</v>
      </c>
      <c r="F20" s="2"/>
      <c r="G20" s="2"/>
      <c r="H20" s="2"/>
      <c r="I20" s="2"/>
      <c r="J20" s="2"/>
      <c r="K20" s="19" t="s">
        <v>1758</v>
      </c>
      <c r="L20" s="106"/>
    </row>
    <row r="21" spans="1:12" ht="60" x14ac:dyDescent="0.25">
      <c r="A21" s="21">
        <v>44950</v>
      </c>
      <c r="B21" s="22">
        <v>32</v>
      </c>
      <c r="C21" s="22">
        <v>0</v>
      </c>
      <c r="D21" s="2">
        <f t="shared" si="0"/>
        <v>32</v>
      </c>
      <c r="E21" s="22"/>
      <c r="F21" s="23"/>
      <c r="G21" s="23"/>
      <c r="H21" s="23"/>
      <c r="I21" s="23"/>
      <c r="J21" s="23"/>
      <c r="K21" s="25" t="s">
        <v>1760</v>
      </c>
      <c r="L21" s="106" t="s">
        <v>1759</v>
      </c>
    </row>
    <row r="22" spans="1:12" ht="45" x14ac:dyDescent="0.25">
      <c r="A22" s="17">
        <v>44952</v>
      </c>
      <c r="B22" s="18">
        <v>0</v>
      </c>
      <c r="C22" s="18">
        <v>23</v>
      </c>
      <c r="D22" s="2">
        <f t="shared" si="0"/>
        <v>-23</v>
      </c>
      <c r="E22" s="18"/>
      <c r="F22" s="2"/>
      <c r="G22" s="2"/>
      <c r="H22" s="2"/>
      <c r="I22" s="2"/>
      <c r="J22" s="2"/>
      <c r="K22" s="19" t="s">
        <v>1761</v>
      </c>
      <c r="L22" s="106" t="s">
        <v>1762</v>
      </c>
    </row>
    <row r="23" spans="1:12" x14ac:dyDescent="0.25">
      <c r="A23" s="17">
        <v>44956</v>
      </c>
      <c r="B23" s="18">
        <v>0</v>
      </c>
      <c r="C23" s="18">
        <v>4</v>
      </c>
      <c r="D23" s="2">
        <f t="shared" si="0"/>
        <v>-4</v>
      </c>
      <c r="E23" s="18"/>
      <c r="F23" s="2"/>
      <c r="G23" s="2"/>
      <c r="H23" s="2"/>
      <c r="I23" s="2"/>
      <c r="J23" s="2"/>
      <c r="K23" s="49" t="s">
        <v>1763</v>
      </c>
      <c r="L23" s="106" t="s">
        <v>1764</v>
      </c>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83srwOljW2SSbSRfH76Qq2UFskRS15aXq+IBmajXi90//XsgYUSIJbkpVmWtv6w0az4F/Q577RukCBWPgUebyA==" saltValue="ciF44wfma7FROL8v+ondfg==" spinCount="100000" sheet="1" objects="1" scenarios="1" selectLockedCells="1" selectUnlockedCells="1"/>
  <customSheetViews>
    <customSheetView guid="{E5A7B818-645B-417C-A128-9FE559D9B124}" fitToPage="1">
      <pane ySplit="6" topLeftCell="A7" activePane="bottomLeft" state="frozen"/>
      <selection pane="bottomLeft" activeCell="D22" sqref="D2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87" priority="1" operator="lessThan">
      <formula>0</formula>
    </cfRule>
    <cfRule type="cellIs" dxfId="8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L44"/>
  <sheetViews>
    <sheetView workbookViewId="0">
      <pane ySplit="6" topLeftCell="A22" activePane="bottomLeft" state="frozen"/>
      <selection pane="bottomLeft" activeCell="C39" sqref="C3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-119</v>
      </c>
      <c r="L2" s="27"/>
    </row>
    <row r="3" spans="1:12" ht="15.75" thickBot="1" x14ac:dyDescent="0.3">
      <c r="A3" s="5"/>
      <c r="B3" s="2"/>
      <c r="C3" s="2"/>
      <c r="D3" s="2"/>
      <c r="E3" s="2"/>
      <c r="F3" s="2">
        <f>'01.23'!F6</f>
        <v>726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761</v>
      </c>
      <c r="G6" s="30">
        <f>SUM(B:B)</f>
        <v>157</v>
      </c>
      <c r="H6" s="30">
        <f>SUM(C:C)</f>
        <v>122</v>
      </c>
      <c r="I6" s="30"/>
      <c r="J6" s="33">
        <f>SUM(G6:H6)+SUM(E:E)</f>
        <v>400</v>
      </c>
      <c r="K6" s="112"/>
      <c r="L6" s="50">
        <f>J6/K1</f>
        <v>0.62305295950155759</v>
      </c>
    </row>
    <row r="7" spans="1:12" ht="45" x14ac:dyDescent="0.25">
      <c r="A7" s="17">
        <v>44959</v>
      </c>
      <c r="B7" s="18">
        <v>0</v>
      </c>
      <c r="C7" s="18">
        <v>25</v>
      </c>
      <c r="D7" s="2">
        <f t="shared" ref="D7:D44" si="0">B7-C7</f>
        <v>-25</v>
      </c>
      <c r="E7" s="18"/>
      <c r="F7" s="2"/>
      <c r="G7" s="2"/>
      <c r="H7" s="2"/>
      <c r="I7" s="2"/>
      <c r="J7" s="2"/>
      <c r="K7" s="19" t="s">
        <v>1766</v>
      </c>
      <c r="L7" s="106" t="s">
        <v>1765</v>
      </c>
    </row>
    <row r="8" spans="1:12" ht="45" x14ac:dyDescent="0.25">
      <c r="A8" s="17">
        <v>44959</v>
      </c>
      <c r="B8" s="18">
        <v>24</v>
      </c>
      <c r="C8" s="18">
        <v>0</v>
      </c>
      <c r="D8" s="2">
        <f t="shared" si="0"/>
        <v>24</v>
      </c>
      <c r="E8" s="18"/>
      <c r="F8" s="2"/>
      <c r="G8" s="2"/>
      <c r="H8" s="2"/>
      <c r="I8" s="2"/>
      <c r="J8" s="2"/>
      <c r="K8" s="19" t="s">
        <v>1767</v>
      </c>
    </row>
    <row r="9" spans="1:12" ht="30" x14ac:dyDescent="0.25">
      <c r="A9" s="17">
        <v>44963</v>
      </c>
      <c r="B9" s="18">
        <v>0</v>
      </c>
      <c r="C9" s="18">
        <v>0</v>
      </c>
      <c r="D9" s="2">
        <f t="shared" si="0"/>
        <v>0</v>
      </c>
      <c r="E9" s="18">
        <v>33</v>
      </c>
      <c r="F9" s="2"/>
      <c r="G9" s="2"/>
      <c r="H9" s="2"/>
      <c r="I9" s="2"/>
      <c r="J9" s="2"/>
      <c r="K9" s="19" t="s">
        <v>107</v>
      </c>
      <c r="L9" s="107" t="s">
        <v>1768</v>
      </c>
    </row>
    <row r="10" spans="1:12" ht="60" x14ac:dyDescent="0.25">
      <c r="A10" s="17">
        <v>44963</v>
      </c>
      <c r="B10" s="18">
        <v>33</v>
      </c>
      <c r="C10" s="18">
        <v>0</v>
      </c>
      <c r="D10" s="2">
        <f t="shared" si="0"/>
        <v>33</v>
      </c>
      <c r="E10" s="18"/>
      <c r="F10" s="2"/>
      <c r="G10" s="2"/>
      <c r="H10" s="2"/>
      <c r="I10" s="2"/>
      <c r="J10" s="2"/>
      <c r="K10" s="19" t="s">
        <v>1773</v>
      </c>
      <c r="L10" s="107" t="s">
        <v>1769</v>
      </c>
    </row>
    <row r="11" spans="1:12" x14ac:dyDescent="0.25">
      <c r="A11" s="17">
        <v>44964</v>
      </c>
      <c r="B11" s="18">
        <v>4</v>
      </c>
      <c r="C11" s="18">
        <v>4</v>
      </c>
      <c r="D11" s="2">
        <f t="shared" si="0"/>
        <v>0</v>
      </c>
      <c r="E11" s="18">
        <v>4</v>
      </c>
      <c r="F11" s="2"/>
      <c r="G11" s="2"/>
      <c r="H11" s="2"/>
      <c r="I11" s="2"/>
      <c r="J11" s="2"/>
      <c r="K11" s="19" t="s">
        <v>1770</v>
      </c>
      <c r="L11" s="106"/>
    </row>
    <row r="12" spans="1:12" ht="30" x14ac:dyDescent="0.25">
      <c r="A12" s="17">
        <v>44966</v>
      </c>
      <c r="B12" s="18">
        <v>0</v>
      </c>
      <c r="C12" s="18">
        <v>16</v>
      </c>
      <c r="D12" s="2">
        <f t="shared" si="0"/>
        <v>-16</v>
      </c>
      <c r="E12" s="18"/>
      <c r="F12" s="2"/>
      <c r="G12" s="2"/>
      <c r="H12" s="2"/>
      <c r="I12" s="2"/>
      <c r="J12" s="2"/>
      <c r="K12" s="19" t="s">
        <v>1771</v>
      </c>
      <c r="L12" s="106" t="s">
        <v>1772</v>
      </c>
    </row>
    <row r="13" spans="1:12" x14ac:dyDescent="0.25">
      <c r="A13" s="17">
        <v>44966</v>
      </c>
      <c r="B13" s="18">
        <v>8</v>
      </c>
      <c r="C13" s="18">
        <v>0</v>
      </c>
      <c r="D13" s="2">
        <f t="shared" si="0"/>
        <v>8</v>
      </c>
      <c r="E13" s="18"/>
      <c r="F13" s="2"/>
      <c r="G13" s="2"/>
      <c r="H13" s="2"/>
      <c r="I13" s="2"/>
      <c r="J13" s="2"/>
      <c r="K13" s="19" t="s">
        <v>1774</v>
      </c>
    </row>
    <row r="14" spans="1:12" ht="45" x14ac:dyDescent="0.25">
      <c r="A14" s="17">
        <v>44973</v>
      </c>
      <c r="B14" s="18">
        <v>0</v>
      </c>
      <c r="C14" s="18">
        <v>19</v>
      </c>
      <c r="D14" s="2">
        <f t="shared" si="0"/>
        <v>-19</v>
      </c>
      <c r="E14" s="18"/>
      <c r="F14" s="2"/>
      <c r="G14" s="2"/>
      <c r="H14" s="2"/>
      <c r="I14" s="2"/>
      <c r="J14" s="2"/>
      <c r="K14" s="19" t="s">
        <v>1775</v>
      </c>
      <c r="L14" s="106" t="s">
        <v>1776</v>
      </c>
    </row>
    <row r="15" spans="1:12" ht="30" x14ac:dyDescent="0.25">
      <c r="A15" s="17">
        <v>44973</v>
      </c>
      <c r="B15" s="18">
        <v>0</v>
      </c>
      <c r="C15" s="18">
        <v>0</v>
      </c>
      <c r="D15" s="2">
        <f t="shared" si="0"/>
        <v>0</v>
      </c>
      <c r="E15" s="18">
        <v>17</v>
      </c>
      <c r="F15" s="2"/>
      <c r="G15" s="2"/>
      <c r="H15" s="2"/>
      <c r="I15" s="2"/>
      <c r="J15" s="2"/>
      <c r="K15" s="19" t="s">
        <v>107</v>
      </c>
      <c r="L15" s="107" t="s">
        <v>1777</v>
      </c>
    </row>
    <row r="16" spans="1:12" ht="30" x14ac:dyDescent="0.25">
      <c r="A16" s="17">
        <v>44978</v>
      </c>
      <c r="B16" s="18">
        <v>17</v>
      </c>
      <c r="C16" s="18">
        <v>0</v>
      </c>
      <c r="D16" s="2">
        <f t="shared" si="0"/>
        <v>17</v>
      </c>
      <c r="E16" s="18"/>
      <c r="F16" s="2"/>
      <c r="G16" s="2"/>
      <c r="H16" s="2"/>
      <c r="I16" s="2"/>
      <c r="J16" s="2"/>
      <c r="K16" s="19" t="s">
        <v>1781</v>
      </c>
      <c r="L16" s="106" t="s">
        <v>1778</v>
      </c>
    </row>
    <row r="17" spans="1:12" ht="30" x14ac:dyDescent="0.25">
      <c r="A17" s="17">
        <v>44977</v>
      </c>
      <c r="B17" s="18">
        <v>0</v>
      </c>
      <c r="C17" s="18">
        <v>0</v>
      </c>
      <c r="D17" s="2">
        <f t="shared" si="0"/>
        <v>0</v>
      </c>
      <c r="E17" s="18">
        <v>10</v>
      </c>
      <c r="F17" s="2"/>
      <c r="G17" s="2"/>
      <c r="H17" s="2"/>
      <c r="I17" s="2"/>
      <c r="J17" s="2"/>
      <c r="K17" s="19" t="s">
        <v>107</v>
      </c>
      <c r="L17" s="107" t="s">
        <v>1779</v>
      </c>
    </row>
    <row r="18" spans="1:12" ht="30" x14ac:dyDescent="0.25">
      <c r="A18" s="17">
        <v>44979</v>
      </c>
      <c r="B18" s="18">
        <v>10</v>
      </c>
      <c r="C18" s="18">
        <v>0</v>
      </c>
      <c r="D18" s="2">
        <f t="shared" si="0"/>
        <v>10</v>
      </c>
      <c r="E18" s="18"/>
      <c r="F18" s="2"/>
      <c r="G18" s="2"/>
      <c r="H18" s="2"/>
      <c r="I18" s="2"/>
      <c r="J18" s="2"/>
      <c r="K18" s="19" t="s">
        <v>1782</v>
      </c>
      <c r="L18" s="106" t="s">
        <v>1780</v>
      </c>
    </row>
    <row r="19" spans="1:12" x14ac:dyDescent="0.25">
      <c r="A19" s="17">
        <v>44979</v>
      </c>
      <c r="B19" s="18">
        <v>4</v>
      </c>
      <c r="C19" s="18">
        <v>4</v>
      </c>
      <c r="D19" s="2">
        <f t="shared" si="0"/>
        <v>0</v>
      </c>
      <c r="E19" s="18">
        <v>4</v>
      </c>
      <c r="F19" s="2"/>
      <c r="G19" s="2"/>
      <c r="H19" s="2"/>
      <c r="I19" s="2"/>
      <c r="J19" s="2"/>
      <c r="K19" s="19" t="s">
        <v>1784</v>
      </c>
    </row>
    <row r="20" spans="1:12" x14ac:dyDescent="0.25">
      <c r="A20" s="17">
        <v>44979</v>
      </c>
      <c r="B20" s="18">
        <v>2</v>
      </c>
      <c r="C20" s="18">
        <v>2</v>
      </c>
      <c r="D20" s="2">
        <f t="shared" si="0"/>
        <v>0</v>
      </c>
      <c r="E20" s="18">
        <v>2</v>
      </c>
      <c r="F20" s="2"/>
      <c r="G20" s="2"/>
      <c r="H20" s="2"/>
      <c r="I20" s="2"/>
      <c r="J20" s="2"/>
      <c r="K20" s="19" t="s">
        <v>1783</v>
      </c>
      <c r="L20" s="106"/>
    </row>
    <row r="21" spans="1:12" ht="45" x14ac:dyDescent="0.25">
      <c r="A21" s="21">
        <v>44980</v>
      </c>
      <c r="B21" s="22">
        <v>0</v>
      </c>
      <c r="C21" s="22">
        <v>23</v>
      </c>
      <c r="D21" s="2">
        <f t="shared" si="0"/>
        <v>-23</v>
      </c>
      <c r="E21" s="22"/>
      <c r="F21" s="23"/>
      <c r="G21" s="23"/>
      <c r="H21" s="23"/>
      <c r="I21" s="23"/>
      <c r="J21" s="23"/>
      <c r="K21" s="19" t="s">
        <v>1785</v>
      </c>
      <c r="L21" s="106" t="s">
        <v>1786</v>
      </c>
    </row>
    <row r="22" spans="1:12" x14ac:dyDescent="0.25">
      <c r="A22" s="17">
        <v>44980</v>
      </c>
      <c r="B22" s="18">
        <v>4</v>
      </c>
      <c r="C22" s="18">
        <v>0</v>
      </c>
      <c r="D22" s="2">
        <f t="shared" si="0"/>
        <v>4</v>
      </c>
      <c r="E22" s="18"/>
      <c r="F22" s="2"/>
      <c r="G22" s="2"/>
      <c r="H22" s="2"/>
      <c r="I22" s="2"/>
      <c r="J22" s="2"/>
      <c r="K22" s="19" t="s">
        <v>1787</v>
      </c>
      <c r="L22" s="106"/>
    </row>
    <row r="23" spans="1:12" ht="45" x14ac:dyDescent="0.25">
      <c r="A23" s="17">
        <v>44981</v>
      </c>
      <c r="B23" s="18">
        <v>0</v>
      </c>
      <c r="C23" s="18">
        <v>22</v>
      </c>
      <c r="D23" s="2">
        <f t="shared" si="0"/>
        <v>-22</v>
      </c>
      <c r="E23" s="18"/>
      <c r="F23" s="2"/>
      <c r="G23" s="2"/>
      <c r="H23" s="2"/>
      <c r="I23" s="2"/>
      <c r="J23" s="2"/>
      <c r="K23" s="19" t="s">
        <v>1788</v>
      </c>
      <c r="L23" s="106"/>
    </row>
    <row r="24" spans="1:12" x14ac:dyDescent="0.25">
      <c r="A24" s="17">
        <v>44981</v>
      </c>
      <c r="B24" s="18">
        <v>0</v>
      </c>
      <c r="C24" s="18">
        <v>2</v>
      </c>
      <c r="D24" s="2">
        <f t="shared" si="0"/>
        <v>-2</v>
      </c>
      <c r="E24" s="18"/>
      <c r="F24" s="2"/>
      <c r="G24" s="2"/>
      <c r="H24" s="2"/>
      <c r="I24" s="2"/>
      <c r="J24" s="2"/>
      <c r="K24" s="19" t="s">
        <v>1789</v>
      </c>
      <c r="L24" s="106" t="s">
        <v>1790</v>
      </c>
    </row>
    <row r="25" spans="1:12" ht="30" x14ac:dyDescent="0.25">
      <c r="A25" s="17">
        <v>44981</v>
      </c>
      <c r="B25" s="18">
        <v>0</v>
      </c>
      <c r="C25" s="18">
        <v>0</v>
      </c>
      <c r="D25" s="2">
        <f t="shared" si="0"/>
        <v>0</v>
      </c>
      <c r="E25" s="18">
        <v>10</v>
      </c>
      <c r="F25" s="2"/>
      <c r="G25" s="2"/>
      <c r="H25" s="2"/>
      <c r="I25" s="2"/>
      <c r="J25" s="2"/>
      <c r="K25" s="19" t="s">
        <v>107</v>
      </c>
      <c r="L25" s="107" t="s">
        <v>1791</v>
      </c>
    </row>
    <row r="26" spans="1:12" ht="30" x14ac:dyDescent="0.25">
      <c r="A26" s="17">
        <v>44984</v>
      </c>
      <c r="B26" s="18">
        <v>10</v>
      </c>
      <c r="C26" s="18">
        <v>0</v>
      </c>
      <c r="D26" s="2">
        <f t="shared" si="0"/>
        <v>10</v>
      </c>
      <c r="E26" s="18"/>
      <c r="F26" s="2"/>
      <c r="G26" s="2"/>
      <c r="H26" s="2"/>
      <c r="I26" s="2"/>
      <c r="J26" s="2"/>
      <c r="K26" s="19" t="s">
        <v>1794</v>
      </c>
      <c r="L26" s="106" t="s">
        <v>1792</v>
      </c>
    </row>
    <row r="27" spans="1:12" x14ac:dyDescent="0.25">
      <c r="A27" s="17">
        <v>44984</v>
      </c>
      <c r="B27" s="18">
        <v>2</v>
      </c>
      <c r="C27" s="18">
        <v>2</v>
      </c>
      <c r="D27" s="2">
        <f t="shared" si="0"/>
        <v>0</v>
      </c>
      <c r="E27" s="18">
        <v>2</v>
      </c>
      <c r="F27" s="2"/>
      <c r="G27" s="2"/>
      <c r="H27" s="2"/>
      <c r="I27" s="2"/>
      <c r="J27" s="2"/>
      <c r="K27" s="19" t="s">
        <v>1793</v>
      </c>
    </row>
    <row r="28" spans="1:12" ht="30" x14ac:dyDescent="0.25">
      <c r="A28" s="17">
        <v>44984</v>
      </c>
      <c r="B28" s="18">
        <v>0</v>
      </c>
      <c r="C28" s="18">
        <v>0</v>
      </c>
      <c r="D28" s="2">
        <f t="shared" si="0"/>
        <v>0</v>
      </c>
      <c r="E28" s="18">
        <v>19</v>
      </c>
      <c r="F28" s="2"/>
      <c r="G28" s="2"/>
      <c r="H28" s="2"/>
      <c r="I28" s="2"/>
      <c r="J28" s="2"/>
      <c r="K28" s="19" t="s">
        <v>107</v>
      </c>
      <c r="L28" s="107" t="s">
        <v>1795</v>
      </c>
    </row>
    <row r="29" spans="1:12" ht="45" x14ac:dyDescent="0.25">
      <c r="A29" s="17">
        <v>44985</v>
      </c>
      <c r="B29" s="18">
        <v>19</v>
      </c>
      <c r="C29" s="18">
        <v>0</v>
      </c>
      <c r="D29" s="2">
        <f t="shared" si="0"/>
        <v>19</v>
      </c>
      <c r="E29" s="18"/>
      <c r="F29" s="2"/>
      <c r="G29" s="2"/>
      <c r="H29" s="2"/>
      <c r="I29" s="2"/>
      <c r="J29" s="2"/>
      <c r="K29" s="19" t="s">
        <v>1800</v>
      </c>
      <c r="L29" s="66" t="s">
        <v>1796</v>
      </c>
    </row>
    <row r="30" spans="1:12" ht="30" x14ac:dyDescent="0.25">
      <c r="A30" s="17">
        <v>44984</v>
      </c>
      <c r="B30" s="18">
        <v>0</v>
      </c>
      <c r="C30" s="18">
        <v>0</v>
      </c>
      <c r="D30" s="2">
        <f t="shared" si="0"/>
        <v>0</v>
      </c>
      <c r="E30" s="18">
        <v>18</v>
      </c>
      <c r="F30" s="2"/>
      <c r="G30" s="2"/>
      <c r="H30" s="2"/>
      <c r="I30" s="2"/>
      <c r="J30" s="2"/>
      <c r="K30" s="19" t="s">
        <v>107</v>
      </c>
      <c r="L30" s="107" t="s">
        <v>1798</v>
      </c>
    </row>
    <row r="31" spans="1:12" ht="30" x14ac:dyDescent="0.25">
      <c r="A31" s="17">
        <v>44985</v>
      </c>
      <c r="B31" s="18">
        <v>18</v>
      </c>
      <c r="C31" s="18">
        <v>0</v>
      </c>
      <c r="D31" s="2">
        <f t="shared" si="0"/>
        <v>18</v>
      </c>
      <c r="E31" s="18"/>
      <c r="F31" s="2"/>
      <c r="G31" s="2"/>
      <c r="H31" s="2"/>
      <c r="I31" s="2"/>
      <c r="J31" s="2"/>
      <c r="K31" s="19" t="s">
        <v>1802</v>
      </c>
      <c r="L31" s="66" t="s">
        <v>1797</v>
      </c>
    </row>
    <row r="32" spans="1:12" x14ac:dyDescent="0.25">
      <c r="A32" s="17">
        <v>44984</v>
      </c>
      <c r="B32" s="18">
        <v>2</v>
      </c>
      <c r="C32" s="18">
        <v>2</v>
      </c>
      <c r="D32" s="2">
        <f t="shared" si="0"/>
        <v>0</v>
      </c>
      <c r="E32" s="18">
        <v>2</v>
      </c>
      <c r="F32" s="2"/>
      <c r="G32" s="2"/>
      <c r="H32" s="2"/>
      <c r="I32" s="2"/>
      <c r="J32" s="2"/>
      <c r="K32" s="19" t="s">
        <v>1799</v>
      </c>
    </row>
    <row r="33" spans="1:12" x14ac:dyDescent="0.25">
      <c r="A33" s="17">
        <v>44985</v>
      </c>
      <c r="B33" s="18">
        <v>0</v>
      </c>
      <c r="C33" s="18">
        <v>1</v>
      </c>
      <c r="D33" s="2">
        <f t="shared" si="0"/>
        <v>-1</v>
      </c>
      <c r="E33" s="18"/>
      <c r="F33" s="2"/>
      <c r="G33" s="2"/>
      <c r="H33" s="2"/>
      <c r="I33" s="2"/>
      <c r="J33" s="2"/>
      <c r="K33" s="19">
        <v>556941</v>
      </c>
      <c r="L33" s="106" t="s">
        <v>1801</v>
      </c>
    </row>
    <row r="34" spans="1:12" x14ac:dyDescent="0.25">
      <c r="A34" s="17"/>
      <c r="B34" s="18"/>
      <c r="C34" s="18"/>
      <c r="D34" s="2">
        <f t="shared" si="0"/>
        <v>0</v>
      </c>
      <c r="E34" s="18"/>
      <c r="F34" s="2"/>
      <c r="G34" s="2"/>
      <c r="H34" s="2"/>
      <c r="I34" s="2"/>
      <c r="J34" s="2"/>
      <c r="K34" s="19"/>
    </row>
    <row r="35" spans="1:12" x14ac:dyDescent="0.25">
      <c r="A35" s="17"/>
      <c r="B35" s="18"/>
      <c r="C35" s="18"/>
      <c r="D35" s="2">
        <f t="shared" si="0"/>
        <v>0</v>
      </c>
      <c r="E35" s="18"/>
      <c r="F35" s="2"/>
      <c r="G35" s="2"/>
      <c r="H35" s="2"/>
      <c r="I35" s="2"/>
      <c r="J35" s="2"/>
      <c r="K35" s="19"/>
    </row>
    <row r="36" spans="1:12" x14ac:dyDescent="0.25">
      <c r="A36" s="17"/>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row>
  </sheetData>
  <sheetProtection algorithmName="SHA-512" hashValue="3WXXiQ/T3cr2dBlTQgzbsHSswy4jlIUAk/GWopRkj1et6Ln2tYSZlXJCbuupR4y2ptGKV8sd7duUJBfv4Z0A6Q==" saltValue="4CUokkhbAlbrnHXkei+LSg==" spinCount="100000" sheet="1" objects="1" scenarios="1" selectLockedCells="1" selectUnlockedCells="1"/>
  <customSheetViews>
    <customSheetView guid="{E5A7B818-645B-417C-A128-9FE559D9B124}" fitToPage="1">
      <pane ySplit="6" topLeftCell="A22" activePane="bottomLeft" state="frozen"/>
      <selection pane="bottomLeft" activeCell="C39" sqref="C39"/>
      <pageMargins left="0.70866141732283472" right="0.70866141732283472" top="0.78740157480314965" bottom="0.78740157480314965" header="0.31496062992125984" footer="0.31496062992125984"/>
      <printOptions horizontalCentered="1" verticalCentered="1"/>
      <pageSetup paperSize="9" scale="54" orientation="landscape" r:id="rId1"/>
      <headerFooter>
        <oddFooter>&amp;C&amp;D / &amp;T&amp;RSeite &amp;P von &amp;N</oddFooter>
      </headerFooter>
    </customSheetView>
  </customSheetViews>
  <conditionalFormatting sqref="K2">
    <cfRule type="cellIs" dxfId="85" priority="1" operator="lessThan">
      <formula>0</formula>
    </cfRule>
    <cfRule type="cellIs" dxfId="8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4" orientation="landscape" r:id="rId2"/>
  <headerFooter>
    <oddFooter>&amp;C&amp;D / &amp;T&amp;RSeite &amp;P von &amp;N</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L44"/>
  <sheetViews>
    <sheetView workbookViewId="0">
      <pane ySplit="6" topLeftCell="A19" activePane="bottomLeft" state="frozen"/>
      <selection pane="bottomLeft" activeCell="C30" sqref="C30"/>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-108</v>
      </c>
      <c r="L2" s="27"/>
    </row>
    <row r="3" spans="1:12" ht="15.75" thickBot="1" x14ac:dyDescent="0.3">
      <c r="A3" s="5"/>
      <c r="B3" s="2"/>
      <c r="C3" s="2"/>
      <c r="D3" s="2"/>
      <c r="E3" s="2"/>
      <c r="F3" s="2">
        <f>'02.23'!F6</f>
        <v>761</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750</v>
      </c>
      <c r="G6" s="30">
        <f>SUM(B:B)</f>
        <v>127</v>
      </c>
      <c r="H6" s="30">
        <f>SUM(C:C)</f>
        <v>138</v>
      </c>
      <c r="I6" s="30"/>
      <c r="J6" s="33">
        <f>SUM(G6:H6)+SUM(E:E)</f>
        <v>480</v>
      </c>
      <c r="K6" s="112"/>
      <c r="L6" s="50">
        <f>J6/K1</f>
        <v>0.74766355140186913</v>
      </c>
    </row>
    <row r="7" spans="1:12" ht="30" x14ac:dyDescent="0.25">
      <c r="A7" s="17">
        <v>44986</v>
      </c>
      <c r="B7" s="18">
        <v>0</v>
      </c>
      <c r="C7" s="18">
        <v>0</v>
      </c>
      <c r="D7" s="2">
        <f t="shared" ref="D7:D44" si="0">B7-C7</f>
        <v>0</v>
      </c>
      <c r="E7" s="18">
        <v>14</v>
      </c>
      <c r="F7" s="2"/>
      <c r="G7" s="2"/>
      <c r="H7" s="2"/>
      <c r="I7" s="2"/>
      <c r="J7" s="2"/>
      <c r="K7" s="19" t="s">
        <v>107</v>
      </c>
      <c r="L7" s="107" t="s">
        <v>1803</v>
      </c>
    </row>
    <row r="8" spans="1:12" ht="30" x14ac:dyDescent="0.25">
      <c r="A8" s="17">
        <v>44987</v>
      </c>
      <c r="B8" s="18">
        <v>14</v>
      </c>
      <c r="C8" s="18">
        <v>0</v>
      </c>
      <c r="D8" s="2">
        <f t="shared" si="0"/>
        <v>14</v>
      </c>
      <c r="E8" s="18"/>
      <c r="F8" s="2"/>
      <c r="G8" s="2"/>
      <c r="H8" s="2"/>
      <c r="I8" s="2"/>
      <c r="J8" s="2"/>
      <c r="K8" s="19" t="s">
        <v>1807</v>
      </c>
      <c r="L8" s="66" t="s">
        <v>1804</v>
      </c>
    </row>
    <row r="9" spans="1:12" ht="45" x14ac:dyDescent="0.25">
      <c r="A9" s="17">
        <v>44987</v>
      </c>
      <c r="B9" s="18">
        <v>0</v>
      </c>
      <c r="C9" s="18">
        <v>27</v>
      </c>
      <c r="D9" s="2">
        <f t="shared" si="0"/>
        <v>-27</v>
      </c>
      <c r="E9" s="18"/>
      <c r="F9" s="2"/>
      <c r="G9" s="2"/>
      <c r="H9" s="2"/>
      <c r="I9" s="2"/>
      <c r="J9" s="2"/>
      <c r="K9" s="19" t="s">
        <v>1805</v>
      </c>
      <c r="L9" s="106" t="s">
        <v>1806</v>
      </c>
    </row>
    <row r="10" spans="1:12" ht="30" x14ac:dyDescent="0.25">
      <c r="A10" s="17">
        <v>44992</v>
      </c>
      <c r="B10" s="18">
        <v>0</v>
      </c>
      <c r="C10" s="18">
        <v>13</v>
      </c>
      <c r="D10" s="2">
        <f t="shared" si="0"/>
        <v>-13</v>
      </c>
      <c r="E10" s="18"/>
      <c r="F10" s="2"/>
      <c r="G10" s="2"/>
      <c r="H10" s="2"/>
      <c r="I10" s="2"/>
      <c r="J10" s="2"/>
      <c r="K10" s="19" t="s">
        <v>1808</v>
      </c>
      <c r="L10" s="106" t="s">
        <v>1809</v>
      </c>
    </row>
    <row r="11" spans="1:12" x14ac:dyDescent="0.25">
      <c r="A11" s="17">
        <v>44992</v>
      </c>
      <c r="B11" s="18">
        <v>5</v>
      </c>
      <c r="C11" s="18">
        <v>5</v>
      </c>
      <c r="D11" s="2">
        <f t="shared" si="0"/>
        <v>0</v>
      </c>
      <c r="E11" s="18"/>
      <c r="F11" s="2"/>
      <c r="G11" s="2"/>
      <c r="H11" s="2"/>
      <c r="I11" s="2"/>
      <c r="J11" s="2"/>
      <c r="K11" s="19" t="s">
        <v>1811</v>
      </c>
      <c r="L11" s="106" t="s">
        <v>1810</v>
      </c>
    </row>
    <row r="12" spans="1:12" x14ac:dyDescent="0.25">
      <c r="A12" s="17">
        <v>44992</v>
      </c>
      <c r="B12" s="18">
        <v>0</v>
      </c>
      <c r="C12" s="18">
        <v>1</v>
      </c>
      <c r="D12" s="2">
        <f t="shared" si="0"/>
        <v>-1</v>
      </c>
      <c r="E12" s="18"/>
      <c r="F12" s="2"/>
      <c r="G12" s="2"/>
      <c r="H12" s="2"/>
      <c r="I12" s="2"/>
      <c r="J12" s="2"/>
      <c r="K12" s="19">
        <v>588701</v>
      </c>
      <c r="L12" s="106" t="s">
        <v>1812</v>
      </c>
    </row>
    <row r="13" spans="1:12" x14ac:dyDescent="0.25">
      <c r="A13" s="17">
        <v>44993</v>
      </c>
      <c r="B13" s="18">
        <v>0</v>
      </c>
      <c r="C13" s="18">
        <v>1</v>
      </c>
      <c r="D13" s="2">
        <f t="shared" si="0"/>
        <v>-1</v>
      </c>
      <c r="E13" s="18"/>
      <c r="F13" s="2"/>
      <c r="G13" s="2"/>
      <c r="H13" s="2"/>
      <c r="I13" s="2"/>
      <c r="J13" s="2"/>
      <c r="K13" s="19">
        <v>577185</v>
      </c>
      <c r="L13" s="106" t="s">
        <v>1813</v>
      </c>
    </row>
    <row r="14" spans="1:12" x14ac:dyDescent="0.25">
      <c r="A14" s="17">
        <v>44993</v>
      </c>
      <c r="B14" s="18">
        <v>4</v>
      </c>
      <c r="C14" s="18">
        <v>4</v>
      </c>
      <c r="D14" s="2">
        <f t="shared" si="0"/>
        <v>0</v>
      </c>
      <c r="E14" s="18">
        <v>4</v>
      </c>
      <c r="F14" s="2"/>
      <c r="G14" s="2"/>
      <c r="H14" s="2"/>
      <c r="I14" s="2"/>
      <c r="J14" s="2"/>
      <c r="K14" s="19" t="s">
        <v>1814</v>
      </c>
    </row>
    <row r="15" spans="1:12" ht="30" x14ac:dyDescent="0.25">
      <c r="A15" s="17">
        <v>44994</v>
      </c>
      <c r="B15" s="18">
        <v>0</v>
      </c>
      <c r="C15" s="18">
        <v>18</v>
      </c>
      <c r="D15" s="2">
        <f t="shared" si="0"/>
        <v>-18</v>
      </c>
      <c r="E15" s="18"/>
      <c r="F15" s="2"/>
      <c r="G15" s="2"/>
      <c r="H15" s="2"/>
      <c r="I15" s="2"/>
      <c r="J15" s="2"/>
      <c r="K15" s="19" t="s">
        <v>1815</v>
      </c>
      <c r="L15" s="106" t="s">
        <v>1816</v>
      </c>
    </row>
    <row r="16" spans="1:12" x14ac:dyDescent="0.25">
      <c r="A16" s="17">
        <v>44994</v>
      </c>
      <c r="B16" s="18">
        <v>4</v>
      </c>
      <c r="C16" s="18">
        <v>0</v>
      </c>
      <c r="D16" s="2">
        <f t="shared" si="0"/>
        <v>4</v>
      </c>
      <c r="E16" s="18"/>
      <c r="F16" s="2"/>
      <c r="G16" s="2"/>
      <c r="H16" s="2"/>
      <c r="I16" s="2"/>
      <c r="J16" s="2"/>
      <c r="K16" s="19" t="s">
        <v>1817</v>
      </c>
      <c r="L16" s="106"/>
    </row>
    <row r="17" spans="1:12" ht="45" x14ac:dyDescent="0.25">
      <c r="A17" s="17">
        <v>45001</v>
      </c>
      <c r="B17" s="18">
        <v>0</v>
      </c>
      <c r="C17" s="18">
        <v>26</v>
      </c>
      <c r="D17" s="2">
        <f t="shared" si="0"/>
        <v>-26</v>
      </c>
      <c r="E17" s="18"/>
      <c r="F17" s="2"/>
      <c r="G17" s="2"/>
      <c r="H17" s="2"/>
      <c r="I17" s="2"/>
      <c r="J17" s="2"/>
      <c r="K17" s="19" t="s">
        <v>1818</v>
      </c>
      <c r="L17" s="106" t="s">
        <v>1819</v>
      </c>
    </row>
    <row r="18" spans="1:12" ht="30" x14ac:dyDescent="0.25">
      <c r="A18" s="17">
        <v>45002</v>
      </c>
      <c r="B18" s="18">
        <v>0</v>
      </c>
      <c r="C18" s="18">
        <v>0</v>
      </c>
      <c r="D18" s="2">
        <f t="shared" si="0"/>
        <v>0</v>
      </c>
      <c r="E18" s="18">
        <v>31</v>
      </c>
      <c r="F18" s="2"/>
      <c r="G18" s="2"/>
      <c r="H18" s="2"/>
      <c r="I18" s="2"/>
      <c r="J18" s="2"/>
      <c r="K18" s="19" t="s">
        <v>107</v>
      </c>
      <c r="L18" s="107" t="s">
        <v>1820</v>
      </c>
    </row>
    <row r="19" spans="1:12" ht="60" x14ac:dyDescent="0.25">
      <c r="A19" s="17">
        <v>45002</v>
      </c>
      <c r="B19" s="18">
        <v>31</v>
      </c>
      <c r="C19" s="18">
        <v>0</v>
      </c>
      <c r="D19" s="2">
        <f t="shared" si="0"/>
        <v>31</v>
      </c>
      <c r="E19" s="18"/>
      <c r="F19" s="2"/>
      <c r="G19" s="2"/>
      <c r="H19" s="2"/>
      <c r="I19" s="2"/>
      <c r="J19" s="2"/>
      <c r="K19" s="19" t="s">
        <v>1822</v>
      </c>
      <c r="L19" s="66" t="s">
        <v>1821</v>
      </c>
    </row>
    <row r="20" spans="1:12" ht="45" x14ac:dyDescent="0.25">
      <c r="A20" s="17">
        <v>45002</v>
      </c>
      <c r="B20" s="18">
        <v>0</v>
      </c>
      <c r="C20" s="18">
        <v>0</v>
      </c>
      <c r="D20" s="2">
        <f t="shared" si="0"/>
        <v>0</v>
      </c>
      <c r="E20" s="18">
        <v>108</v>
      </c>
      <c r="F20" s="2"/>
      <c r="G20" s="2"/>
      <c r="H20" s="2"/>
      <c r="I20" s="2"/>
      <c r="J20" s="2"/>
      <c r="K20" s="19" t="s">
        <v>1823</v>
      </c>
      <c r="L20" s="107" t="s">
        <v>1824</v>
      </c>
    </row>
    <row r="21" spans="1:12" ht="30" x14ac:dyDescent="0.25">
      <c r="A21" s="21">
        <v>45005</v>
      </c>
      <c r="B21" s="22">
        <v>0</v>
      </c>
      <c r="C21" s="22">
        <v>0</v>
      </c>
      <c r="D21" s="2">
        <f t="shared" si="0"/>
        <v>0</v>
      </c>
      <c r="E21" s="22">
        <v>35</v>
      </c>
      <c r="F21" s="23"/>
      <c r="G21" s="23"/>
      <c r="H21" s="23"/>
      <c r="I21" s="23"/>
      <c r="J21" s="23"/>
      <c r="K21" s="19" t="s">
        <v>107</v>
      </c>
      <c r="L21" s="107" t="s">
        <v>1826</v>
      </c>
    </row>
    <row r="22" spans="1:12" ht="60" x14ac:dyDescent="0.25">
      <c r="A22" s="17">
        <v>45006</v>
      </c>
      <c r="B22" s="18">
        <v>35</v>
      </c>
      <c r="C22" s="18">
        <v>0</v>
      </c>
      <c r="D22" s="2">
        <f t="shared" si="0"/>
        <v>35</v>
      </c>
      <c r="E22" s="18"/>
      <c r="F22" s="2"/>
      <c r="G22" s="2"/>
      <c r="H22" s="2"/>
      <c r="I22" s="2"/>
      <c r="J22" s="2"/>
      <c r="K22" s="19" t="s">
        <v>1827</v>
      </c>
      <c r="L22" s="106" t="s">
        <v>1825</v>
      </c>
    </row>
    <row r="23" spans="1:12" ht="30" x14ac:dyDescent="0.25">
      <c r="A23" s="17">
        <v>45006</v>
      </c>
      <c r="B23" s="18">
        <v>0</v>
      </c>
      <c r="C23" s="18">
        <v>0</v>
      </c>
      <c r="D23" s="2">
        <f t="shared" si="0"/>
        <v>0</v>
      </c>
      <c r="E23" s="18">
        <v>17</v>
      </c>
      <c r="F23" s="2"/>
      <c r="G23" s="2"/>
      <c r="H23" s="2"/>
      <c r="I23" s="2"/>
      <c r="J23" s="2"/>
      <c r="K23" s="19" t="s">
        <v>107</v>
      </c>
      <c r="L23" s="107" t="s">
        <v>1828</v>
      </c>
    </row>
    <row r="24" spans="1:12" ht="30" x14ac:dyDescent="0.25">
      <c r="A24" s="17">
        <v>45007</v>
      </c>
      <c r="B24" s="18">
        <v>17</v>
      </c>
      <c r="C24" s="18">
        <v>0</v>
      </c>
      <c r="D24" s="2">
        <f t="shared" si="0"/>
        <v>17</v>
      </c>
      <c r="E24" s="18"/>
      <c r="F24" s="2"/>
      <c r="G24" s="2"/>
      <c r="H24" s="2"/>
      <c r="I24" s="2"/>
      <c r="J24" s="2"/>
      <c r="K24" s="19" t="s">
        <v>1829</v>
      </c>
      <c r="L24" s="106" t="s">
        <v>1830</v>
      </c>
    </row>
    <row r="25" spans="1:12" x14ac:dyDescent="0.25">
      <c r="A25" s="17">
        <v>45007</v>
      </c>
      <c r="B25" s="18">
        <v>1</v>
      </c>
      <c r="C25" s="18">
        <v>1</v>
      </c>
      <c r="D25" s="2">
        <f t="shared" si="0"/>
        <v>0</v>
      </c>
      <c r="E25" s="18">
        <v>1</v>
      </c>
      <c r="F25" s="2"/>
      <c r="G25" s="2"/>
      <c r="H25" s="2"/>
      <c r="I25" s="2"/>
      <c r="J25" s="2"/>
      <c r="K25" s="19" t="s">
        <v>1831</v>
      </c>
    </row>
    <row r="26" spans="1:12" ht="30" x14ac:dyDescent="0.25">
      <c r="A26" s="17">
        <v>45006</v>
      </c>
      <c r="B26" s="18">
        <v>5</v>
      </c>
      <c r="C26" s="18">
        <v>5</v>
      </c>
      <c r="D26" s="2">
        <f t="shared" si="0"/>
        <v>0</v>
      </c>
      <c r="E26" s="18">
        <v>5</v>
      </c>
      <c r="F26" s="2"/>
      <c r="G26" s="2"/>
      <c r="H26" s="2"/>
      <c r="I26" s="2"/>
      <c r="J26" s="2"/>
      <c r="K26" s="19" t="s">
        <v>1832</v>
      </c>
      <c r="L26" s="106" t="s">
        <v>1833</v>
      </c>
    </row>
    <row r="27" spans="1:12" ht="30" x14ac:dyDescent="0.25">
      <c r="A27" s="17">
        <v>45008</v>
      </c>
      <c r="B27" s="18">
        <v>0</v>
      </c>
      <c r="C27" s="18">
        <v>18</v>
      </c>
      <c r="D27" s="2">
        <f t="shared" si="0"/>
        <v>-18</v>
      </c>
      <c r="E27" s="18"/>
      <c r="F27" s="2"/>
      <c r="G27" s="2"/>
      <c r="H27" s="2"/>
      <c r="I27" s="2"/>
      <c r="J27" s="2"/>
      <c r="K27" s="19" t="s">
        <v>1834</v>
      </c>
      <c r="L27" s="66" t="s">
        <v>1835</v>
      </c>
    </row>
    <row r="28" spans="1:12" x14ac:dyDescent="0.25">
      <c r="A28" s="17">
        <v>45014</v>
      </c>
      <c r="B28" s="18">
        <v>1</v>
      </c>
      <c r="C28" s="18">
        <v>1</v>
      </c>
      <c r="D28" s="2">
        <f t="shared" si="0"/>
        <v>0</v>
      </c>
      <c r="E28" s="18"/>
      <c r="F28" s="2"/>
      <c r="G28" s="2"/>
      <c r="H28" s="2"/>
      <c r="I28" s="2"/>
      <c r="J28" s="2"/>
      <c r="K28" s="19" t="s">
        <v>1836</v>
      </c>
    </row>
    <row r="29" spans="1:12" ht="30" x14ac:dyDescent="0.25">
      <c r="A29" s="17">
        <v>45015</v>
      </c>
      <c r="B29" s="18">
        <v>0</v>
      </c>
      <c r="C29" s="18">
        <v>18</v>
      </c>
      <c r="D29" s="2">
        <f t="shared" si="0"/>
        <v>-18</v>
      </c>
      <c r="E29" s="18"/>
      <c r="F29" s="2"/>
      <c r="G29" s="2"/>
      <c r="H29" s="2"/>
      <c r="I29" s="2"/>
      <c r="J29" s="2"/>
      <c r="K29" s="19" t="s">
        <v>1837</v>
      </c>
      <c r="L29" s="66" t="s">
        <v>1838</v>
      </c>
    </row>
    <row r="30" spans="1:12" ht="30" x14ac:dyDescent="0.25">
      <c r="A30" s="17">
        <v>45015</v>
      </c>
      <c r="B30" s="18">
        <v>10</v>
      </c>
      <c r="C30" s="18">
        <v>0</v>
      </c>
      <c r="D30" s="2">
        <f t="shared" si="0"/>
        <v>10</v>
      </c>
      <c r="E30" s="18"/>
      <c r="F30" s="2"/>
      <c r="G30" s="2"/>
      <c r="H30" s="2"/>
      <c r="I30" s="2"/>
      <c r="J30" s="2"/>
      <c r="K30" s="19" t="s">
        <v>1839</v>
      </c>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3imN6ML1tuG4X8xVUUZtmv7XNTjZQR4ETSzecvpZOEpJEdi57V2Vy+0quvTKBBl58wl0vfMDJsbT+mrOQXnIBA==" saltValue="YpsTxk2fL6IV5nyOyztC8g==" spinCount="100000" sheet="1" objects="1" scenarios="1" selectLockedCells="1" selectUnlockedCells="1"/>
  <customSheetViews>
    <customSheetView guid="{E5A7B818-645B-417C-A128-9FE559D9B124}" fitToPage="1">
      <pane ySplit="6" topLeftCell="A19" activePane="bottomLeft" state="frozen"/>
      <selection pane="bottomLeft" activeCell="C30" sqref="C30"/>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83" priority="1" operator="lessThan">
      <formula>0</formula>
    </cfRule>
    <cfRule type="cellIs" dxfId="8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L44"/>
  <sheetViews>
    <sheetView workbookViewId="0">
      <pane ySplit="6" topLeftCell="A16" activePane="bottomLeft" state="frozen"/>
      <selection pane="bottomLeft" activeCell="E28" sqref="E28"/>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-123</v>
      </c>
      <c r="L2" s="27"/>
    </row>
    <row r="3" spans="1:12" ht="15.75" thickBot="1" x14ac:dyDescent="0.3">
      <c r="A3" s="5"/>
      <c r="B3" s="2"/>
      <c r="C3" s="2"/>
      <c r="D3" s="2"/>
      <c r="E3" s="2"/>
      <c r="F3" s="2">
        <f>'03.23'!F6</f>
        <v>750</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765</v>
      </c>
      <c r="G6" s="30">
        <f>SUM(B:B)</f>
        <v>159</v>
      </c>
      <c r="H6" s="30">
        <f>SUM(C:C)</f>
        <v>144</v>
      </c>
      <c r="I6" s="30"/>
      <c r="J6" s="33">
        <f>SUM(G6:H6)+SUM(E:E)</f>
        <v>451</v>
      </c>
      <c r="K6" s="112"/>
      <c r="L6" s="50">
        <f>J6/K1</f>
        <v>0.70249221183800625</v>
      </c>
    </row>
    <row r="7" spans="1:12" ht="30" x14ac:dyDescent="0.25">
      <c r="A7" s="17">
        <v>45019</v>
      </c>
      <c r="B7" s="18">
        <v>0</v>
      </c>
      <c r="C7" s="18">
        <v>0</v>
      </c>
      <c r="D7" s="2">
        <f t="shared" ref="D7:D44" si="0">B7-C7</f>
        <v>0</v>
      </c>
      <c r="E7" s="18">
        <v>30</v>
      </c>
      <c r="F7" s="2"/>
      <c r="G7" s="2"/>
      <c r="H7" s="2"/>
      <c r="I7" s="2"/>
      <c r="J7" s="2"/>
      <c r="K7" s="19" t="s">
        <v>107</v>
      </c>
      <c r="L7" s="107" t="s">
        <v>1840</v>
      </c>
    </row>
    <row r="8" spans="1:12" ht="60" x14ac:dyDescent="0.25">
      <c r="A8" s="17">
        <v>45020</v>
      </c>
      <c r="B8" s="18">
        <v>30</v>
      </c>
      <c r="C8" s="18">
        <v>0</v>
      </c>
      <c r="D8" s="2">
        <f t="shared" si="0"/>
        <v>30</v>
      </c>
      <c r="E8" s="18"/>
      <c r="F8" s="2"/>
      <c r="G8" s="2"/>
      <c r="H8" s="2"/>
      <c r="I8" s="2"/>
      <c r="J8" s="2"/>
      <c r="K8" s="19" t="s">
        <v>1847</v>
      </c>
      <c r="L8" s="66" t="s">
        <v>1841</v>
      </c>
    </row>
    <row r="9" spans="1:12" x14ac:dyDescent="0.25">
      <c r="A9" s="17">
        <v>45020</v>
      </c>
      <c r="B9" s="18">
        <v>2</v>
      </c>
      <c r="C9" s="18">
        <v>2</v>
      </c>
      <c r="D9" s="2">
        <f t="shared" si="0"/>
        <v>0</v>
      </c>
      <c r="E9" s="18">
        <v>2</v>
      </c>
      <c r="F9" s="2"/>
      <c r="G9" s="2"/>
      <c r="H9" s="2"/>
      <c r="I9" s="2"/>
      <c r="J9" s="2"/>
      <c r="K9" s="19" t="s">
        <v>1842</v>
      </c>
    </row>
    <row r="10" spans="1:12" ht="30" x14ac:dyDescent="0.25">
      <c r="A10" s="17">
        <v>45021</v>
      </c>
      <c r="B10" s="18">
        <v>0</v>
      </c>
      <c r="C10" s="18">
        <v>18</v>
      </c>
      <c r="D10" s="2">
        <f t="shared" si="0"/>
        <v>-18</v>
      </c>
      <c r="E10" s="18"/>
      <c r="F10" s="2"/>
      <c r="G10" s="2"/>
      <c r="H10" s="2"/>
      <c r="I10" s="2"/>
      <c r="J10" s="2"/>
      <c r="K10" s="19" t="s">
        <v>1843</v>
      </c>
      <c r="L10" s="106" t="s">
        <v>1844</v>
      </c>
    </row>
    <row r="11" spans="1:12" ht="30" x14ac:dyDescent="0.25">
      <c r="A11" s="17">
        <v>45022</v>
      </c>
      <c r="B11" s="18">
        <v>0</v>
      </c>
      <c r="C11" s="18">
        <v>15</v>
      </c>
      <c r="D11" s="2">
        <f t="shared" si="0"/>
        <v>-15</v>
      </c>
      <c r="E11" s="18"/>
      <c r="F11" s="2"/>
      <c r="G11" s="2"/>
      <c r="H11" s="2"/>
      <c r="I11" s="2"/>
      <c r="J11" s="2"/>
      <c r="K11" s="19" t="s">
        <v>1845</v>
      </c>
      <c r="L11" s="106" t="s">
        <v>1846</v>
      </c>
    </row>
    <row r="12" spans="1:12" x14ac:dyDescent="0.25">
      <c r="A12" s="17">
        <v>45028</v>
      </c>
      <c r="B12" s="18">
        <v>1</v>
      </c>
      <c r="C12" s="18">
        <v>1</v>
      </c>
      <c r="D12" s="2">
        <f t="shared" si="0"/>
        <v>0</v>
      </c>
      <c r="E12" s="18">
        <v>1</v>
      </c>
      <c r="F12" s="2"/>
      <c r="G12" s="2"/>
      <c r="H12" s="2"/>
      <c r="I12" s="2"/>
      <c r="J12" s="2"/>
      <c r="K12" s="19" t="s">
        <v>1848</v>
      </c>
      <c r="L12" s="106"/>
    </row>
    <row r="13" spans="1:12" ht="30" x14ac:dyDescent="0.25">
      <c r="A13" s="17">
        <v>45029</v>
      </c>
      <c r="B13" s="18">
        <v>0</v>
      </c>
      <c r="C13" s="18">
        <v>17</v>
      </c>
      <c r="D13" s="2">
        <f t="shared" si="0"/>
        <v>-17</v>
      </c>
      <c r="E13" s="18"/>
      <c r="F13" s="2"/>
      <c r="G13" s="2"/>
      <c r="H13" s="2"/>
      <c r="I13" s="2"/>
      <c r="J13" s="2"/>
      <c r="K13" s="19" t="s">
        <v>1849</v>
      </c>
      <c r="L13" s="66" t="s">
        <v>1850</v>
      </c>
    </row>
    <row r="14" spans="1:12" x14ac:dyDescent="0.25">
      <c r="A14" s="17">
        <v>45030</v>
      </c>
      <c r="B14" s="18">
        <v>0</v>
      </c>
      <c r="C14" s="18">
        <v>2</v>
      </c>
      <c r="D14" s="2">
        <f t="shared" si="0"/>
        <v>-2</v>
      </c>
      <c r="E14" s="18"/>
      <c r="F14" s="2"/>
      <c r="G14" s="2"/>
      <c r="H14" s="2"/>
      <c r="I14" s="2"/>
      <c r="J14" s="2"/>
      <c r="K14" s="19" t="s">
        <v>1851</v>
      </c>
      <c r="L14" s="66" t="s">
        <v>1852</v>
      </c>
    </row>
    <row r="15" spans="1:12" ht="30" x14ac:dyDescent="0.25">
      <c r="A15" s="17">
        <v>45030</v>
      </c>
      <c r="B15" s="18">
        <v>0</v>
      </c>
      <c r="C15" s="18">
        <v>0</v>
      </c>
      <c r="D15" s="2">
        <f t="shared" si="0"/>
        <v>0</v>
      </c>
      <c r="E15" s="18">
        <v>13</v>
      </c>
      <c r="F15" s="2"/>
      <c r="G15" s="2"/>
      <c r="H15" s="2"/>
      <c r="I15" s="2"/>
      <c r="J15" s="2"/>
      <c r="K15" s="19" t="s">
        <v>107</v>
      </c>
      <c r="L15" s="107" t="s">
        <v>1854</v>
      </c>
    </row>
    <row r="16" spans="1:12" ht="30" x14ac:dyDescent="0.25">
      <c r="A16" s="17">
        <v>45030</v>
      </c>
      <c r="B16" s="18">
        <v>13</v>
      </c>
      <c r="C16" s="18">
        <v>0</v>
      </c>
      <c r="D16" s="2">
        <f t="shared" si="0"/>
        <v>13</v>
      </c>
      <c r="E16" s="18"/>
      <c r="F16" s="2"/>
      <c r="G16" s="2"/>
      <c r="H16" s="2"/>
      <c r="I16" s="2"/>
      <c r="J16" s="2"/>
      <c r="K16" s="19" t="s">
        <v>1855</v>
      </c>
      <c r="L16" s="106" t="s">
        <v>1853</v>
      </c>
    </row>
    <row r="17" spans="1:12" ht="30" x14ac:dyDescent="0.25">
      <c r="A17" s="17">
        <v>45034</v>
      </c>
      <c r="B17" s="18">
        <v>0</v>
      </c>
      <c r="C17" s="18">
        <v>15</v>
      </c>
      <c r="D17" s="2">
        <f t="shared" si="0"/>
        <v>-15</v>
      </c>
      <c r="E17" s="18"/>
      <c r="F17" s="2"/>
      <c r="G17" s="2"/>
      <c r="H17" s="2"/>
      <c r="I17" s="2"/>
      <c r="J17" s="2"/>
      <c r="K17" s="19" t="s">
        <v>1856</v>
      </c>
      <c r="L17" s="66" t="s">
        <v>1858</v>
      </c>
    </row>
    <row r="18" spans="1:12" ht="30" x14ac:dyDescent="0.25">
      <c r="A18" s="17">
        <v>45036</v>
      </c>
      <c r="B18" s="18">
        <v>0</v>
      </c>
      <c r="C18" s="18">
        <v>15</v>
      </c>
      <c r="D18" s="2">
        <f t="shared" si="0"/>
        <v>-15</v>
      </c>
      <c r="E18" s="18"/>
      <c r="F18" s="2"/>
      <c r="G18" s="2"/>
      <c r="H18" s="2"/>
      <c r="I18" s="2"/>
      <c r="J18" s="2"/>
      <c r="K18" s="19" t="s">
        <v>1857</v>
      </c>
      <c r="L18" s="106" t="s">
        <v>1859</v>
      </c>
    </row>
    <row r="19" spans="1:12" x14ac:dyDescent="0.25">
      <c r="A19" s="17">
        <v>45036</v>
      </c>
      <c r="B19" s="18">
        <v>7</v>
      </c>
      <c r="C19" s="18">
        <v>0</v>
      </c>
      <c r="D19" s="2">
        <f t="shared" si="0"/>
        <v>7</v>
      </c>
      <c r="E19" s="18"/>
      <c r="F19" s="2"/>
      <c r="G19" s="2"/>
      <c r="H19" s="2"/>
      <c r="I19" s="2"/>
      <c r="J19" s="2"/>
      <c r="K19" s="19" t="s">
        <v>1861</v>
      </c>
    </row>
    <row r="20" spans="1:12" x14ac:dyDescent="0.25">
      <c r="A20" s="17">
        <v>45037</v>
      </c>
      <c r="B20" s="18">
        <v>0</v>
      </c>
      <c r="C20" s="18">
        <v>3</v>
      </c>
      <c r="D20" s="2">
        <f t="shared" si="0"/>
        <v>-3</v>
      </c>
      <c r="E20" s="18"/>
      <c r="F20" s="2"/>
      <c r="G20" s="2"/>
      <c r="H20" s="2"/>
      <c r="I20" s="2"/>
      <c r="J20" s="2"/>
      <c r="K20" s="19" t="s">
        <v>1862</v>
      </c>
      <c r="L20" s="106" t="s">
        <v>1860</v>
      </c>
    </row>
    <row r="21" spans="1:12" x14ac:dyDescent="0.25">
      <c r="A21" s="21">
        <v>45037</v>
      </c>
      <c r="B21" s="22">
        <v>0</v>
      </c>
      <c r="C21" s="22">
        <v>0</v>
      </c>
      <c r="D21" s="2">
        <f t="shared" si="0"/>
        <v>0</v>
      </c>
      <c r="E21" s="22">
        <v>7</v>
      </c>
      <c r="F21" s="23"/>
      <c r="G21" s="23"/>
      <c r="H21" s="23"/>
      <c r="I21" s="23"/>
      <c r="J21" s="23"/>
      <c r="K21" s="19" t="s">
        <v>107</v>
      </c>
      <c r="L21" s="107" t="s">
        <v>1863</v>
      </c>
    </row>
    <row r="22" spans="1:12" x14ac:dyDescent="0.25">
      <c r="A22" s="17">
        <v>45037</v>
      </c>
      <c r="B22" s="18">
        <v>7</v>
      </c>
      <c r="C22" s="18">
        <v>0</v>
      </c>
      <c r="D22" s="2">
        <f t="shared" si="0"/>
        <v>7</v>
      </c>
      <c r="E22" s="18"/>
      <c r="F22" s="2"/>
      <c r="G22" s="2"/>
      <c r="H22" s="2"/>
      <c r="I22" s="2"/>
      <c r="J22" s="2"/>
      <c r="K22" s="19" t="s">
        <v>1865</v>
      </c>
      <c r="L22" s="106" t="s">
        <v>1864</v>
      </c>
    </row>
    <row r="23" spans="1:12" ht="30" x14ac:dyDescent="0.25">
      <c r="A23" s="17">
        <v>45040</v>
      </c>
      <c r="B23" s="18">
        <v>0</v>
      </c>
      <c r="C23" s="18">
        <v>0</v>
      </c>
      <c r="D23" s="2">
        <f t="shared" si="0"/>
        <v>0</v>
      </c>
      <c r="E23" s="18">
        <v>60</v>
      </c>
      <c r="F23" s="2"/>
      <c r="G23" s="2"/>
      <c r="H23" s="2"/>
      <c r="I23" s="2"/>
      <c r="J23" s="2"/>
      <c r="K23" s="19" t="s">
        <v>107</v>
      </c>
      <c r="L23" s="107" t="s">
        <v>1866</v>
      </c>
    </row>
    <row r="24" spans="1:12" ht="105" x14ac:dyDescent="0.25">
      <c r="A24" s="17">
        <v>45041</v>
      </c>
      <c r="B24" s="18">
        <v>60</v>
      </c>
      <c r="C24" s="18">
        <v>0</v>
      </c>
      <c r="D24" s="2">
        <f t="shared" si="0"/>
        <v>60</v>
      </c>
      <c r="E24" s="18"/>
      <c r="F24" s="2"/>
      <c r="G24" s="2"/>
      <c r="H24" s="2"/>
      <c r="I24" s="2"/>
      <c r="J24" s="2"/>
      <c r="K24" s="19" t="s">
        <v>1868</v>
      </c>
      <c r="L24" s="106" t="s">
        <v>1867</v>
      </c>
    </row>
    <row r="25" spans="1:12" ht="45" x14ac:dyDescent="0.25">
      <c r="A25" s="17">
        <v>45043</v>
      </c>
      <c r="B25" s="18">
        <v>0</v>
      </c>
      <c r="C25" s="18">
        <v>26</v>
      </c>
      <c r="D25" s="2">
        <f t="shared" si="0"/>
        <v>-26</v>
      </c>
      <c r="E25" s="18"/>
      <c r="F25" s="2"/>
      <c r="G25" s="2"/>
      <c r="H25" s="2"/>
      <c r="I25" s="2"/>
      <c r="J25" s="2"/>
      <c r="K25" s="19" t="s">
        <v>1869</v>
      </c>
      <c r="L25" s="106" t="s">
        <v>1870</v>
      </c>
    </row>
    <row r="26" spans="1:12" x14ac:dyDescent="0.25">
      <c r="A26" s="17">
        <v>45043</v>
      </c>
      <c r="B26" s="18">
        <v>0</v>
      </c>
      <c r="C26" s="18">
        <v>4</v>
      </c>
      <c r="D26" s="2">
        <f t="shared" si="0"/>
        <v>-4</v>
      </c>
      <c r="E26" s="18"/>
      <c r="F26" s="2"/>
      <c r="G26" s="2"/>
      <c r="H26" s="2"/>
      <c r="I26" s="2"/>
      <c r="J26" s="2"/>
      <c r="K26" s="19" t="s">
        <v>1871</v>
      </c>
      <c r="L26" s="106" t="s">
        <v>1872</v>
      </c>
    </row>
    <row r="27" spans="1:12" x14ac:dyDescent="0.25">
      <c r="A27" s="17">
        <v>45044</v>
      </c>
      <c r="B27" s="18">
        <v>0</v>
      </c>
      <c r="C27" s="18">
        <v>0</v>
      </c>
      <c r="D27" s="2">
        <f t="shared" si="0"/>
        <v>0</v>
      </c>
      <c r="E27" s="18">
        <v>9</v>
      </c>
      <c r="F27" s="2"/>
      <c r="G27" s="2"/>
      <c r="H27" s="2"/>
      <c r="I27" s="2"/>
      <c r="J27" s="2"/>
      <c r="K27" s="19" t="s">
        <v>107</v>
      </c>
      <c r="L27" s="66" t="s">
        <v>1873</v>
      </c>
    </row>
    <row r="28" spans="1:12" ht="45" x14ac:dyDescent="0.25">
      <c r="A28" s="17">
        <v>45044</v>
      </c>
      <c r="B28" s="18">
        <v>0</v>
      </c>
      <c r="C28" s="18">
        <v>26</v>
      </c>
      <c r="D28" s="2">
        <f t="shared" si="0"/>
        <v>-26</v>
      </c>
      <c r="E28" s="18"/>
      <c r="F28" s="2"/>
      <c r="G28" s="2"/>
      <c r="H28" s="2"/>
      <c r="I28" s="2"/>
      <c r="J28" s="2"/>
      <c r="K28" s="19" t="s">
        <v>1874</v>
      </c>
      <c r="L28" s="66" t="s">
        <v>1875</v>
      </c>
    </row>
    <row r="29" spans="1:12" ht="45" x14ac:dyDescent="0.25">
      <c r="A29" s="17">
        <v>45044</v>
      </c>
      <c r="B29" s="18">
        <v>26</v>
      </c>
      <c r="C29" s="18">
        <v>0</v>
      </c>
      <c r="D29" s="2">
        <f t="shared" si="0"/>
        <v>26</v>
      </c>
      <c r="E29" s="18">
        <v>26</v>
      </c>
      <c r="F29" s="2"/>
      <c r="G29" s="2"/>
      <c r="H29" s="2"/>
      <c r="I29" s="2"/>
      <c r="J29" s="2"/>
      <c r="K29" s="19" t="s">
        <v>1877</v>
      </c>
      <c r="L29" s="66" t="s">
        <v>1876</v>
      </c>
    </row>
    <row r="30" spans="1:12" x14ac:dyDescent="0.25">
      <c r="A30" s="17">
        <v>45044</v>
      </c>
      <c r="B30" s="18">
        <v>4</v>
      </c>
      <c r="C30" s="18">
        <v>0</v>
      </c>
      <c r="D30" s="2">
        <f t="shared" si="0"/>
        <v>4</v>
      </c>
      <c r="E30" s="18"/>
      <c r="F30" s="2"/>
      <c r="G30" s="2"/>
      <c r="H30" s="2"/>
      <c r="I30" s="2"/>
      <c r="J30" s="2"/>
      <c r="K30" s="19" t="s">
        <v>1871</v>
      </c>
    </row>
    <row r="31" spans="1:12" x14ac:dyDescent="0.25">
      <c r="A31" s="17">
        <v>45044</v>
      </c>
      <c r="B31" s="18">
        <v>9</v>
      </c>
      <c r="C31" s="18">
        <v>0</v>
      </c>
      <c r="D31" s="2">
        <f t="shared" si="0"/>
        <v>9</v>
      </c>
      <c r="E31" s="18"/>
      <c r="F31" s="2"/>
      <c r="G31" s="2"/>
      <c r="H31" s="2"/>
      <c r="I31" s="2"/>
      <c r="J31" s="2"/>
      <c r="K31" s="19" t="s">
        <v>1879</v>
      </c>
      <c r="L31" s="66" t="s">
        <v>1878</v>
      </c>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4bxEKO21Wmr8/gTN0zRTaZ95Nv7QBHk5zrO/n5XicmLAGBy6rwLIG0j6ddDmPdy8dRajikLX5TDIFVnGFFQBZw==" saltValue="XHaMDI6hoNU05qINTzqZ+g==" spinCount="100000" sheet="1" objects="1" scenarios="1" selectLockedCells="1" selectUnlockedCells="1"/>
  <customSheetViews>
    <customSheetView guid="{E5A7B818-645B-417C-A128-9FE559D9B124}" fitToPage="1">
      <pane ySplit="6" topLeftCell="A16" activePane="bottomLeft" state="frozen"/>
      <selection pane="bottomLeft" activeCell="E28" sqref="E28"/>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81" priority="1" operator="lessThan">
      <formula>0</formula>
    </cfRule>
    <cfRule type="cellIs" dxfId="8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L44"/>
  <sheetViews>
    <sheetView workbookViewId="0">
      <pane ySplit="6" topLeftCell="A13" activePane="bottomLeft" state="frozen"/>
      <selection pane="bottomLeft" activeCell="E23" sqref="E23"/>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-169</v>
      </c>
      <c r="L2" s="27"/>
    </row>
    <row r="3" spans="1:12" ht="15.75" thickBot="1" x14ac:dyDescent="0.3">
      <c r="A3" s="5"/>
      <c r="B3" s="2"/>
      <c r="C3" s="2"/>
      <c r="D3" s="2"/>
      <c r="E3" s="2"/>
      <c r="F3" s="2">
        <f>'04.23'!F6</f>
        <v>765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811</v>
      </c>
      <c r="G6" s="30">
        <f>SUM(B:B)</f>
        <v>182</v>
      </c>
      <c r="H6" s="30">
        <f>SUM(C:C)</f>
        <v>136</v>
      </c>
      <c r="I6" s="30"/>
      <c r="J6" s="33">
        <f>SUM(G6:H6)+SUM(E:E)</f>
        <v>443</v>
      </c>
      <c r="K6" s="112"/>
      <c r="L6" s="50">
        <f>J6/K1</f>
        <v>0.6900311526479751</v>
      </c>
    </row>
    <row r="7" spans="1:12" ht="30" x14ac:dyDescent="0.25">
      <c r="A7" s="17">
        <v>45048</v>
      </c>
      <c r="B7" s="18">
        <v>0</v>
      </c>
      <c r="C7" s="18">
        <v>0</v>
      </c>
      <c r="D7" s="2">
        <f t="shared" ref="D7:D44" si="0">B7-C7</f>
        <v>0</v>
      </c>
      <c r="E7" s="18">
        <v>12</v>
      </c>
      <c r="F7" s="2"/>
      <c r="G7" s="2"/>
      <c r="H7" s="2"/>
      <c r="I7" s="2"/>
      <c r="J7" s="2"/>
      <c r="K7" s="19" t="s">
        <v>107</v>
      </c>
      <c r="L7" s="109" t="s">
        <v>1880</v>
      </c>
    </row>
    <row r="8" spans="1:12" ht="30" x14ac:dyDescent="0.25">
      <c r="A8" s="17">
        <v>45049</v>
      </c>
      <c r="B8" s="18">
        <v>12</v>
      </c>
      <c r="C8" s="18">
        <v>0</v>
      </c>
      <c r="D8" s="2">
        <f t="shared" si="0"/>
        <v>12</v>
      </c>
      <c r="E8" s="18"/>
      <c r="F8" s="2"/>
      <c r="G8" s="2"/>
      <c r="H8" s="2"/>
      <c r="I8" s="2"/>
      <c r="J8" s="2"/>
      <c r="K8" s="19" t="s">
        <v>1882</v>
      </c>
      <c r="L8" s="66" t="s">
        <v>1881</v>
      </c>
    </row>
    <row r="9" spans="1:12" ht="45" x14ac:dyDescent="0.25">
      <c r="A9" s="17">
        <v>45050</v>
      </c>
      <c r="B9" s="18">
        <v>0</v>
      </c>
      <c r="C9" s="18">
        <v>24</v>
      </c>
      <c r="D9" s="2">
        <f t="shared" si="0"/>
        <v>-24</v>
      </c>
      <c r="E9" s="18"/>
      <c r="F9" s="2"/>
      <c r="G9" s="2"/>
      <c r="H9" s="2"/>
      <c r="I9" s="2"/>
      <c r="J9" s="2"/>
      <c r="K9" s="19" t="s">
        <v>1883</v>
      </c>
      <c r="L9" s="66" t="s">
        <v>1884</v>
      </c>
    </row>
    <row r="10" spans="1:12" ht="18.75" x14ac:dyDescent="0.3">
      <c r="A10" s="17">
        <v>45050</v>
      </c>
      <c r="B10" s="18">
        <v>1</v>
      </c>
      <c r="C10" s="18">
        <v>1</v>
      </c>
      <c r="D10" s="2">
        <f t="shared" si="0"/>
        <v>0</v>
      </c>
      <c r="E10" s="18">
        <v>1</v>
      </c>
      <c r="F10" s="2"/>
      <c r="G10" s="2"/>
      <c r="H10" s="2"/>
      <c r="I10" s="2"/>
      <c r="J10" s="2"/>
      <c r="K10" s="19" t="s">
        <v>1885</v>
      </c>
      <c r="L10" s="83"/>
    </row>
    <row r="11" spans="1:12" x14ac:dyDescent="0.25">
      <c r="A11" s="17">
        <v>45054</v>
      </c>
      <c r="B11" s="18">
        <v>0</v>
      </c>
      <c r="C11" s="18">
        <v>0</v>
      </c>
      <c r="D11" s="2">
        <f t="shared" si="0"/>
        <v>0</v>
      </c>
      <c r="E11" s="18">
        <v>15</v>
      </c>
      <c r="F11" s="2"/>
      <c r="G11" s="2"/>
      <c r="H11" s="2"/>
      <c r="I11" s="2"/>
      <c r="J11" s="2"/>
      <c r="K11" s="19" t="s">
        <v>107</v>
      </c>
      <c r="L11" s="109" t="s">
        <v>1886</v>
      </c>
    </row>
    <row r="12" spans="1:12" x14ac:dyDescent="0.25">
      <c r="A12" s="17">
        <v>45054</v>
      </c>
      <c r="B12" s="18">
        <v>2</v>
      </c>
      <c r="C12" s="18">
        <v>2</v>
      </c>
      <c r="D12" s="2">
        <f t="shared" si="0"/>
        <v>0</v>
      </c>
      <c r="E12" s="18">
        <v>4</v>
      </c>
      <c r="F12" s="2"/>
      <c r="G12" s="2"/>
      <c r="H12" s="2"/>
      <c r="I12" s="2"/>
      <c r="J12" s="2"/>
      <c r="K12" s="19" t="s">
        <v>1888</v>
      </c>
    </row>
    <row r="13" spans="1:12" ht="30" x14ac:dyDescent="0.25">
      <c r="A13" s="17">
        <v>45054</v>
      </c>
      <c r="B13" s="18">
        <v>15</v>
      </c>
      <c r="C13" s="18">
        <v>0</v>
      </c>
      <c r="D13" s="2">
        <f t="shared" si="0"/>
        <v>15</v>
      </c>
      <c r="E13" s="18"/>
      <c r="F13" s="2"/>
      <c r="G13" s="2"/>
      <c r="H13" s="2"/>
      <c r="I13" s="2"/>
      <c r="J13" s="2"/>
      <c r="K13" s="19" t="s">
        <v>1889</v>
      </c>
      <c r="L13" s="106" t="s">
        <v>1887</v>
      </c>
    </row>
    <row r="14" spans="1:12" x14ac:dyDescent="0.25">
      <c r="A14" s="17">
        <v>45055</v>
      </c>
      <c r="B14" s="18">
        <v>0</v>
      </c>
      <c r="C14" s="18">
        <v>0</v>
      </c>
      <c r="D14" s="2">
        <f t="shared" si="0"/>
        <v>0</v>
      </c>
      <c r="E14" s="18">
        <v>16</v>
      </c>
      <c r="F14" s="2"/>
      <c r="G14" s="2"/>
      <c r="H14" s="2"/>
      <c r="I14" s="2"/>
      <c r="J14" s="2"/>
      <c r="K14" s="19" t="s">
        <v>107</v>
      </c>
      <c r="L14" s="109" t="s">
        <v>1890</v>
      </c>
    </row>
    <row r="15" spans="1:12" ht="30" x14ac:dyDescent="0.25">
      <c r="A15" s="17">
        <v>45055</v>
      </c>
      <c r="B15" s="18">
        <v>16</v>
      </c>
      <c r="C15" s="18">
        <v>0</v>
      </c>
      <c r="D15" s="2">
        <f t="shared" si="0"/>
        <v>16</v>
      </c>
      <c r="E15" s="18"/>
      <c r="F15" s="2"/>
      <c r="G15" s="2"/>
      <c r="H15" s="2"/>
      <c r="I15" s="2"/>
      <c r="J15" s="2"/>
      <c r="K15" s="19" t="s">
        <v>1891</v>
      </c>
      <c r="L15" s="109" t="s">
        <v>1893</v>
      </c>
    </row>
    <row r="16" spans="1:12" ht="45" x14ac:dyDescent="0.25">
      <c r="A16" s="17">
        <v>45055</v>
      </c>
      <c r="B16" s="18">
        <v>16</v>
      </c>
      <c r="C16" s="18">
        <v>16</v>
      </c>
      <c r="D16" s="2">
        <f t="shared" si="0"/>
        <v>0</v>
      </c>
      <c r="E16" s="18">
        <v>16</v>
      </c>
      <c r="F16" s="2"/>
      <c r="G16" s="2"/>
      <c r="H16" s="2"/>
      <c r="I16" s="2"/>
      <c r="J16" s="2"/>
      <c r="K16" s="19" t="s">
        <v>1892</v>
      </c>
      <c r="L16" s="106"/>
    </row>
    <row r="17" spans="1:12" ht="30" x14ac:dyDescent="0.25">
      <c r="A17" s="17">
        <v>45057</v>
      </c>
      <c r="B17" s="18">
        <v>0</v>
      </c>
      <c r="C17" s="18">
        <v>0</v>
      </c>
      <c r="D17" s="2">
        <f t="shared" si="0"/>
        <v>0</v>
      </c>
      <c r="E17" s="18">
        <v>13</v>
      </c>
      <c r="F17" s="2"/>
      <c r="G17" s="2"/>
      <c r="H17" s="2"/>
      <c r="I17" s="2"/>
      <c r="J17" s="2"/>
      <c r="K17" s="19" t="s">
        <v>107</v>
      </c>
      <c r="L17" s="109" t="s">
        <v>1896</v>
      </c>
    </row>
    <row r="18" spans="1:12" ht="60" x14ac:dyDescent="0.25">
      <c r="A18" s="17">
        <v>45057</v>
      </c>
      <c r="B18" s="18">
        <v>0</v>
      </c>
      <c r="C18" s="18">
        <v>29</v>
      </c>
      <c r="D18" s="2">
        <f t="shared" si="0"/>
        <v>-29</v>
      </c>
      <c r="E18" s="18"/>
      <c r="F18" s="2"/>
      <c r="G18" s="2"/>
      <c r="H18" s="2"/>
      <c r="I18" s="2"/>
      <c r="J18" s="2"/>
      <c r="K18" s="19" t="s">
        <v>1894</v>
      </c>
      <c r="L18" s="106" t="s">
        <v>1895</v>
      </c>
    </row>
    <row r="19" spans="1:12" ht="30" x14ac:dyDescent="0.25">
      <c r="A19" s="17">
        <v>45057</v>
      </c>
      <c r="B19" s="18">
        <v>13</v>
      </c>
      <c r="C19" s="18">
        <v>0</v>
      </c>
      <c r="D19" s="2">
        <f t="shared" si="0"/>
        <v>13</v>
      </c>
      <c r="E19" s="18"/>
      <c r="F19" s="2"/>
      <c r="G19" s="2"/>
      <c r="H19" s="2"/>
      <c r="I19" s="2"/>
      <c r="J19" s="2"/>
      <c r="K19" s="19" t="s">
        <v>1898</v>
      </c>
      <c r="L19" s="66" t="s">
        <v>1897</v>
      </c>
    </row>
    <row r="20" spans="1:12" ht="30" x14ac:dyDescent="0.25">
      <c r="A20" s="17">
        <v>45057</v>
      </c>
      <c r="B20" s="18">
        <v>12</v>
      </c>
      <c r="C20" s="18">
        <v>0</v>
      </c>
      <c r="D20" s="2">
        <f t="shared" si="0"/>
        <v>12</v>
      </c>
      <c r="E20" s="18"/>
      <c r="F20" s="2"/>
      <c r="G20" s="2"/>
      <c r="H20" s="2"/>
      <c r="I20" s="2"/>
      <c r="J20" s="2"/>
      <c r="K20" s="19" t="s">
        <v>1899</v>
      </c>
      <c r="L20" s="106"/>
    </row>
    <row r="21" spans="1:12" ht="30" x14ac:dyDescent="0.25">
      <c r="A21" s="21">
        <v>45061</v>
      </c>
      <c r="B21" s="22">
        <v>0</v>
      </c>
      <c r="C21" s="22">
        <v>0</v>
      </c>
      <c r="D21" s="2">
        <f t="shared" si="0"/>
        <v>0</v>
      </c>
      <c r="E21" s="22">
        <v>33</v>
      </c>
      <c r="F21" s="23"/>
      <c r="G21" s="23"/>
      <c r="H21" s="23"/>
      <c r="I21" s="23"/>
      <c r="J21" s="23"/>
      <c r="K21" s="19" t="s">
        <v>107</v>
      </c>
      <c r="L21" s="109" t="s">
        <v>1900</v>
      </c>
    </row>
    <row r="22" spans="1:12" ht="60" x14ac:dyDescent="0.25">
      <c r="A22" s="17">
        <v>45061</v>
      </c>
      <c r="B22" s="18">
        <v>33</v>
      </c>
      <c r="C22" s="18">
        <v>0</v>
      </c>
      <c r="D22" s="2">
        <f t="shared" si="0"/>
        <v>33</v>
      </c>
      <c r="E22" s="18"/>
      <c r="F22" s="2"/>
      <c r="G22" s="2"/>
      <c r="H22" s="2"/>
      <c r="I22" s="2"/>
      <c r="J22" s="2"/>
      <c r="K22" s="19" t="s">
        <v>1904</v>
      </c>
      <c r="L22" s="106" t="s">
        <v>1901</v>
      </c>
    </row>
    <row r="23" spans="1:12" ht="30" x14ac:dyDescent="0.25">
      <c r="A23" s="17">
        <v>45061</v>
      </c>
      <c r="B23" s="18">
        <v>4</v>
      </c>
      <c r="C23" s="18">
        <v>4</v>
      </c>
      <c r="D23" s="2">
        <f t="shared" si="0"/>
        <v>0</v>
      </c>
      <c r="E23" s="18">
        <v>4</v>
      </c>
      <c r="F23" s="2"/>
      <c r="G23" s="2"/>
      <c r="H23" s="2"/>
      <c r="I23" s="2"/>
      <c r="J23" s="2"/>
      <c r="K23" s="19" t="s">
        <v>1905</v>
      </c>
      <c r="L23" s="106"/>
    </row>
    <row r="24" spans="1:12" ht="30" x14ac:dyDescent="0.25">
      <c r="A24" s="17">
        <v>45061</v>
      </c>
      <c r="B24" s="18">
        <v>0</v>
      </c>
      <c r="C24" s="18">
        <v>0</v>
      </c>
      <c r="D24" s="2">
        <f t="shared" si="0"/>
        <v>0</v>
      </c>
      <c r="E24" s="18">
        <v>10</v>
      </c>
      <c r="F24" s="2"/>
      <c r="G24" s="2"/>
      <c r="H24" s="2"/>
      <c r="I24" s="2"/>
      <c r="J24" s="2"/>
      <c r="K24" s="19" t="s">
        <v>107</v>
      </c>
      <c r="L24" s="109" t="s">
        <v>1902</v>
      </c>
    </row>
    <row r="25" spans="1:12" ht="30" x14ac:dyDescent="0.25">
      <c r="A25" s="17">
        <v>45061</v>
      </c>
      <c r="B25" s="18">
        <v>10</v>
      </c>
      <c r="C25" s="18">
        <v>0</v>
      </c>
      <c r="D25" s="2">
        <f t="shared" si="0"/>
        <v>10</v>
      </c>
      <c r="E25" s="18"/>
      <c r="F25" s="2"/>
      <c r="G25" s="2"/>
      <c r="H25" s="2"/>
      <c r="I25" s="2"/>
      <c r="J25" s="2"/>
      <c r="K25" s="19" t="s">
        <v>1908</v>
      </c>
      <c r="L25" s="66" t="s">
        <v>1903</v>
      </c>
    </row>
    <row r="26" spans="1:12" x14ac:dyDescent="0.25">
      <c r="A26" s="17">
        <v>45061</v>
      </c>
      <c r="B26" s="18">
        <v>1</v>
      </c>
      <c r="C26" s="18">
        <v>1</v>
      </c>
      <c r="D26" s="2">
        <f t="shared" si="0"/>
        <v>0</v>
      </c>
      <c r="E26" s="18">
        <v>1</v>
      </c>
      <c r="F26" s="2"/>
      <c r="G26" s="2"/>
      <c r="H26" s="2"/>
      <c r="I26" s="2"/>
      <c r="J26" s="2"/>
      <c r="K26" s="19" t="s">
        <v>1907</v>
      </c>
      <c r="L26" s="106" t="s">
        <v>1906</v>
      </c>
    </row>
    <row r="27" spans="1:12" ht="75" x14ac:dyDescent="0.25">
      <c r="A27" s="17">
        <v>45062</v>
      </c>
      <c r="B27" s="18">
        <v>37</v>
      </c>
      <c r="C27" s="18">
        <v>37</v>
      </c>
      <c r="D27" s="2">
        <f t="shared" si="0"/>
        <v>0</v>
      </c>
      <c r="E27" s="18"/>
      <c r="F27" s="2"/>
      <c r="G27" s="2"/>
      <c r="H27" s="2"/>
      <c r="I27" s="2"/>
      <c r="J27" s="2"/>
      <c r="K27" s="19" t="s">
        <v>1909</v>
      </c>
      <c r="L27" s="66" t="s">
        <v>1910</v>
      </c>
    </row>
    <row r="28" spans="1:12" ht="30" x14ac:dyDescent="0.25">
      <c r="A28" s="17">
        <v>45063</v>
      </c>
      <c r="B28" s="18">
        <v>0</v>
      </c>
      <c r="C28" s="18">
        <v>10</v>
      </c>
      <c r="D28" s="2">
        <f t="shared" si="0"/>
        <v>-10</v>
      </c>
      <c r="E28" s="18"/>
      <c r="F28" s="2"/>
      <c r="G28" s="2"/>
      <c r="H28" s="2"/>
      <c r="I28" s="2"/>
      <c r="J28" s="2"/>
      <c r="K28" s="19" t="s">
        <v>1911</v>
      </c>
      <c r="L28" s="106" t="s">
        <v>1912</v>
      </c>
    </row>
    <row r="29" spans="1:12" ht="30" x14ac:dyDescent="0.25">
      <c r="A29" s="17">
        <v>45071</v>
      </c>
      <c r="B29" s="18">
        <v>0</v>
      </c>
      <c r="C29" s="18">
        <v>12</v>
      </c>
      <c r="D29" s="2">
        <f t="shared" si="0"/>
        <v>-12</v>
      </c>
      <c r="E29" s="18"/>
      <c r="F29" s="2"/>
      <c r="G29" s="2"/>
      <c r="H29" s="2"/>
      <c r="I29" s="2"/>
      <c r="J29" s="2"/>
      <c r="K29" s="19" t="s">
        <v>1913</v>
      </c>
      <c r="L29" s="106" t="s">
        <v>1914</v>
      </c>
    </row>
    <row r="30" spans="1:12" ht="30" x14ac:dyDescent="0.25">
      <c r="A30" s="17">
        <v>45071</v>
      </c>
      <c r="B30" s="18">
        <v>10</v>
      </c>
      <c r="C30" s="18">
        <v>0</v>
      </c>
      <c r="D30" s="2">
        <f t="shared" si="0"/>
        <v>10</v>
      </c>
      <c r="E30" s="18"/>
      <c r="F30" s="2"/>
      <c r="G30" s="2"/>
      <c r="H30" s="2"/>
      <c r="I30" s="2"/>
      <c r="J30" s="2"/>
      <c r="K30" s="19" t="s">
        <v>1915</v>
      </c>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DsqaAadLKHxgmhCmNK3LiHxHG+SJ/ZZQT9xtKCSxn+7d40jjyJYMCiibdyKVOYVTixO1g2KTXOwzAzGef6A5zQ==" saltValue="whVzoT6pK9D1MGFABfDUgQ==" spinCount="100000" sheet="1" objects="1" scenarios="1" selectLockedCells="1" selectUnlockedCells="1"/>
  <customSheetViews>
    <customSheetView guid="{E5A7B818-645B-417C-A128-9FE559D9B124}" fitToPage="1">
      <pane ySplit="6" topLeftCell="A13" activePane="bottomLeft" state="frozen"/>
      <selection pane="bottomLeft" activeCell="E23" sqref="E23"/>
      <pageMargins left="0.70866141732283472" right="0.70866141732283472" top="0.78740157480314965" bottom="0.78740157480314965" header="0.31496062992125984" footer="0.31496062992125984"/>
      <printOptions horizontalCentered="1" verticalCentered="1"/>
      <pageSetup paperSize="9" scale="54" orientation="landscape" r:id="rId1"/>
      <headerFooter>
        <oddFooter>&amp;C&amp;D / &amp;T&amp;RSeite &amp;P von &amp;N</oddFooter>
      </headerFooter>
    </customSheetView>
  </customSheetViews>
  <conditionalFormatting sqref="K2">
    <cfRule type="cellIs" dxfId="79" priority="1" operator="lessThan">
      <formula>0</formula>
    </cfRule>
    <cfRule type="cellIs" dxfId="7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4" orientation="landscape" r:id="rId2"/>
  <headerFooter>
    <oddFooter>&amp;C&amp;D / &amp;T&amp;RSeite &amp;P von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L44"/>
  <sheetViews>
    <sheetView workbookViewId="0">
      <pane ySplit="6" topLeftCell="A16" activePane="bottomLeft" state="frozen"/>
      <selection pane="bottomLeft" activeCell="F27" sqref="F27"/>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-162</v>
      </c>
      <c r="L2" s="27"/>
    </row>
    <row r="3" spans="1:12" ht="15.75" thickBot="1" x14ac:dyDescent="0.3">
      <c r="A3" s="5"/>
      <c r="B3" s="2"/>
      <c r="C3" s="2"/>
      <c r="D3" s="2"/>
      <c r="E3" s="2"/>
      <c r="F3" s="2">
        <f>'05.23'!F6</f>
        <v>811</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804</v>
      </c>
      <c r="G6" s="30">
        <f>SUM(B:B)</f>
        <v>128</v>
      </c>
      <c r="H6" s="30">
        <f>SUM(C:C)</f>
        <v>135</v>
      </c>
      <c r="I6" s="30"/>
      <c r="J6" s="33">
        <f>SUM(G6:H6)+SUM(E:E)</f>
        <v>362</v>
      </c>
      <c r="K6" s="112"/>
      <c r="L6" s="50">
        <f>J6/K1</f>
        <v>0.56386292834890961</v>
      </c>
    </row>
    <row r="7" spans="1:12" ht="45" x14ac:dyDescent="0.25">
      <c r="A7" s="17">
        <v>45078</v>
      </c>
      <c r="B7" s="18">
        <v>0</v>
      </c>
      <c r="C7" s="18">
        <v>24</v>
      </c>
      <c r="D7" s="2">
        <f t="shared" ref="D7:D44" si="0">B7-C7</f>
        <v>-24</v>
      </c>
      <c r="E7" s="18"/>
      <c r="F7" s="2"/>
      <c r="G7" s="2"/>
      <c r="H7" s="2"/>
      <c r="I7" s="2"/>
      <c r="J7" s="2"/>
      <c r="K7" s="19" t="s">
        <v>1916</v>
      </c>
      <c r="L7" s="106" t="s">
        <v>1918</v>
      </c>
    </row>
    <row r="8" spans="1:12" ht="30" x14ac:dyDescent="0.25">
      <c r="A8" s="17">
        <v>45078</v>
      </c>
      <c r="B8" s="18">
        <v>17</v>
      </c>
      <c r="C8" s="18">
        <v>0</v>
      </c>
      <c r="D8" s="2">
        <f t="shared" si="0"/>
        <v>17</v>
      </c>
      <c r="E8" s="18"/>
      <c r="F8" s="2"/>
      <c r="G8" s="2"/>
      <c r="H8" s="2"/>
      <c r="I8" s="2"/>
      <c r="J8" s="2"/>
      <c r="K8" s="19" t="s">
        <v>1917</v>
      </c>
    </row>
    <row r="9" spans="1:12" ht="45" x14ac:dyDescent="0.25">
      <c r="A9" s="17">
        <v>45085</v>
      </c>
      <c r="B9" s="18">
        <v>0</v>
      </c>
      <c r="C9" s="18">
        <v>27</v>
      </c>
      <c r="D9" s="2">
        <f t="shared" si="0"/>
        <v>-27</v>
      </c>
      <c r="E9" s="18"/>
      <c r="F9" s="2"/>
      <c r="G9" s="2"/>
      <c r="H9" s="2"/>
      <c r="I9" s="2"/>
      <c r="J9" s="2"/>
      <c r="K9" s="19" t="s">
        <v>1920</v>
      </c>
      <c r="L9" s="106" t="s">
        <v>1919</v>
      </c>
    </row>
    <row r="10" spans="1:12" ht="30.75" x14ac:dyDescent="0.3">
      <c r="A10" s="17">
        <v>45085</v>
      </c>
      <c r="B10" s="18">
        <v>12</v>
      </c>
      <c r="C10" s="18">
        <v>0</v>
      </c>
      <c r="D10" s="2">
        <f t="shared" si="0"/>
        <v>12</v>
      </c>
      <c r="E10" s="18"/>
      <c r="F10" s="2"/>
      <c r="G10" s="2"/>
      <c r="H10" s="2"/>
      <c r="I10" s="2"/>
      <c r="J10" s="2"/>
      <c r="K10" s="19" t="s">
        <v>1921</v>
      </c>
      <c r="L10" s="83"/>
    </row>
    <row r="11" spans="1:12" ht="30" x14ac:dyDescent="0.25">
      <c r="A11" s="17">
        <v>45092</v>
      </c>
      <c r="B11" s="18">
        <v>0</v>
      </c>
      <c r="C11" s="18">
        <v>0</v>
      </c>
      <c r="D11" s="2">
        <f t="shared" si="0"/>
        <v>0</v>
      </c>
      <c r="E11" s="18">
        <v>14</v>
      </c>
      <c r="F11" s="2"/>
      <c r="G11" s="2"/>
      <c r="H11" s="2"/>
      <c r="I11" s="2"/>
      <c r="J11" s="2"/>
      <c r="K11" s="19" t="s">
        <v>107</v>
      </c>
      <c r="L11" s="109" t="s">
        <v>1925</v>
      </c>
    </row>
    <row r="12" spans="1:12" ht="30" x14ac:dyDescent="0.25">
      <c r="A12" s="17">
        <v>45092</v>
      </c>
      <c r="B12" s="18">
        <v>14</v>
      </c>
      <c r="C12" s="18">
        <v>0</v>
      </c>
      <c r="D12" s="2">
        <f t="shared" si="0"/>
        <v>14</v>
      </c>
      <c r="E12" s="18"/>
      <c r="F12" s="2"/>
      <c r="G12" s="2"/>
      <c r="H12" s="2"/>
      <c r="I12" s="2"/>
      <c r="J12" s="2"/>
      <c r="K12" s="19" t="s">
        <v>1923</v>
      </c>
      <c r="L12" s="106" t="s">
        <v>1927</v>
      </c>
    </row>
    <row r="13" spans="1:12" ht="60" x14ac:dyDescent="0.25">
      <c r="A13" s="17">
        <v>45092</v>
      </c>
      <c r="B13" s="18">
        <v>0</v>
      </c>
      <c r="C13" s="18">
        <v>33</v>
      </c>
      <c r="D13" s="2">
        <f t="shared" si="0"/>
        <v>-33</v>
      </c>
      <c r="E13" s="18"/>
      <c r="F13" s="2"/>
      <c r="G13" s="2"/>
      <c r="H13" s="2"/>
      <c r="I13" s="2"/>
      <c r="J13" s="2"/>
      <c r="K13" s="19" t="s">
        <v>1924</v>
      </c>
      <c r="L13" s="106" t="s">
        <v>1922</v>
      </c>
    </row>
    <row r="14" spans="1:12" ht="30" x14ac:dyDescent="0.25">
      <c r="A14" s="17">
        <v>45093</v>
      </c>
      <c r="B14" s="18">
        <v>0</v>
      </c>
      <c r="C14" s="18">
        <v>0</v>
      </c>
      <c r="D14" s="2">
        <f t="shared" si="0"/>
        <v>0</v>
      </c>
      <c r="E14" s="18">
        <v>35</v>
      </c>
      <c r="F14" s="2"/>
      <c r="G14" s="2"/>
      <c r="H14" s="2"/>
      <c r="I14" s="2"/>
      <c r="J14" s="2"/>
      <c r="K14" s="19" t="s">
        <v>107</v>
      </c>
      <c r="L14" s="109" t="s">
        <v>1926</v>
      </c>
    </row>
    <row r="15" spans="1:12" ht="60" x14ac:dyDescent="0.25">
      <c r="A15" s="17">
        <v>45096</v>
      </c>
      <c r="B15" s="18">
        <v>35</v>
      </c>
      <c r="C15" s="18">
        <v>0</v>
      </c>
      <c r="D15" s="2">
        <f t="shared" si="0"/>
        <v>35</v>
      </c>
      <c r="E15" s="18"/>
      <c r="F15" s="2"/>
      <c r="G15" s="2"/>
      <c r="H15" s="2"/>
      <c r="I15" s="2"/>
      <c r="J15" s="2"/>
      <c r="K15" s="19" t="s">
        <v>1929</v>
      </c>
      <c r="L15" s="106" t="s">
        <v>1928</v>
      </c>
    </row>
    <row r="16" spans="1:12" ht="45" x14ac:dyDescent="0.25">
      <c r="A16" s="17">
        <v>45099</v>
      </c>
      <c r="B16" s="18">
        <v>0</v>
      </c>
      <c r="C16" s="18">
        <v>26</v>
      </c>
      <c r="D16" s="2">
        <f t="shared" si="0"/>
        <v>-26</v>
      </c>
      <c r="E16" s="18"/>
      <c r="F16" s="2"/>
      <c r="G16" s="2"/>
      <c r="H16" s="2"/>
      <c r="I16" s="2"/>
      <c r="J16" s="2"/>
      <c r="K16" s="19" t="s">
        <v>1930</v>
      </c>
      <c r="L16" s="106" t="s">
        <v>1931</v>
      </c>
    </row>
    <row r="17" spans="1:12" ht="30" x14ac:dyDescent="0.25">
      <c r="A17" s="17">
        <v>45105</v>
      </c>
      <c r="B17" s="18">
        <v>0</v>
      </c>
      <c r="C17" s="18">
        <v>0</v>
      </c>
      <c r="D17" s="2">
        <f t="shared" si="0"/>
        <v>0</v>
      </c>
      <c r="E17" s="18">
        <v>32</v>
      </c>
      <c r="F17" s="2"/>
      <c r="G17" s="2"/>
      <c r="H17" s="2"/>
      <c r="I17" s="2"/>
      <c r="J17" s="2"/>
      <c r="K17" s="19" t="s">
        <v>107</v>
      </c>
      <c r="L17" s="109" t="s">
        <v>1932</v>
      </c>
    </row>
    <row r="18" spans="1:12" ht="30" x14ac:dyDescent="0.25">
      <c r="A18" s="17">
        <v>45105</v>
      </c>
      <c r="B18" s="18">
        <v>0</v>
      </c>
      <c r="C18" s="18">
        <v>0</v>
      </c>
      <c r="D18" s="2">
        <f t="shared" si="0"/>
        <v>0</v>
      </c>
      <c r="E18" s="18">
        <v>12</v>
      </c>
      <c r="F18" s="2"/>
      <c r="G18" s="2"/>
      <c r="H18" s="2"/>
      <c r="I18" s="2"/>
      <c r="J18" s="2"/>
      <c r="K18" s="19" t="s">
        <v>107</v>
      </c>
      <c r="L18" s="109" t="s">
        <v>1933</v>
      </c>
    </row>
    <row r="19" spans="1:12" ht="30" x14ac:dyDescent="0.25">
      <c r="A19" s="17">
        <v>45106</v>
      </c>
      <c r="B19" s="18">
        <v>6</v>
      </c>
      <c r="C19" s="18">
        <v>6</v>
      </c>
      <c r="D19" s="2">
        <f t="shared" si="0"/>
        <v>0</v>
      </c>
      <c r="E19" s="18">
        <v>6</v>
      </c>
      <c r="F19" s="2"/>
      <c r="G19" s="2"/>
      <c r="H19" s="2"/>
      <c r="I19" s="2"/>
      <c r="J19" s="2"/>
      <c r="K19" s="19" t="s">
        <v>1935</v>
      </c>
    </row>
    <row r="20" spans="1:12" ht="45" x14ac:dyDescent="0.25">
      <c r="A20" s="17">
        <v>45106</v>
      </c>
      <c r="B20" s="18">
        <v>0</v>
      </c>
      <c r="C20" s="18">
        <v>19</v>
      </c>
      <c r="D20" s="2">
        <f t="shared" si="0"/>
        <v>-19</v>
      </c>
      <c r="E20" s="18"/>
      <c r="F20" s="2"/>
      <c r="G20" s="2"/>
      <c r="H20" s="2"/>
      <c r="I20" s="2"/>
      <c r="J20" s="2"/>
      <c r="K20" s="19" t="s">
        <v>1936</v>
      </c>
      <c r="L20" s="106" t="s">
        <v>1934</v>
      </c>
    </row>
    <row r="21" spans="1:12" ht="60" x14ac:dyDescent="0.25">
      <c r="A21" s="21">
        <v>45106</v>
      </c>
      <c r="B21" s="22">
        <v>32</v>
      </c>
      <c r="C21" s="22">
        <v>0</v>
      </c>
      <c r="D21" s="2">
        <f t="shared" si="0"/>
        <v>32</v>
      </c>
      <c r="E21" s="22"/>
      <c r="F21" s="23"/>
      <c r="G21" s="23"/>
      <c r="H21" s="23"/>
      <c r="I21" s="23"/>
      <c r="J21" s="23"/>
      <c r="K21" s="19" t="s">
        <v>1938</v>
      </c>
      <c r="L21" s="106" t="s">
        <v>1937</v>
      </c>
    </row>
    <row r="22" spans="1:12" ht="30" x14ac:dyDescent="0.25">
      <c r="A22" s="17">
        <v>45106</v>
      </c>
      <c r="B22" s="18">
        <v>12</v>
      </c>
      <c r="C22" s="18">
        <v>0</v>
      </c>
      <c r="D22" s="2">
        <f t="shared" si="0"/>
        <v>12</v>
      </c>
      <c r="E22" s="18"/>
      <c r="F22" s="2"/>
      <c r="G22" s="2"/>
      <c r="H22" s="2"/>
      <c r="I22" s="2"/>
      <c r="J22" s="2"/>
      <c r="K22" s="19" t="s">
        <v>1940</v>
      </c>
      <c r="L22" s="106" t="s">
        <v>1939</v>
      </c>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7Q2jmoMIBs46MbHLOaTOsrSa12TOSaW2F6uIE96ORPxAn5hqZuBbCaNGvEoNeZPnGizpeidD5ZEAt+O6gGbx9Q==" saltValue="BPD/9qiNZ0IltYmLy5db5A==" spinCount="100000" sheet="1" objects="1" scenarios="1" selectLockedCells="1" selectUnlockedCells="1"/>
  <customSheetViews>
    <customSheetView guid="{E5A7B818-645B-417C-A128-9FE559D9B124}" fitToPage="1">
      <pane ySplit="6" topLeftCell="A16" activePane="bottomLeft" state="frozen"/>
      <selection pane="bottomLeft" activeCell="F27" sqref="F27"/>
      <pageMargins left="0.70866141732283472" right="0.70866141732283472" top="0.78740157480314965" bottom="0.78740157480314965" header="0.31496062992125984" footer="0.31496062992125984"/>
      <printOptions horizontalCentered="1" verticalCentered="1"/>
      <pageSetup paperSize="9" scale="65" orientation="landscape" r:id="rId1"/>
      <headerFooter>
        <oddFooter>&amp;C&amp;D / &amp;T&amp;RSeite &amp;P von &amp;N</oddFooter>
      </headerFooter>
    </customSheetView>
  </customSheetViews>
  <conditionalFormatting sqref="K2">
    <cfRule type="cellIs" dxfId="77" priority="1" operator="lessThan">
      <formula>0</formula>
    </cfRule>
    <cfRule type="cellIs" dxfId="7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5" orientation="landscape" r:id="rId2"/>
  <headerFooter>
    <oddFooter>&amp;C&amp;D / &amp;T&amp;RSeite &amp;P von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L44"/>
  <sheetViews>
    <sheetView workbookViewId="0">
      <pane ySplit="6" topLeftCell="A7" activePane="bottomLeft" state="frozen"/>
      <selection pane="bottomLeft" activeCell="F19" sqref="F1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-195</v>
      </c>
      <c r="L2" s="27"/>
    </row>
    <row r="3" spans="1:12" ht="15.75" thickBot="1" x14ac:dyDescent="0.3">
      <c r="A3" s="5"/>
      <c r="B3" s="2"/>
      <c r="C3" s="2"/>
      <c r="D3" s="2"/>
      <c r="E3" s="2"/>
      <c r="F3" s="2">
        <f>'06.23'!F6</f>
        <v>804</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837</v>
      </c>
      <c r="G6" s="30">
        <f>SUM(B:B)</f>
        <v>80</v>
      </c>
      <c r="H6" s="30">
        <f>SUM(C:C)</f>
        <v>47</v>
      </c>
      <c r="I6" s="30"/>
      <c r="J6" s="33">
        <f>SUM(G6:H6)+SUM(E:E)</f>
        <v>175</v>
      </c>
      <c r="K6" s="112"/>
      <c r="L6" s="50">
        <f>J6/K1</f>
        <v>0.27258566978193144</v>
      </c>
    </row>
    <row r="7" spans="1:12" ht="45" x14ac:dyDescent="0.25">
      <c r="A7" s="17">
        <v>45113</v>
      </c>
      <c r="B7" s="18">
        <v>0</v>
      </c>
      <c r="C7" s="18">
        <v>27</v>
      </c>
      <c r="D7" s="2">
        <f t="shared" ref="D7:D44" si="0">B7-C7</f>
        <v>-27</v>
      </c>
      <c r="E7" s="18"/>
      <c r="F7" s="2"/>
      <c r="G7" s="2"/>
      <c r="H7" s="2"/>
      <c r="I7" s="2"/>
      <c r="J7" s="2"/>
      <c r="K7" s="19" t="s">
        <v>1941</v>
      </c>
      <c r="L7" s="106" t="s">
        <v>1942</v>
      </c>
    </row>
    <row r="8" spans="1:12" ht="30" x14ac:dyDescent="0.25">
      <c r="A8" s="17">
        <v>45113</v>
      </c>
      <c r="B8" s="18">
        <v>16</v>
      </c>
      <c r="C8" s="18">
        <v>0</v>
      </c>
      <c r="D8" s="2">
        <f t="shared" si="0"/>
        <v>16</v>
      </c>
      <c r="E8" s="18"/>
      <c r="F8" s="2"/>
      <c r="G8" s="2"/>
      <c r="H8" s="2"/>
      <c r="I8" s="2"/>
      <c r="J8" s="2"/>
      <c r="K8" s="19" t="s">
        <v>1943</v>
      </c>
    </row>
    <row r="9" spans="1:12" ht="30" x14ac:dyDescent="0.25">
      <c r="A9" s="17">
        <v>45119</v>
      </c>
      <c r="B9" s="18">
        <v>0</v>
      </c>
      <c r="C9" s="18">
        <v>0</v>
      </c>
      <c r="D9" s="2">
        <f t="shared" si="0"/>
        <v>0</v>
      </c>
      <c r="E9" s="18">
        <v>16</v>
      </c>
      <c r="F9" s="2"/>
      <c r="G9" s="2"/>
      <c r="H9" s="2"/>
      <c r="I9" s="2"/>
      <c r="J9" s="2"/>
      <c r="K9" s="19" t="s">
        <v>107</v>
      </c>
      <c r="L9" s="109" t="s">
        <v>1944</v>
      </c>
    </row>
    <row r="10" spans="1:12" ht="30" x14ac:dyDescent="0.25">
      <c r="A10" s="17">
        <v>45119</v>
      </c>
      <c r="B10" s="18">
        <v>16</v>
      </c>
      <c r="C10" s="18">
        <v>0</v>
      </c>
      <c r="D10" s="2">
        <f t="shared" si="0"/>
        <v>16</v>
      </c>
      <c r="E10" s="18"/>
      <c r="F10" s="2"/>
      <c r="G10" s="2"/>
      <c r="H10" s="2"/>
      <c r="I10" s="2"/>
      <c r="J10" s="2"/>
      <c r="K10" s="19" t="s">
        <v>1946</v>
      </c>
      <c r="L10" s="109" t="s">
        <v>1945</v>
      </c>
    </row>
    <row r="11" spans="1:12" ht="30" x14ac:dyDescent="0.25">
      <c r="A11" s="17">
        <v>45120</v>
      </c>
      <c r="B11" s="18">
        <v>0</v>
      </c>
      <c r="C11" s="18">
        <v>10</v>
      </c>
      <c r="D11" s="2">
        <f t="shared" si="0"/>
        <v>-10</v>
      </c>
      <c r="E11" s="18"/>
      <c r="F11" s="2"/>
      <c r="G11" s="2"/>
      <c r="H11" s="2"/>
      <c r="I11" s="2"/>
      <c r="J11" s="2"/>
      <c r="K11" s="19" t="s">
        <v>1947</v>
      </c>
      <c r="L11" s="106" t="s">
        <v>1948</v>
      </c>
    </row>
    <row r="12" spans="1:12" x14ac:dyDescent="0.25">
      <c r="A12" s="17">
        <v>45120</v>
      </c>
      <c r="B12" s="18">
        <v>7</v>
      </c>
      <c r="C12" s="18">
        <v>0</v>
      </c>
      <c r="D12" s="2">
        <f t="shared" si="0"/>
        <v>7</v>
      </c>
      <c r="E12" s="18"/>
      <c r="F12" s="2"/>
      <c r="G12" s="2"/>
      <c r="H12" s="2"/>
      <c r="I12" s="2"/>
      <c r="J12" s="2"/>
      <c r="K12" s="19" t="s">
        <v>1949</v>
      </c>
    </row>
    <row r="13" spans="1:12" x14ac:dyDescent="0.25">
      <c r="A13" s="17">
        <v>45128</v>
      </c>
      <c r="B13" s="18">
        <v>0</v>
      </c>
      <c r="C13" s="18">
        <v>7</v>
      </c>
      <c r="D13" s="2">
        <f t="shared" si="0"/>
        <v>-7</v>
      </c>
      <c r="E13" s="18"/>
      <c r="F13" s="2"/>
      <c r="G13" s="2"/>
      <c r="H13" s="2"/>
      <c r="I13" s="2"/>
      <c r="J13" s="2"/>
      <c r="K13" s="19" t="s">
        <v>1951</v>
      </c>
      <c r="L13" s="106" t="s">
        <v>1950</v>
      </c>
    </row>
    <row r="14" spans="1:12" x14ac:dyDescent="0.25">
      <c r="A14" s="17">
        <v>45134</v>
      </c>
      <c r="B14" s="18">
        <v>0</v>
      </c>
      <c r="C14" s="18">
        <v>3</v>
      </c>
      <c r="D14" s="2">
        <f t="shared" si="0"/>
        <v>-3</v>
      </c>
      <c r="E14" s="18"/>
      <c r="F14" s="2"/>
      <c r="G14" s="2"/>
      <c r="H14" s="2"/>
      <c r="I14" s="2"/>
      <c r="J14" s="2"/>
      <c r="K14" s="19" t="s">
        <v>1952</v>
      </c>
      <c r="L14" s="106" t="s">
        <v>1953</v>
      </c>
    </row>
    <row r="15" spans="1:12" x14ac:dyDescent="0.25">
      <c r="A15" s="17">
        <v>45134</v>
      </c>
      <c r="B15" s="18">
        <v>9</v>
      </c>
      <c r="C15" s="18">
        <v>0</v>
      </c>
      <c r="D15" s="2">
        <f t="shared" si="0"/>
        <v>9</v>
      </c>
      <c r="E15" s="18"/>
      <c r="F15" s="2"/>
      <c r="G15" s="2"/>
      <c r="H15" s="2"/>
      <c r="I15" s="2"/>
      <c r="J15" s="2"/>
      <c r="K15" s="19" t="s">
        <v>1954</v>
      </c>
      <c r="L15" s="106"/>
    </row>
    <row r="16" spans="1:12" ht="30" x14ac:dyDescent="0.25">
      <c r="A16" s="17">
        <v>45138</v>
      </c>
      <c r="B16" s="18">
        <v>0</v>
      </c>
      <c r="C16" s="18">
        <v>0</v>
      </c>
      <c r="D16" s="2">
        <f t="shared" si="0"/>
        <v>0</v>
      </c>
      <c r="E16" s="18">
        <v>32</v>
      </c>
      <c r="F16" s="2"/>
      <c r="G16" s="2"/>
      <c r="H16" s="2"/>
      <c r="I16" s="2"/>
      <c r="J16" s="2"/>
      <c r="K16" s="19" t="s">
        <v>107</v>
      </c>
      <c r="L16" s="109" t="s">
        <v>1955</v>
      </c>
    </row>
    <row r="17" spans="1:12" ht="60" x14ac:dyDescent="0.25">
      <c r="A17" s="17">
        <v>45138</v>
      </c>
      <c r="B17" s="18">
        <v>32</v>
      </c>
      <c r="C17" s="18">
        <v>0</v>
      </c>
      <c r="D17" s="2">
        <f t="shared" si="0"/>
        <v>32</v>
      </c>
      <c r="E17" s="18"/>
      <c r="F17" s="2"/>
      <c r="G17" s="2"/>
      <c r="H17" s="2"/>
      <c r="I17" s="2"/>
      <c r="J17" s="2"/>
      <c r="K17" s="19" t="s">
        <v>1957</v>
      </c>
      <c r="L17" s="106" t="s">
        <v>1956</v>
      </c>
    </row>
    <row r="18" spans="1:12" x14ac:dyDescent="0.25">
      <c r="A18" s="17"/>
      <c r="B18" s="18"/>
      <c r="C18" s="18"/>
      <c r="D18" s="2">
        <f t="shared" si="0"/>
        <v>0</v>
      </c>
      <c r="E18" s="18"/>
      <c r="F18" s="2"/>
      <c r="G18" s="2"/>
      <c r="H18" s="2"/>
      <c r="I18" s="2"/>
      <c r="J18" s="2"/>
      <c r="K18" s="19"/>
      <c r="L18" s="106"/>
    </row>
    <row r="19" spans="1:12" x14ac:dyDescent="0.25">
      <c r="A19" s="17"/>
      <c r="B19" s="18"/>
      <c r="C19" s="18"/>
      <c r="D19" s="2">
        <f t="shared" si="0"/>
        <v>0</v>
      </c>
      <c r="E19" s="18"/>
      <c r="F19" s="2"/>
      <c r="G19" s="2"/>
      <c r="H19" s="2"/>
      <c r="I19" s="2"/>
      <c r="J19" s="2"/>
      <c r="K19" s="19"/>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jbssUvRr7uGu3Nb9FNKke/N+JFnPaXMKlSgKoy1m2xo8gu4IwBS/Pcsl8fGUH7Vb26n2aLwNm+P3lWzqqGERFw==" saltValue="zjy3GKa3/rPnRRGHmQx0PQ==" spinCount="100000" sheet="1" objects="1" scenarios="1" selectLockedCells="1" selectUnlockedCells="1"/>
  <customSheetViews>
    <customSheetView guid="{E5A7B818-645B-417C-A128-9FE559D9B124}" fitToPage="1">
      <pane ySplit="6" topLeftCell="A7" activePane="bottomLeft" state="frozen"/>
      <selection pane="bottomLeft" activeCell="F19" sqref="F19"/>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75" priority="1" operator="lessThan">
      <formula>0</formula>
    </cfRule>
    <cfRule type="cellIs" dxfId="7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L44"/>
  <sheetViews>
    <sheetView workbookViewId="0">
      <pane ySplit="6" topLeftCell="A7" activePane="bottomLeft" state="frozen"/>
      <selection pane="bottomLeft" activeCell="L8" sqref="L8"/>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-209</v>
      </c>
      <c r="L2" s="27"/>
    </row>
    <row r="3" spans="1:12" ht="15.75" thickBot="1" x14ac:dyDescent="0.3">
      <c r="A3" s="5"/>
      <c r="B3" s="2"/>
      <c r="C3" s="2"/>
      <c r="D3" s="2"/>
      <c r="E3" s="2"/>
      <c r="F3" s="2">
        <f>'07.23'!F6</f>
        <v>837</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851</v>
      </c>
      <c r="G6" s="30">
        <f>SUM(B:B)</f>
        <v>123</v>
      </c>
      <c r="H6" s="30">
        <f>SUM(C:C)</f>
        <v>109</v>
      </c>
      <c r="I6" s="30"/>
      <c r="J6" s="33">
        <f>SUM(G6:H6)+SUM(E:E)</f>
        <v>340</v>
      </c>
      <c r="K6" s="112"/>
      <c r="L6" s="50">
        <f>J6/K1</f>
        <v>0.52959501557632394</v>
      </c>
    </row>
    <row r="7" spans="1:12" x14ac:dyDescent="0.25">
      <c r="A7" s="17">
        <v>45141</v>
      </c>
      <c r="B7" s="18">
        <v>0</v>
      </c>
      <c r="C7" s="18">
        <v>6</v>
      </c>
      <c r="D7" s="2">
        <f t="shared" ref="D7:D44" si="0">B7-C7</f>
        <v>-6</v>
      </c>
      <c r="E7" s="18"/>
      <c r="F7" s="2"/>
      <c r="G7" s="2"/>
      <c r="H7" s="2"/>
      <c r="I7" s="2"/>
      <c r="J7" s="2"/>
      <c r="K7" s="19" t="s">
        <v>1959</v>
      </c>
      <c r="L7" s="106" t="s">
        <v>1960</v>
      </c>
    </row>
    <row r="8" spans="1:12" ht="30" x14ac:dyDescent="0.25">
      <c r="A8" s="17">
        <v>45141</v>
      </c>
      <c r="B8" s="18">
        <v>10</v>
      </c>
      <c r="C8" s="18">
        <v>0</v>
      </c>
      <c r="D8" s="2">
        <f t="shared" si="0"/>
        <v>10</v>
      </c>
      <c r="E8" s="18"/>
      <c r="F8" s="2"/>
      <c r="G8" s="2"/>
      <c r="H8" s="2"/>
      <c r="I8" s="2"/>
      <c r="J8" s="2"/>
      <c r="K8" s="19" t="s">
        <v>1961</v>
      </c>
      <c r="L8" s="66" t="s">
        <v>1958</v>
      </c>
    </row>
    <row r="9" spans="1:12" ht="30" x14ac:dyDescent="0.25">
      <c r="A9" s="17">
        <v>45145</v>
      </c>
      <c r="B9" s="18">
        <v>0</v>
      </c>
      <c r="C9" s="18">
        <v>0</v>
      </c>
      <c r="D9" s="2">
        <f t="shared" si="0"/>
        <v>0</v>
      </c>
      <c r="E9" s="18">
        <v>33</v>
      </c>
      <c r="F9" s="2"/>
      <c r="G9" s="2"/>
      <c r="H9" s="2"/>
      <c r="I9" s="2"/>
      <c r="J9" s="2"/>
      <c r="K9" s="19" t="s">
        <v>107</v>
      </c>
      <c r="L9" s="109" t="s">
        <v>1962</v>
      </c>
    </row>
    <row r="10" spans="1:12" ht="60" x14ac:dyDescent="0.25">
      <c r="A10" s="17">
        <v>45145</v>
      </c>
      <c r="B10" s="18">
        <v>33</v>
      </c>
      <c r="C10" s="18">
        <v>0</v>
      </c>
      <c r="D10" s="2">
        <f t="shared" si="0"/>
        <v>33</v>
      </c>
      <c r="E10" s="18"/>
      <c r="F10" s="2"/>
      <c r="G10" s="2"/>
      <c r="H10" s="2"/>
      <c r="I10" s="2"/>
      <c r="J10" s="2"/>
      <c r="K10" s="19" t="s">
        <v>1969</v>
      </c>
      <c r="L10" s="109" t="s">
        <v>1963</v>
      </c>
    </row>
    <row r="11" spans="1:12" ht="30" x14ac:dyDescent="0.25">
      <c r="A11" s="17">
        <v>45145</v>
      </c>
      <c r="B11" s="18">
        <v>4</v>
      </c>
      <c r="C11" s="18">
        <v>4</v>
      </c>
      <c r="D11" s="2">
        <f t="shared" si="0"/>
        <v>0</v>
      </c>
      <c r="E11" s="18">
        <v>4</v>
      </c>
      <c r="F11" s="2"/>
      <c r="G11" s="2"/>
      <c r="H11" s="2"/>
      <c r="I11" s="2"/>
      <c r="J11" s="2"/>
      <c r="K11" s="19" t="s">
        <v>1964</v>
      </c>
      <c r="L11" s="106" t="s">
        <v>1965</v>
      </c>
    </row>
    <row r="12" spans="1:12" ht="30" x14ac:dyDescent="0.25">
      <c r="A12" s="17">
        <v>45145</v>
      </c>
      <c r="B12" s="18">
        <v>4</v>
      </c>
      <c r="C12" s="18">
        <v>4</v>
      </c>
      <c r="D12" s="2">
        <f t="shared" si="0"/>
        <v>0</v>
      </c>
      <c r="E12" s="18">
        <v>4</v>
      </c>
      <c r="F12" s="2"/>
      <c r="G12" s="2"/>
      <c r="H12" s="2"/>
      <c r="I12" s="2"/>
      <c r="J12" s="2"/>
      <c r="K12" s="19" t="s">
        <v>1966</v>
      </c>
      <c r="L12" s="106" t="s">
        <v>1965</v>
      </c>
    </row>
    <row r="13" spans="1:12" ht="30" x14ac:dyDescent="0.25">
      <c r="A13" s="17">
        <v>45148</v>
      </c>
      <c r="B13" s="18">
        <v>0</v>
      </c>
      <c r="C13" s="18">
        <v>16</v>
      </c>
      <c r="D13" s="2">
        <f t="shared" si="0"/>
        <v>-16</v>
      </c>
      <c r="E13" s="18"/>
      <c r="F13" s="2"/>
      <c r="G13" s="2"/>
      <c r="H13" s="2"/>
      <c r="I13" s="2"/>
      <c r="J13" s="2"/>
      <c r="K13" s="19" t="s">
        <v>1967</v>
      </c>
      <c r="L13" s="106" t="s">
        <v>1968</v>
      </c>
    </row>
    <row r="14" spans="1:12" ht="30" x14ac:dyDescent="0.25">
      <c r="A14" s="17">
        <v>45149</v>
      </c>
      <c r="B14" s="18">
        <v>0</v>
      </c>
      <c r="C14" s="18">
        <v>15</v>
      </c>
      <c r="D14" s="2">
        <f t="shared" si="0"/>
        <v>-15</v>
      </c>
      <c r="E14" s="18"/>
      <c r="F14" s="2"/>
      <c r="G14" s="2"/>
      <c r="H14" s="2"/>
      <c r="I14" s="2"/>
      <c r="J14" s="2"/>
      <c r="K14" s="19" t="s">
        <v>1970</v>
      </c>
      <c r="L14" s="106" t="s">
        <v>1971</v>
      </c>
    </row>
    <row r="15" spans="1:12" ht="30" x14ac:dyDescent="0.25">
      <c r="A15" s="17">
        <v>45152</v>
      </c>
      <c r="B15" s="18">
        <v>0</v>
      </c>
      <c r="C15" s="18">
        <v>0</v>
      </c>
      <c r="D15" s="2">
        <f t="shared" si="0"/>
        <v>0</v>
      </c>
      <c r="E15" s="18">
        <v>29</v>
      </c>
      <c r="F15" s="2"/>
      <c r="G15" s="2"/>
      <c r="H15" s="2"/>
      <c r="I15" s="2"/>
      <c r="J15" s="2"/>
      <c r="K15" s="19" t="s">
        <v>107</v>
      </c>
      <c r="L15" s="109" t="s">
        <v>1972</v>
      </c>
    </row>
    <row r="16" spans="1:12" ht="60" x14ac:dyDescent="0.25">
      <c r="A16" s="17">
        <v>45153</v>
      </c>
      <c r="B16" s="18">
        <v>29</v>
      </c>
      <c r="C16" s="18">
        <v>0</v>
      </c>
      <c r="D16" s="2">
        <f t="shared" si="0"/>
        <v>29</v>
      </c>
      <c r="E16" s="18"/>
      <c r="F16" s="2"/>
      <c r="G16" s="2"/>
      <c r="H16" s="2"/>
      <c r="I16" s="2"/>
      <c r="J16" s="2"/>
      <c r="K16" s="19" t="s">
        <v>1974</v>
      </c>
      <c r="L16" s="106" t="s">
        <v>1973</v>
      </c>
    </row>
    <row r="17" spans="1:12" ht="30" x14ac:dyDescent="0.25">
      <c r="A17" s="17">
        <v>45152</v>
      </c>
      <c r="B17" s="18">
        <v>7</v>
      </c>
      <c r="C17" s="18">
        <v>7</v>
      </c>
      <c r="D17" s="2">
        <f t="shared" si="0"/>
        <v>0</v>
      </c>
      <c r="E17" s="18">
        <v>7</v>
      </c>
      <c r="F17" s="2"/>
      <c r="G17" s="2"/>
      <c r="H17" s="2"/>
      <c r="I17" s="2"/>
      <c r="J17" s="2"/>
      <c r="K17" s="19" t="s">
        <v>1976</v>
      </c>
      <c r="L17" s="106" t="s">
        <v>1975</v>
      </c>
    </row>
    <row r="18" spans="1:12" ht="45" x14ac:dyDescent="0.25">
      <c r="A18" s="17">
        <v>45155</v>
      </c>
      <c r="B18" s="18">
        <v>0</v>
      </c>
      <c r="C18" s="18">
        <v>24</v>
      </c>
      <c r="D18" s="2">
        <f t="shared" si="0"/>
        <v>-24</v>
      </c>
      <c r="E18" s="18"/>
      <c r="F18" s="2"/>
      <c r="G18" s="2"/>
      <c r="H18" s="2"/>
      <c r="I18" s="2"/>
      <c r="J18" s="2"/>
      <c r="K18" s="19" t="s">
        <v>1977</v>
      </c>
      <c r="L18" s="106" t="s">
        <v>1978</v>
      </c>
    </row>
    <row r="19" spans="1:12" ht="30" x14ac:dyDescent="0.25">
      <c r="A19" s="17">
        <v>45159</v>
      </c>
      <c r="B19" s="18">
        <v>0</v>
      </c>
      <c r="C19" s="18">
        <v>0</v>
      </c>
      <c r="D19" s="2">
        <f t="shared" si="0"/>
        <v>0</v>
      </c>
      <c r="E19" s="18">
        <v>10</v>
      </c>
      <c r="F19" s="2"/>
      <c r="G19" s="2"/>
      <c r="H19" s="2"/>
      <c r="I19" s="2"/>
      <c r="J19" s="2"/>
      <c r="K19" s="19" t="s">
        <v>107</v>
      </c>
      <c r="L19" s="109" t="s">
        <v>1979</v>
      </c>
    </row>
    <row r="20" spans="1:12" ht="30" x14ac:dyDescent="0.25">
      <c r="A20" s="17">
        <v>45159</v>
      </c>
      <c r="B20" s="18">
        <v>10</v>
      </c>
      <c r="C20" s="18">
        <v>0</v>
      </c>
      <c r="D20" s="2">
        <f t="shared" si="0"/>
        <v>10</v>
      </c>
      <c r="E20" s="18"/>
      <c r="F20" s="2"/>
      <c r="G20" s="2"/>
      <c r="H20" s="2"/>
      <c r="I20" s="2"/>
      <c r="J20" s="2"/>
      <c r="K20" s="19" t="s">
        <v>1980</v>
      </c>
      <c r="L20" s="106" t="s">
        <v>1981</v>
      </c>
    </row>
    <row r="21" spans="1:12" ht="30" x14ac:dyDescent="0.25">
      <c r="A21" s="21">
        <v>45159</v>
      </c>
      <c r="B21" s="22">
        <v>2</v>
      </c>
      <c r="C21" s="22">
        <v>2</v>
      </c>
      <c r="D21" s="2">
        <f t="shared" si="0"/>
        <v>0</v>
      </c>
      <c r="E21" s="22">
        <v>2</v>
      </c>
      <c r="F21" s="23"/>
      <c r="G21" s="23"/>
      <c r="H21" s="23"/>
      <c r="I21" s="23"/>
      <c r="J21" s="23"/>
      <c r="K21" s="19" t="s">
        <v>1982</v>
      </c>
      <c r="L21" s="106" t="s">
        <v>1983</v>
      </c>
    </row>
    <row r="22" spans="1:12" ht="30" x14ac:dyDescent="0.25">
      <c r="A22" s="17">
        <v>45161</v>
      </c>
      <c r="B22" s="18">
        <v>0</v>
      </c>
      <c r="C22" s="18">
        <v>0</v>
      </c>
      <c r="D22" s="2">
        <f t="shared" si="0"/>
        <v>0</v>
      </c>
      <c r="E22" s="18">
        <v>9</v>
      </c>
      <c r="F22" s="2"/>
      <c r="G22" s="2"/>
      <c r="H22" s="2"/>
      <c r="I22" s="2"/>
      <c r="J22" s="2"/>
      <c r="K22" s="19" t="s">
        <v>107</v>
      </c>
      <c r="L22" s="109" t="s">
        <v>1984</v>
      </c>
    </row>
    <row r="23" spans="1:12" x14ac:dyDescent="0.25">
      <c r="A23" s="17">
        <v>45161</v>
      </c>
      <c r="B23" s="18">
        <v>9</v>
      </c>
      <c r="C23" s="18">
        <v>0</v>
      </c>
      <c r="D23" s="2">
        <f t="shared" si="0"/>
        <v>9</v>
      </c>
      <c r="E23" s="18"/>
      <c r="F23" s="2"/>
      <c r="G23" s="2"/>
      <c r="H23" s="2"/>
      <c r="I23" s="2"/>
      <c r="J23" s="2"/>
      <c r="K23" s="19" t="s">
        <v>1986</v>
      </c>
      <c r="L23" s="106" t="s">
        <v>1985</v>
      </c>
    </row>
    <row r="24" spans="1:12" ht="30" x14ac:dyDescent="0.25">
      <c r="A24" s="17">
        <v>45162</v>
      </c>
      <c r="B24" s="18">
        <v>0</v>
      </c>
      <c r="C24" s="18">
        <v>15</v>
      </c>
      <c r="D24" s="2">
        <f t="shared" si="0"/>
        <v>-15</v>
      </c>
      <c r="E24" s="18"/>
      <c r="F24" s="2"/>
      <c r="G24" s="2"/>
      <c r="H24" s="2"/>
      <c r="I24" s="2"/>
      <c r="J24" s="2"/>
      <c r="K24" s="19" t="s">
        <v>1987</v>
      </c>
      <c r="L24" s="106" t="s">
        <v>1988</v>
      </c>
    </row>
    <row r="25" spans="1:12" ht="30" x14ac:dyDescent="0.25">
      <c r="A25" s="17">
        <v>45163</v>
      </c>
      <c r="B25" s="18">
        <v>0</v>
      </c>
      <c r="C25" s="18">
        <v>0</v>
      </c>
      <c r="D25" s="2">
        <f t="shared" si="0"/>
        <v>0</v>
      </c>
      <c r="E25" s="18">
        <v>10</v>
      </c>
      <c r="F25" s="2"/>
      <c r="G25" s="2"/>
      <c r="H25" s="2"/>
      <c r="I25" s="2"/>
      <c r="J25" s="2"/>
      <c r="K25" s="19" t="s">
        <v>107</v>
      </c>
      <c r="L25" s="109" t="s">
        <v>1989</v>
      </c>
    </row>
    <row r="26" spans="1:12" ht="30" x14ac:dyDescent="0.25">
      <c r="A26" s="17">
        <v>45166</v>
      </c>
      <c r="B26" s="18">
        <v>10</v>
      </c>
      <c r="C26" s="18">
        <v>0</v>
      </c>
      <c r="D26" s="2">
        <f t="shared" si="0"/>
        <v>10</v>
      </c>
      <c r="E26" s="18"/>
      <c r="F26" s="2"/>
      <c r="G26" s="2"/>
      <c r="H26" s="2"/>
      <c r="I26" s="2"/>
      <c r="J26" s="2"/>
      <c r="K26" s="19" t="s">
        <v>1991</v>
      </c>
      <c r="L26" s="106" t="s">
        <v>1990</v>
      </c>
    </row>
    <row r="27" spans="1:12" x14ac:dyDescent="0.25">
      <c r="A27" s="17">
        <v>45167</v>
      </c>
      <c r="B27" s="18">
        <v>0</v>
      </c>
      <c r="C27" s="18">
        <v>1</v>
      </c>
      <c r="D27" s="2">
        <f t="shared" si="0"/>
        <v>-1</v>
      </c>
      <c r="E27" s="18"/>
      <c r="F27" s="2"/>
      <c r="G27" s="2"/>
      <c r="H27" s="2"/>
      <c r="I27" s="2"/>
      <c r="J27" s="2"/>
      <c r="K27" s="19">
        <v>597018</v>
      </c>
      <c r="L27" s="106" t="s">
        <v>1992</v>
      </c>
    </row>
    <row r="28" spans="1:12" ht="30" x14ac:dyDescent="0.25">
      <c r="A28" s="17">
        <v>45168</v>
      </c>
      <c r="B28" s="18">
        <v>0</v>
      </c>
      <c r="C28" s="18">
        <v>10</v>
      </c>
      <c r="D28" s="2">
        <f t="shared" si="0"/>
        <v>-10</v>
      </c>
      <c r="E28" s="18"/>
      <c r="F28" s="2"/>
      <c r="G28" s="2"/>
      <c r="H28" s="2"/>
      <c r="I28" s="2"/>
      <c r="J28" s="2"/>
      <c r="K28" s="19" t="s">
        <v>1991</v>
      </c>
      <c r="L28" s="106" t="s">
        <v>1993</v>
      </c>
    </row>
    <row r="29" spans="1:12" x14ac:dyDescent="0.25">
      <c r="A29" s="17">
        <v>45169</v>
      </c>
      <c r="B29" s="18">
        <v>0</v>
      </c>
      <c r="C29" s="18">
        <v>5</v>
      </c>
      <c r="D29" s="2">
        <f t="shared" si="0"/>
        <v>-5</v>
      </c>
      <c r="E29" s="18"/>
      <c r="F29" s="2"/>
      <c r="G29" s="2"/>
      <c r="H29" s="2"/>
      <c r="I29" s="2"/>
      <c r="J29" s="2"/>
      <c r="K29" s="19" t="s">
        <v>2000</v>
      </c>
      <c r="L29" s="106" t="s">
        <v>1994</v>
      </c>
    </row>
    <row r="30" spans="1:12" x14ac:dyDescent="0.25">
      <c r="A30" s="17">
        <v>45169</v>
      </c>
      <c r="B30" s="18">
        <v>5</v>
      </c>
      <c r="C30" s="18">
        <v>0</v>
      </c>
      <c r="D30" s="2">
        <f t="shared" si="0"/>
        <v>5</v>
      </c>
      <c r="E30" s="18"/>
      <c r="F30" s="2"/>
      <c r="G30" s="2"/>
      <c r="H30" s="2"/>
      <c r="I30" s="2"/>
      <c r="J30" s="2"/>
      <c r="K30" s="19" t="s">
        <v>1995</v>
      </c>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Kq/sEIrP/EIpNWoYgbgHWnYs34sWeMtm6YOR4TKYLNqe039CXw2mDjh4xq3N2nyBZqp+Gj4PrGtv71SqnntW6w==" saltValue="yjIbrmz/27f7WPb0xdEcUQ==" spinCount="100000" sheet="1" objects="1" scenarios="1"/>
  <customSheetViews>
    <customSheetView guid="{E5A7B818-645B-417C-A128-9FE559D9B124}" fitToPage="1">
      <pane ySplit="6" topLeftCell="A7" activePane="bottomLeft" state="frozen"/>
      <selection pane="bottomLeft" activeCell="K12" sqref="K12:L12"/>
      <pageMargins left="0.70866141732283472" right="0.70866141732283472" top="0.78740157480314965" bottom="0.78740157480314965" header="0.31496062992125984" footer="0.31496062992125984"/>
      <printOptions horizontalCentered="1" verticalCentered="1"/>
      <pageSetup paperSize="9" scale="68" fitToHeight="0" orientation="landscape" r:id="rId1"/>
      <headerFooter>
        <oddFooter>&amp;C&amp;D / &amp;T&amp;RSeite &amp;P von &amp;N</oddFooter>
      </headerFooter>
    </customSheetView>
  </customSheetViews>
  <conditionalFormatting sqref="K2">
    <cfRule type="cellIs" dxfId="73" priority="1" operator="lessThan">
      <formula>0</formula>
    </cfRule>
    <cfRule type="cellIs" dxfId="7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L44"/>
  <sheetViews>
    <sheetView workbookViewId="0">
      <pane ySplit="6" topLeftCell="A7" activePane="bottomLeft" state="frozen"/>
      <selection pane="bottomLeft" activeCell="K9" sqref="K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-209</v>
      </c>
      <c r="L2" s="27"/>
    </row>
    <row r="3" spans="1:12" ht="15.75" thickBot="1" x14ac:dyDescent="0.3">
      <c r="A3" s="5"/>
      <c r="B3" s="2"/>
      <c r="C3" s="2"/>
      <c r="D3" s="2"/>
      <c r="E3" s="2"/>
      <c r="F3" s="2">
        <f>'08.23'!F6</f>
        <v>851</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851</v>
      </c>
      <c r="G6" s="30">
        <f>SUM(B:B)</f>
        <v>57</v>
      </c>
      <c r="H6" s="30">
        <f>SUM(C:C)</f>
        <v>57</v>
      </c>
      <c r="I6" s="30"/>
      <c r="J6" s="33">
        <f>SUM(G6:H6)+SUM(E:E)</f>
        <v>156</v>
      </c>
      <c r="K6" s="112"/>
      <c r="L6" s="50">
        <f>J6/K1</f>
        <v>0.24299065420560748</v>
      </c>
    </row>
    <row r="7" spans="1:12" ht="30" x14ac:dyDescent="0.25">
      <c r="A7" s="17">
        <v>45170</v>
      </c>
      <c r="B7" s="18">
        <v>0</v>
      </c>
      <c r="C7" s="18">
        <v>0</v>
      </c>
      <c r="D7" s="2">
        <f t="shared" ref="D7:D44" si="0">B7-C7</f>
        <v>0</v>
      </c>
      <c r="E7" s="18">
        <v>13</v>
      </c>
      <c r="F7" s="2"/>
      <c r="G7" s="2"/>
      <c r="H7" s="2"/>
      <c r="I7" s="2"/>
      <c r="J7" s="2"/>
      <c r="K7" s="19" t="s">
        <v>107</v>
      </c>
      <c r="L7" s="109" t="s">
        <v>1996</v>
      </c>
    </row>
    <row r="8" spans="1:12" ht="30" x14ac:dyDescent="0.25">
      <c r="A8" s="17">
        <v>45173</v>
      </c>
      <c r="B8" s="18">
        <v>13</v>
      </c>
      <c r="C8" s="18">
        <v>0</v>
      </c>
      <c r="D8" s="2">
        <f t="shared" si="0"/>
        <v>13</v>
      </c>
      <c r="E8" s="18"/>
      <c r="F8" s="2"/>
      <c r="G8" s="2"/>
      <c r="H8" s="2"/>
      <c r="I8" s="2"/>
      <c r="J8" s="2"/>
      <c r="K8" s="19" t="s">
        <v>1999</v>
      </c>
      <c r="L8" s="66" t="s">
        <v>1997</v>
      </c>
    </row>
    <row r="9" spans="1:12" x14ac:dyDescent="0.25">
      <c r="A9" s="17">
        <v>45173</v>
      </c>
      <c r="B9" s="18">
        <v>1</v>
      </c>
      <c r="C9" s="18">
        <v>1</v>
      </c>
      <c r="D9" s="2">
        <f t="shared" si="0"/>
        <v>0</v>
      </c>
      <c r="E9" s="18">
        <v>1</v>
      </c>
      <c r="F9" s="2"/>
      <c r="G9" s="2"/>
      <c r="H9" s="2"/>
      <c r="I9" s="2"/>
      <c r="J9" s="2"/>
      <c r="K9" s="19" t="s">
        <v>1998</v>
      </c>
    </row>
    <row r="10" spans="1:12" x14ac:dyDescent="0.25">
      <c r="A10" s="17">
        <v>45174</v>
      </c>
      <c r="B10" s="18">
        <v>0</v>
      </c>
      <c r="C10" s="18">
        <v>7</v>
      </c>
      <c r="D10" s="2">
        <f t="shared" si="0"/>
        <v>-7</v>
      </c>
      <c r="E10" s="18"/>
      <c r="F10" s="2"/>
      <c r="G10" s="2"/>
      <c r="H10" s="2"/>
      <c r="I10" s="2"/>
      <c r="J10" s="2"/>
      <c r="K10" s="19" t="s">
        <v>2001</v>
      </c>
      <c r="L10" s="106" t="s">
        <v>2002</v>
      </c>
    </row>
    <row r="11" spans="1:12" x14ac:dyDescent="0.25">
      <c r="A11" s="17">
        <v>45174</v>
      </c>
      <c r="B11" s="18">
        <v>5</v>
      </c>
      <c r="C11" s="18">
        <v>0</v>
      </c>
      <c r="D11" s="2">
        <f t="shared" si="0"/>
        <v>5</v>
      </c>
      <c r="E11" s="18"/>
      <c r="F11" s="2"/>
      <c r="G11" s="2"/>
      <c r="H11" s="2"/>
      <c r="I11" s="2"/>
      <c r="J11" s="2"/>
      <c r="K11" s="19" t="s">
        <v>2003</v>
      </c>
    </row>
    <row r="12" spans="1:12" x14ac:dyDescent="0.25">
      <c r="A12" s="17">
        <v>45181</v>
      </c>
      <c r="B12" s="18">
        <v>0</v>
      </c>
      <c r="C12" s="18">
        <v>3</v>
      </c>
      <c r="D12" s="2">
        <f t="shared" si="0"/>
        <v>-3</v>
      </c>
      <c r="E12" s="18"/>
      <c r="F12" s="2"/>
      <c r="G12" s="2"/>
      <c r="H12" s="2"/>
      <c r="I12" s="2"/>
      <c r="J12" s="2"/>
      <c r="K12" s="19" t="s">
        <v>2004</v>
      </c>
      <c r="L12" s="106" t="s">
        <v>2005</v>
      </c>
    </row>
    <row r="13" spans="1:12" x14ac:dyDescent="0.25">
      <c r="A13" s="17">
        <v>45183</v>
      </c>
      <c r="B13" s="18">
        <v>0</v>
      </c>
      <c r="C13" s="18">
        <v>8</v>
      </c>
      <c r="D13" s="2">
        <f t="shared" si="0"/>
        <v>-8</v>
      </c>
      <c r="E13" s="18"/>
      <c r="F13" s="2"/>
      <c r="G13" s="2"/>
      <c r="H13" s="2"/>
      <c r="I13" s="2"/>
      <c r="J13" s="2"/>
      <c r="K13" s="19" t="s">
        <v>2006</v>
      </c>
      <c r="L13" s="106" t="s">
        <v>2007</v>
      </c>
    </row>
    <row r="14" spans="1:12" x14ac:dyDescent="0.25">
      <c r="A14" s="17">
        <v>45183</v>
      </c>
      <c r="B14" s="18">
        <v>6</v>
      </c>
      <c r="C14" s="18">
        <v>0</v>
      </c>
      <c r="D14" s="2">
        <f t="shared" si="0"/>
        <v>6</v>
      </c>
      <c r="E14" s="18"/>
      <c r="F14" s="2"/>
      <c r="G14" s="2"/>
      <c r="H14" s="2"/>
      <c r="I14" s="2"/>
      <c r="J14" s="2"/>
      <c r="K14" s="19" t="s">
        <v>2008</v>
      </c>
    </row>
    <row r="15" spans="1:12" ht="30" x14ac:dyDescent="0.25">
      <c r="A15" s="17">
        <v>45190</v>
      </c>
      <c r="B15" s="18">
        <v>0</v>
      </c>
      <c r="C15" s="18">
        <v>18</v>
      </c>
      <c r="D15" s="2">
        <f t="shared" si="0"/>
        <v>-18</v>
      </c>
      <c r="E15" s="18"/>
      <c r="F15" s="2"/>
      <c r="G15" s="2"/>
      <c r="H15" s="2"/>
      <c r="I15" s="2"/>
      <c r="J15" s="2"/>
      <c r="K15" s="19" t="s">
        <v>2009</v>
      </c>
      <c r="L15" s="106" t="s">
        <v>2010</v>
      </c>
    </row>
    <row r="16" spans="1:12" x14ac:dyDescent="0.25">
      <c r="A16" s="17">
        <v>45191</v>
      </c>
      <c r="B16" s="18">
        <v>0</v>
      </c>
      <c r="C16" s="18">
        <v>5</v>
      </c>
      <c r="D16" s="2">
        <f t="shared" si="0"/>
        <v>-5</v>
      </c>
      <c r="E16" s="18"/>
      <c r="F16" s="2"/>
      <c r="G16" s="2"/>
      <c r="H16" s="2"/>
      <c r="I16" s="2"/>
      <c r="J16" s="2"/>
      <c r="K16" s="19" t="s">
        <v>2011</v>
      </c>
      <c r="L16" s="106" t="s">
        <v>2012</v>
      </c>
    </row>
    <row r="17" spans="1:12" ht="30" x14ac:dyDescent="0.25">
      <c r="A17" s="17">
        <v>45191</v>
      </c>
      <c r="B17" s="18">
        <v>0</v>
      </c>
      <c r="C17" s="18">
        <v>0</v>
      </c>
      <c r="D17" s="2">
        <f t="shared" si="0"/>
        <v>0</v>
      </c>
      <c r="E17" s="18">
        <v>16</v>
      </c>
      <c r="F17" s="2"/>
      <c r="G17" s="2"/>
      <c r="H17" s="2"/>
      <c r="I17" s="2"/>
      <c r="J17" s="2"/>
      <c r="K17" s="19" t="s">
        <v>107</v>
      </c>
      <c r="L17" s="109" t="s">
        <v>2013</v>
      </c>
    </row>
    <row r="18" spans="1:12" x14ac:dyDescent="0.25">
      <c r="A18" s="17">
        <v>45191</v>
      </c>
      <c r="B18" s="18">
        <v>4</v>
      </c>
      <c r="C18" s="18">
        <v>0</v>
      </c>
      <c r="D18" s="2">
        <f t="shared" si="0"/>
        <v>4</v>
      </c>
      <c r="E18" s="18"/>
      <c r="F18" s="2"/>
      <c r="G18" s="2"/>
      <c r="H18" s="2"/>
      <c r="I18" s="2"/>
      <c r="J18" s="2"/>
      <c r="K18" s="109" t="s">
        <v>2015</v>
      </c>
    </row>
    <row r="19" spans="1:12" ht="30" x14ac:dyDescent="0.25">
      <c r="A19" s="17">
        <v>45194</v>
      </c>
      <c r="B19" s="18">
        <v>16</v>
      </c>
      <c r="C19" s="18">
        <v>0</v>
      </c>
      <c r="D19" s="2">
        <f t="shared" si="0"/>
        <v>16</v>
      </c>
      <c r="E19" s="18"/>
      <c r="F19" s="2"/>
      <c r="G19" s="2"/>
      <c r="H19" s="2"/>
      <c r="I19" s="2"/>
      <c r="J19" s="2"/>
      <c r="K19" s="19" t="s">
        <v>2016</v>
      </c>
      <c r="L19" s="106" t="s">
        <v>2014</v>
      </c>
    </row>
    <row r="20" spans="1:12" ht="30" x14ac:dyDescent="0.25">
      <c r="A20" s="17">
        <v>45197</v>
      </c>
      <c r="B20" s="18">
        <v>0</v>
      </c>
      <c r="C20" s="18">
        <v>0</v>
      </c>
      <c r="D20" s="2">
        <f t="shared" si="0"/>
        <v>0</v>
      </c>
      <c r="E20" s="18">
        <v>12</v>
      </c>
      <c r="F20" s="2"/>
      <c r="G20" s="2"/>
      <c r="H20" s="2"/>
      <c r="I20" s="2"/>
      <c r="J20" s="2"/>
      <c r="K20" s="19" t="s">
        <v>107</v>
      </c>
      <c r="L20" s="109" t="s">
        <v>2019</v>
      </c>
    </row>
    <row r="21" spans="1:12" ht="30" x14ac:dyDescent="0.25">
      <c r="A21" s="21">
        <v>45197</v>
      </c>
      <c r="B21" s="22">
        <v>0</v>
      </c>
      <c r="C21" s="22">
        <v>15</v>
      </c>
      <c r="D21" s="2">
        <f t="shared" si="0"/>
        <v>-15</v>
      </c>
      <c r="E21" s="22"/>
      <c r="F21" s="23"/>
      <c r="G21" s="23"/>
      <c r="H21" s="23"/>
      <c r="I21" s="23"/>
      <c r="J21" s="23"/>
      <c r="K21" s="19" t="s">
        <v>2017</v>
      </c>
      <c r="L21" s="106" t="s">
        <v>2018</v>
      </c>
    </row>
    <row r="22" spans="1:12" ht="30" x14ac:dyDescent="0.25">
      <c r="A22" s="17">
        <v>45198</v>
      </c>
      <c r="B22" s="18">
        <v>12</v>
      </c>
      <c r="C22" s="18">
        <v>0</v>
      </c>
      <c r="D22" s="2">
        <f t="shared" si="0"/>
        <v>12</v>
      </c>
      <c r="E22" s="18"/>
      <c r="F22" s="2"/>
      <c r="G22" s="2"/>
      <c r="H22" s="2"/>
      <c r="I22" s="2"/>
      <c r="J22" s="2"/>
      <c r="K22" s="19" t="s">
        <v>2021</v>
      </c>
      <c r="L22" s="106" t="s">
        <v>2020</v>
      </c>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JzFjVIATnrTdDu2fOrH7bk9+e/hnE8HeLAn27NFzHI+Pd3gWs3O+QX8ke7qSP9Zzbg1ZpuvAFbhhG+eAYji8bA==" saltValue="85AlMunQaNmwO9xy593/oQ==" spinCount="100000" sheet="1" objects="1" scenarios="1"/>
  <customSheetViews>
    <customSheetView guid="{E5A7B818-645B-417C-A128-9FE559D9B124}" fitToPage="1">
      <pane ySplit="6" topLeftCell="A7" activePane="bottomLeft" state="frozen"/>
      <selection pane="bottomLeft" activeCell="K9" sqref="K9"/>
      <pageMargins left="0.70866141732283472" right="0.70866141732283472" top="0.78740157480314965" bottom="0.78740157480314965" header="0.31496062992125984" footer="0.31496062992125984"/>
      <printOptions horizontalCentered="1" verticalCentered="1"/>
      <pageSetup paperSize="9" scale="49" orientation="landscape" r:id="rId1"/>
      <headerFooter>
        <oddFooter>&amp;C&amp;D / &amp;T&amp;RSeite &amp;P von &amp;N</oddFooter>
      </headerFooter>
    </customSheetView>
  </customSheetViews>
  <conditionalFormatting sqref="K2">
    <cfRule type="cellIs" dxfId="71" priority="1" operator="lessThan">
      <formula>0</formula>
    </cfRule>
    <cfRule type="cellIs" dxfId="7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49" orientation="landscape" r:id="rId2"/>
  <headerFooter>
    <oddFooter>&amp;C&amp;D / &amp;T&amp;RSeite &amp;P von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L44"/>
  <sheetViews>
    <sheetView workbookViewId="0">
      <pane ySplit="6" topLeftCell="A7" activePane="bottomLeft" state="frozen"/>
      <selection pane="bottomLeft" activeCell="K19" sqref="K1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-208</v>
      </c>
      <c r="L2" s="27"/>
    </row>
    <row r="3" spans="1:12" ht="15.75" thickBot="1" x14ac:dyDescent="0.3">
      <c r="A3" s="5"/>
      <c r="B3" s="2"/>
      <c r="C3" s="2"/>
      <c r="D3" s="2"/>
      <c r="E3" s="2"/>
      <c r="F3" s="2">
        <f>'09.23'!F6</f>
        <v>851</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850</v>
      </c>
      <c r="G6" s="30">
        <f>SUM(B:B)</f>
        <v>89</v>
      </c>
      <c r="H6" s="30">
        <f>SUM(C:C)</f>
        <v>90</v>
      </c>
      <c r="I6" s="30"/>
      <c r="J6" s="33">
        <f>SUM(G6:H6)+SUM(E:E)</f>
        <v>251</v>
      </c>
      <c r="K6" s="112"/>
      <c r="L6" s="50">
        <f>J6/K1</f>
        <v>0.3909657320872274</v>
      </c>
    </row>
    <row r="7" spans="1:12" ht="45" x14ac:dyDescent="0.25">
      <c r="A7" s="17">
        <v>45204</v>
      </c>
      <c r="B7" s="18">
        <v>0</v>
      </c>
      <c r="C7" s="18">
        <v>24</v>
      </c>
      <c r="D7" s="2">
        <f t="shared" ref="D7:D44" si="0">B7-C7</f>
        <v>-24</v>
      </c>
      <c r="E7" s="18"/>
      <c r="F7" s="2"/>
      <c r="G7" s="2"/>
      <c r="H7" s="2"/>
      <c r="I7" s="2"/>
      <c r="J7" s="2"/>
      <c r="K7" s="19" t="s">
        <v>2022</v>
      </c>
      <c r="L7" s="106" t="s">
        <v>2023</v>
      </c>
    </row>
    <row r="8" spans="1:12" ht="45" x14ac:dyDescent="0.25">
      <c r="A8" s="17">
        <v>45211</v>
      </c>
      <c r="B8" s="18">
        <v>0</v>
      </c>
      <c r="C8" s="18">
        <v>27</v>
      </c>
      <c r="D8" s="2">
        <f t="shared" si="0"/>
        <v>-27</v>
      </c>
      <c r="E8" s="18"/>
      <c r="F8" s="2"/>
      <c r="G8" s="2"/>
      <c r="H8" s="2"/>
      <c r="I8" s="2"/>
      <c r="J8" s="2"/>
      <c r="K8" s="19" t="s">
        <v>2024</v>
      </c>
      <c r="L8" s="106" t="s">
        <v>2031</v>
      </c>
    </row>
    <row r="9" spans="1:12" x14ac:dyDescent="0.25">
      <c r="A9" s="17">
        <v>45211</v>
      </c>
      <c r="B9" s="18">
        <v>3</v>
      </c>
      <c r="C9" s="18">
        <v>0</v>
      </c>
      <c r="D9" s="2">
        <f t="shared" si="0"/>
        <v>3</v>
      </c>
      <c r="E9" s="18"/>
      <c r="F9" s="2"/>
      <c r="G9" s="2"/>
      <c r="H9" s="2"/>
      <c r="I9" s="2"/>
      <c r="J9" s="2"/>
      <c r="K9" s="19" t="s">
        <v>2025</v>
      </c>
    </row>
    <row r="10" spans="1:12" ht="30" x14ac:dyDescent="0.25">
      <c r="A10" s="17">
        <v>45212</v>
      </c>
      <c r="B10" s="18">
        <v>0</v>
      </c>
      <c r="C10" s="18">
        <v>0</v>
      </c>
      <c r="D10" s="2">
        <f t="shared" si="0"/>
        <v>0</v>
      </c>
      <c r="E10" s="18">
        <v>12</v>
      </c>
      <c r="F10" s="2"/>
      <c r="G10" s="2"/>
      <c r="H10" s="2"/>
      <c r="I10" s="2"/>
      <c r="J10" s="2"/>
      <c r="K10" s="19" t="s">
        <v>107</v>
      </c>
      <c r="L10" s="109" t="s">
        <v>2026</v>
      </c>
    </row>
    <row r="11" spans="1:12" ht="30" x14ac:dyDescent="0.25">
      <c r="A11" s="17">
        <v>45215</v>
      </c>
      <c r="B11" s="18">
        <v>12</v>
      </c>
      <c r="C11" s="18">
        <v>0</v>
      </c>
      <c r="D11" s="2">
        <f t="shared" si="0"/>
        <v>12</v>
      </c>
      <c r="E11" s="18"/>
      <c r="F11" s="2"/>
      <c r="G11" s="2"/>
      <c r="H11" s="2"/>
      <c r="I11" s="2"/>
      <c r="J11" s="2"/>
      <c r="K11" s="19" t="s">
        <v>2028</v>
      </c>
      <c r="L11" s="106" t="s">
        <v>2027</v>
      </c>
    </row>
    <row r="12" spans="1:12" ht="45" x14ac:dyDescent="0.25">
      <c r="A12" s="17">
        <v>45218</v>
      </c>
      <c r="B12" s="18">
        <v>0</v>
      </c>
      <c r="C12" s="18">
        <v>24</v>
      </c>
      <c r="D12" s="2">
        <f t="shared" si="0"/>
        <v>-24</v>
      </c>
      <c r="E12" s="18"/>
      <c r="F12" s="2"/>
      <c r="G12" s="2"/>
      <c r="H12" s="2"/>
      <c r="I12" s="2"/>
      <c r="J12" s="2"/>
      <c r="K12" s="19" t="s">
        <v>2029</v>
      </c>
      <c r="L12" s="106" t="s">
        <v>2030</v>
      </c>
    </row>
    <row r="13" spans="1:12" ht="30" x14ac:dyDescent="0.25">
      <c r="A13" s="17">
        <v>45222</v>
      </c>
      <c r="B13" s="18">
        <v>0</v>
      </c>
      <c r="C13" s="18">
        <v>0</v>
      </c>
      <c r="D13" s="2">
        <f t="shared" si="0"/>
        <v>0</v>
      </c>
      <c r="E13" s="18">
        <v>39</v>
      </c>
      <c r="F13" s="2"/>
      <c r="G13" s="2"/>
      <c r="H13" s="2"/>
      <c r="I13" s="2"/>
      <c r="J13" s="2"/>
      <c r="K13" s="19" t="s">
        <v>107</v>
      </c>
      <c r="L13" s="109" t="s">
        <v>2032</v>
      </c>
    </row>
    <row r="14" spans="1:12" ht="75" x14ac:dyDescent="0.25">
      <c r="A14" s="17">
        <v>45223</v>
      </c>
      <c r="B14" s="18">
        <v>39</v>
      </c>
      <c r="C14" s="18">
        <v>0</v>
      </c>
      <c r="D14" s="2">
        <f t="shared" si="0"/>
        <v>39</v>
      </c>
      <c r="E14" s="18"/>
      <c r="F14" s="2"/>
      <c r="G14" s="2"/>
      <c r="H14" s="2"/>
      <c r="I14" s="2"/>
      <c r="J14" s="2"/>
      <c r="K14" s="19" t="s">
        <v>2035</v>
      </c>
      <c r="L14" s="66" t="s">
        <v>2033</v>
      </c>
    </row>
    <row r="15" spans="1:12" ht="45" x14ac:dyDescent="0.25">
      <c r="A15" s="17">
        <v>45223</v>
      </c>
      <c r="B15" s="18">
        <v>11</v>
      </c>
      <c r="C15" s="18">
        <v>11</v>
      </c>
      <c r="D15" s="2">
        <f t="shared" si="0"/>
        <v>0</v>
      </c>
      <c r="E15" s="18">
        <v>11</v>
      </c>
      <c r="F15" s="2"/>
      <c r="G15" s="2"/>
      <c r="H15" s="2"/>
      <c r="I15" s="2"/>
      <c r="J15" s="2"/>
      <c r="K15" s="19" t="s">
        <v>2034</v>
      </c>
      <c r="L15" s="106" t="s">
        <v>1965</v>
      </c>
    </row>
    <row r="16" spans="1:12" x14ac:dyDescent="0.25">
      <c r="A16" s="17">
        <v>45225</v>
      </c>
      <c r="B16" s="18">
        <v>0</v>
      </c>
      <c r="C16" s="18">
        <v>4</v>
      </c>
      <c r="D16" s="2">
        <f t="shared" si="0"/>
        <v>-4</v>
      </c>
      <c r="E16" s="18"/>
      <c r="F16" s="2"/>
      <c r="G16" s="2"/>
      <c r="H16" s="2"/>
      <c r="I16" s="2"/>
      <c r="J16" s="2"/>
      <c r="K16" s="19" t="s">
        <v>2036</v>
      </c>
      <c r="L16" s="106" t="s">
        <v>2037</v>
      </c>
    </row>
    <row r="17" spans="1:12" ht="30" x14ac:dyDescent="0.25">
      <c r="A17" s="17">
        <v>45225</v>
      </c>
      <c r="B17" s="18">
        <v>14</v>
      </c>
      <c r="C17" s="18">
        <v>0</v>
      </c>
      <c r="D17" s="2">
        <f t="shared" si="0"/>
        <v>14</v>
      </c>
      <c r="E17" s="18"/>
      <c r="F17" s="2"/>
      <c r="G17" s="2"/>
      <c r="H17" s="2"/>
      <c r="I17" s="2"/>
      <c r="J17" s="2"/>
      <c r="K17" s="19" t="s">
        <v>2038</v>
      </c>
      <c r="L17" s="106"/>
    </row>
    <row r="18" spans="1:12" ht="30" x14ac:dyDescent="0.25">
      <c r="A18" s="17">
        <v>45226</v>
      </c>
      <c r="B18" s="18">
        <v>0</v>
      </c>
      <c r="C18" s="18">
        <v>0</v>
      </c>
      <c r="D18" s="2">
        <f t="shared" si="0"/>
        <v>0</v>
      </c>
      <c r="E18" s="18">
        <v>10</v>
      </c>
      <c r="F18" s="2"/>
      <c r="G18" s="2"/>
      <c r="H18" s="2"/>
      <c r="I18" s="2"/>
      <c r="J18" s="2"/>
      <c r="K18" s="19" t="s">
        <v>107</v>
      </c>
      <c r="L18" s="109" t="s">
        <v>2039</v>
      </c>
    </row>
    <row r="19" spans="1:12" ht="30" x14ac:dyDescent="0.25">
      <c r="A19" s="17">
        <v>45226</v>
      </c>
      <c r="B19" s="18">
        <v>10</v>
      </c>
      <c r="C19" s="18">
        <v>0</v>
      </c>
      <c r="D19" s="2">
        <f t="shared" si="0"/>
        <v>10</v>
      </c>
      <c r="E19" s="18"/>
      <c r="F19" s="2"/>
      <c r="G19" s="2"/>
      <c r="H19" s="2"/>
      <c r="I19" s="2"/>
      <c r="J19" s="2"/>
      <c r="K19" s="19" t="s">
        <v>2041</v>
      </c>
      <c r="L19" s="66" t="s">
        <v>2040</v>
      </c>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eIkvjDURilk4yF1flc3d2+WJEcShza/RKKfhxv4AjwQ7jCUsAj4Y/PmEFDuA83wcQroHNAbROt/ffRe0bP51wg==" saltValue="JRX8uVe449sfCDa/opaUww==" spinCount="100000" sheet="1" objects="1" scenarios="1"/>
  <customSheetViews>
    <customSheetView guid="{E5A7B818-645B-417C-A128-9FE559D9B124}" fitToPage="1">
      <pane ySplit="6" topLeftCell="A22" activePane="bottomLeft" state="frozen"/>
      <selection pane="bottomLeft" activeCell="K19" sqref="K19"/>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69" priority="1" operator="lessThan">
      <formula>0</formula>
    </cfRule>
    <cfRule type="cellIs" dxfId="6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L44"/>
  <sheetViews>
    <sheetView workbookViewId="0">
      <pane ySplit="6" topLeftCell="A7" activePane="bottomLeft" state="frozen"/>
      <selection pane="bottomLeft" activeCell="K9" sqref="K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-174</v>
      </c>
      <c r="L2" s="27"/>
    </row>
    <row r="3" spans="1:12" ht="15.75" thickBot="1" x14ac:dyDescent="0.3">
      <c r="A3" s="5"/>
      <c r="B3" s="2"/>
      <c r="C3" s="2"/>
      <c r="D3" s="2"/>
      <c r="E3" s="2"/>
      <c r="F3" s="2">
        <f>'10.23'!F6</f>
        <v>850</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816</v>
      </c>
      <c r="G6" s="30">
        <f>SUM(B:B)</f>
        <v>83</v>
      </c>
      <c r="H6" s="30">
        <f>SUM(C:C)</f>
        <v>117</v>
      </c>
      <c r="I6" s="30"/>
      <c r="J6" s="33">
        <f>SUM(G6:H6)+SUM(E:E)</f>
        <v>271</v>
      </c>
      <c r="K6" s="112"/>
      <c r="L6" s="50">
        <f>J6/K1</f>
        <v>0.42211838006230529</v>
      </c>
    </row>
    <row r="7" spans="1:12" ht="30" x14ac:dyDescent="0.25">
      <c r="A7" s="17">
        <v>45226</v>
      </c>
      <c r="B7" s="18">
        <v>0</v>
      </c>
      <c r="C7" s="18">
        <v>0</v>
      </c>
      <c r="D7" s="2">
        <f t="shared" ref="D7:D44" si="0">B7-C7</f>
        <v>0</v>
      </c>
      <c r="E7" s="18">
        <v>12</v>
      </c>
      <c r="F7" s="2"/>
      <c r="G7" s="2"/>
      <c r="H7" s="2"/>
      <c r="I7" s="2"/>
      <c r="J7" s="2"/>
      <c r="K7" s="19" t="s">
        <v>107</v>
      </c>
      <c r="L7" s="109" t="s">
        <v>2042</v>
      </c>
    </row>
    <row r="8" spans="1:12" ht="30" x14ac:dyDescent="0.25">
      <c r="A8" s="17">
        <v>45231</v>
      </c>
      <c r="B8" s="18">
        <v>12</v>
      </c>
      <c r="C8" s="18">
        <v>0</v>
      </c>
      <c r="D8" s="2">
        <f t="shared" si="0"/>
        <v>12</v>
      </c>
      <c r="E8" s="18"/>
      <c r="F8" s="2"/>
      <c r="G8" s="2"/>
      <c r="H8" s="2"/>
      <c r="I8" s="2"/>
      <c r="J8" s="2"/>
      <c r="K8" s="19" t="s">
        <v>2044</v>
      </c>
      <c r="L8" s="66" t="s">
        <v>2043</v>
      </c>
    </row>
    <row r="9" spans="1:12" ht="45" x14ac:dyDescent="0.25">
      <c r="A9" s="17">
        <v>45231</v>
      </c>
      <c r="B9" s="18">
        <v>12</v>
      </c>
      <c r="C9" s="18">
        <v>12</v>
      </c>
      <c r="D9" s="2">
        <f t="shared" si="0"/>
        <v>0</v>
      </c>
      <c r="E9" s="18">
        <v>12</v>
      </c>
      <c r="F9" s="2"/>
      <c r="G9" s="2"/>
      <c r="H9" s="2"/>
      <c r="I9" s="2"/>
      <c r="J9" s="2"/>
      <c r="K9" s="19" t="s">
        <v>2045</v>
      </c>
    </row>
    <row r="10" spans="1:12" ht="30" x14ac:dyDescent="0.25">
      <c r="A10" s="17">
        <v>45231</v>
      </c>
      <c r="B10" s="18">
        <v>0</v>
      </c>
      <c r="C10" s="18">
        <v>0</v>
      </c>
      <c r="D10" s="2">
        <f t="shared" si="0"/>
        <v>0</v>
      </c>
      <c r="E10" s="18">
        <v>29</v>
      </c>
      <c r="F10" s="2"/>
      <c r="G10" s="2"/>
      <c r="H10" s="2"/>
      <c r="I10" s="2"/>
      <c r="J10" s="2"/>
      <c r="K10" s="19" t="s">
        <v>107</v>
      </c>
      <c r="L10" s="109" t="s">
        <v>2048</v>
      </c>
    </row>
    <row r="11" spans="1:12" ht="75" x14ac:dyDescent="0.25">
      <c r="A11" s="17">
        <v>45231</v>
      </c>
      <c r="B11" s="18">
        <v>29</v>
      </c>
      <c r="C11" s="18">
        <v>0</v>
      </c>
      <c r="D11" s="2">
        <f t="shared" si="0"/>
        <v>29</v>
      </c>
      <c r="E11" s="18"/>
      <c r="F11" s="2"/>
      <c r="G11" s="2"/>
      <c r="H11" s="2"/>
      <c r="I11" s="2"/>
      <c r="J11" s="2"/>
      <c r="K11" s="19" t="s">
        <v>2047</v>
      </c>
      <c r="L11" s="106" t="s">
        <v>2046</v>
      </c>
    </row>
    <row r="12" spans="1:12" ht="30" x14ac:dyDescent="0.25">
      <c r="A12" s="17">
        <v>45231</v>
      </c>
      <c r="B12" s="18">
        <v>0</v>
      </c>
      <c r="C12" s="18">
        <v>0</v>
      </c>
      <c r="D12" s="2">
        <f t="shared" si="0"/>
        <v>0</v>
      </c>
      <c r="E12" s="18">
        <v>9</v>
      </c>
      <c r="F12" s="2"/>
      <c r="G12" s="2"/>
      <c r="H12" s="2"/>
      <c r="I12" s="2"/>
      <c r="J12" s="2"/>
      <c r="K12" s="19" t="s">
        <v>107</v>
      </c>
      <c r="L12" s="109" t="s">
        <v>2052</v>
      </c>
    </row>
    <row r="13" spans="1:12" x14ac:dyDescent="0.25">
      <c r="A13" s="17">
        <v>45232</v>
      </c>
      <c r="B13" s="18">
        <v>9</v>
      </c>
      <c r="C13" s="18">
        <v>0</v>
      </c>
      <c r="D13" s="2">
        <f t="shared" si="0"/>
        <v>9</v>
      </c>
      <c r="E13" s="18"/>
      <c r="F13" s="2"/>
      <c r="G13" s="2"/>
      <c r="H13" s="2"/>
      <c r="I13" s="2"/>
      <c r="J13" s="2"/>
      <c r="K13" s="19" t="s">
        <v>2050</v>
      </c>
      <c r="L13" s="66" t="s">
        <v>2049</v>
      </c>
    </row>
    <row r="14" spans="1:12" ht="30" x14ac:dyDescent="0.25">
      <c r="A14" s="17">
        <v>45232</v>
      </c>
      <c r="B14" s="18">
        <v>9</v>
      </c>
      <c r="C14" s="18">
        <v>9</v>
      </c>
      <c r="D14" s="2">
        <f t="shared" si="0"/>
        <v>0</v>
      </c>
      <c r="E14" s="18">
        <v>9</v>
      </c>
      <c r="F14" s="2"/>
      <c r="G14" s="2"/>
      <c r="H14" s="2"/>
      <c r="I14" s="2"/>
      <c r="J14" s="2"/>
      <c r="K14" s="19" t="s">
        <v>2051</v>
      </c>
    </row>
    <row r="15" spans="1:12" ht="30" x14ac:dyDescent="0.25">
      <c r="A15" s="17">
        <v>45232</v>
      </c>
      <c r="B15" s="18">
        <v>0</v>
      </c>
      <c r="C15" s="18">
        <v>11</v>
      </c>
      <c r="D15" s="2">
        <f t="shared" si="0"/>
        <v>-11</v>
      </c>
      <c r="E15" s="18"/>
      <c r="F15" s="2"/>
      <c r="G15" s="2"/>
      <c r="H15" s="2"/>
      <c r="I15" s="2"/>
      <c r="J15" s="2"/>
      <c r="K15" s="19" t="s">
        <v>2053</v>
      </c>
      <c r="L15" s="106" t="s">
        <v>2054</v>
      </c>
    </row>
    <row r="16" spans="1:12" ht="30" x14ac:dyDescent="0.25">
      <c r="A16" s="17">
        <v>45239</v>
      </c>
      <c r="B16" s="18">
        <v>0</v>
      </c>
      <c r="C16" s="18">
        <v>15</v>
      </c>
      <c r="D16" s="2">
        <f t="shared" si="0"/>
        <v>-15</v>
      </c>
      <c r="E16" s="18"/>
      <c r="F16" s="2"/>
      <c r="G16" s="2"/>
      <c r="H16" s="2"/>
      <c r="I16" s="2"/>
      <c r="J16" s="2"/>
      <c r="K16" s="19" t="s">
        <v>2056</v>
      </c>
      <c r="L16" s="106" t="s">
        <v>2055</v>
      </c>
    </row>
    <row r="17" spans="1:12" x14ac:dyDescent="0.25">
      <c r="A17" s="17">
        <v>45243</v>
      </c>
      <c r="B17" s="18">
        <v>0</v>
      </c>
      <c r="C17" s="18">
        <v>2</v>
      </c>
      <c r="D17" s="2">
        <f t="shared" si="0"/>
        <v>-2</v>
      </c>
      <c r="E17" s="18"/>
      <c r="F17" s="2"/>
      <c r="G17" s="2"/>
      <c r="H17" s="2"/>
      <c r="I17" s="2"/>
      <c r="J17" s="2"/>
      <c r="K17" s="19" t="s">
        <v>2057</v>
      </c>
      <c r="L17" s="106" t="s">
        <v>2058</v>
      </c>
    </row>
    <row r="18" spans="1:12" ht="60" x14ac:dyDescent="0.25">
      <c r="A18" s="17">
        <v>45246</v>
      </c>
      <c r="B18" s="18">
        <v>0</v>
      </c>
      <c r="C18" s="18">
        <v>32</v>
      </c>
      <c r="D18" s="2">
        <f t="shared" si="0"/>
        <v>-32</v>
      </c>
      <c r="E18" s="18"/>
      <c r="F18" s="2"/>
      <c r="G18" s="2"/>
      <c r="H18" s="2"/>
      <c r="I18" s="2"/>
      <c r="J18" s="2"/>
      <c r="K18" s="19" t="s">
        <v>2059</v>
      </c>
      <c r="L18" s="106" t="s">
        <v>2060</v>
      </c>
    </row>
    <row r="19" spans="1:12" ht="30" x14ac:dyDescent="0.25">
      <c r="A19" s="17">
        <v>45246</v>
      </c>
      <c r="B19" s="18">
        <v>12</v>
      </c>
      <c r="C19" s="18">
        <v>0</v>
      </c>
      <c r="D19" s="2">
        <f t="shared" si="0"/>
        <v>12</v>
      </c>
      <c r="E19" s="18"/>
      <c r="F19" s="2"/>
      <c r="G19" s="2"/>
      <c r="H19" s="2"/>
      <c r="I19" s="2"/>
      <c r="J19" s="2"/>
      <c r="K19" s="19" t="s">
        <v>2061</v>
      </c>
    </row>
    <row r="20" spans="1:12" x14ac:dyDescent="0.25">
      <c r="A20" s="17">
        <v>45253</v>
      </c>
      <c r="B20" s="18">
        <v>0</v>
      </c>
      <c r="C20" s="18">
        <v>3</v>
      </c>
      <c r="D20" s="2">
        <f t="shared" si="0"/>
        <v>-3</v>
      </c>
      <c r="E20" s="18"/>
      <c r="F20" s="2"/>
      <c r="G20" s="2"/>
      <c r="H20" s="2"/>
      <c r="I20" s="2"/>
      <c r="J20" s="2"/>
      <c r="K20" s="19" t="s">
        <v>2063</v>
      </c>
      <c r="L20" s="106" t="s">
        <v>2062</v>
      </c>
    </row>
    <row r="21" spans="1:12" x14ac:dyDescent="0.25">
      <c r="A21" s="21">
        <v>45253</v>
      </c>
      <c r="B21" s="22">
        <v>0</v>
      </c>
      <c r="C21" s="22">
        <v>5</v>
      </c>
      <c r="D21" s="2">
        <f t="shared" si="0"/>
        <v>-5</v>
      </c>
      <c r="E21" s="22"/>
      <c r="F21" s="23"/>
      <c r="G21" s="23"/>
      <c r="H21" s="23"/>
      <c r="I21" s="23"/>
      <c r="J21" s="23"/>
      <c r="K21" s="19" t="s">
        <v>2064</v>
      </c>
      <c r="L21" s="106" t="s">
        <v>2062</v>
      </c>
    </row>
    <row r="22" spans="1:12" x14ac:dyDescent="0.25">
      <c r="A22" s="17">
        <v>45258</v>
      </c>
      <c r="B22" s="18">
        <v>0</v>
      </c>
      <c r="C22" s="18">
        <v>1</v>
      </c>
      <c r="D22" s="2">
        <f t="shared" si="0"/>
        <v>-1</v>
      </c>
      <c r="E22" s="18"/>
      <c r="F22" s="2"/>
      <c r="G22" s="2"/>
      <c r="H22" s="2"/>
      <c r="I22" s="2"/>
      <c r="J22" s="2"/>
      <c r="K22" s="19">
        <v>597027</v>
      </c>
      <c r="L22" s="106" t="s">
        <v>2065</v>
      </c>
    </row>
    <row r="23" spans="1:12" ht="45" x14ac:dyDescent="0.25">
      <c r="A23" s="17">
        <v>45260</v>
      </c>
      <c r="B23" s="18">
        <v>0</v>
      </c>
      <c r="C23" s="18">
        <v>27</v>
      </c>
      <c r="D23" s="2">
        <f t="shared" si="0"/>
        <v>-27</v>
      </c>
      <c r="E23" s="18"/>
      <c r="F23" s="2"/>
      <c r="G23" s="2"/>
      <c r="H23" s="2"/>
      <c r="I23" s="2"/>
      <c r="J23" s="2"/>
      <c r="K23" s="19" t="s">
        <v>2066</v>
      </c>
      <c r="L23" s="106" t="s">
        <v>2067</v>
      </c>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Vpz2ETiJVF45o2KOVwbeGWwawCOc/6q4Pn10Qa4TVvNoY+YPXfFUnjAkThudfW/RDA84Zt9g9f1fTiAVWLZwRw==" saltValue="U63DqKVud9Q+W+NQ0a7IpQ==" spinCount="100000" sheet="1" objects="1" scenarios="1"/>
  <customSheetViews>
    <customSheetView guid="{E5A7B818-645B-417C-A128-9FE559D9B124}" fitToPage="1">
      <pane ySplit="6" topLeftCell="A7" activePane="bottomLeft" state="frozen"/>
      <selection pane="bottomLeft" activeCell="K9" sqref="K9"/>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67" priority="1" operator="lessThan">
      <formula>0</formula>
    </cfRule>
    <cfRule type="cellIs" dxfId="6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L44"/>
  <sheetViews>
    <sheetView workbookViewId="0">
      <pane ySplit="6" topLeftCell="A7" activePane="bottomLeft" state="frozen"/>
      <selection pane="bottomLeft" activeCell="K9" sqref="K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-141</v>
      </c>
      <c r="L2" s="27"/>
    </row>
    <row r="3" spans="1:12" ht="15.75" thickBot="1" x14ac:dyDescent="0.3">
      <c r="A3" s="5"/>
      <c r="B3" s="2"/>
      <c r="C3" s="2"/>
      <c r="D3" s="2"/>
      <c r="E3" s="2"/>
      <c r="F3" s="2">
        <f>'11.23'!F6</f>
        <v>816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783</v>
      </c>
      <c r="G6" s="30">
        <f>SUM(B:B)</f>
        <v>20</v>
      </c>
      <c r="H6" s="30">
        <f>SUM(C:C)</f>
        <v>53</v>
      </c>
      <c r="I6" s="30"/>
      <c r="J6" s="33">
        <f>SUM(G6:H6)+SUM(E:E)</f>
        <v>459</v>
      </c>
      <c r="K6" s="112"/>
      <c r="L6" s="50">
        <f>J6/K1</f>
        <v>0.71495327102803741</v>
      </c>
    </row>
    <row r="7" spans="1:12" ht="30" x14ac:dyDescent="0.25">
      <c r="A7" s="17">
        <v>45267</v>
      </c>
      <c r="B7" s="18">
        <v>0</v>
      </c>
      <c r="C7" s="18">
        <v>11</v>
      </c>
      <c r="D7" s="2">
        <f t="shared" ref="D7:D44" si="0">B7-C7</f>
        <v>-11</v>
      </c>
      <c r="E7" s="18"/>
      <c r="F7" s="2"/>
      <c r="G7" s="2"/>
      <c r="H7" s="2"/>
      <c r="I7" s="2"/>
      <c r="J7" s="2"/>
      <c r="K7" s="19" t="s">
        <v>2068</v>
      </c>
      <c r="L7" s="106" t="s">
        <v>2070</v>
      </c>
    </row>
    <row r="8" spans="1:12" x14ac:dyDescent="0.25">
      <c r="A8" s="17">
        <v>45267</v>
      </c>
      <c r="B8" s="18">
        <v>6</v>
      </c>
      <c r="C8" s="18">
        <v>0</v>
      </c>
      <c r="D8" s="2">
        <f t="shared" si="0"/>
        <v>6</v>
      </c>
      <c r="E8" s="18"/>
      <c r="F8" s="2"/>
      <c r="G8" s="2"/>
      <c r="H8" s="2"/>
      <c r="I8" s="2"/>
      <c r="J8" s="2"/>
      <c r="K8" s="19" t="s">
        <v>2069</v>
      </c>
    </row>
    <row r="9" spans="1:12" ht="30" x14ac:dyDescent="0.25">
      <c r="A9" s="17">
        <v>45268</v>
      </c>
      <c r="B9" s="18">
        <v>0</v>
      </c>
      <c r="C9" s="18">
        <v>0</v>
      </c>
      <c r="D9" s="2">
        <f t="shared" si="0"/>
        <v>0</v>
      </c>
      <c r="E9" s="18">
        <v>12</v>
      </c>
      <c r="F9" s="2"/>
      <c r="G9" s="2"/>
      <c r="H9" s="2"/>
      <c r="I9" s="2"/>
      <c r="J9" s="2"/>
      <c r="K9" s="19" t="s">
        <v>107</v>
      </c>
      <c r="L9" s="109" t="s">
        <v>2071</v>
      </c>
    </row>
    <row r="10" spans="1:12" ht="30" x14ac:dyDescent="0.25">
      <c r="A10" s="17">
        <v>45272</v>
      </c>
      <c r="B10" s="18">
        <v>12</v>
      </c>
      <c r="C10" s="18">
        <v>0</v>
      </c>
      <c r="D10" s="2">
        <f t="shared" si="0"/>
        <v>12</v>
      </c>
      <c r="E10" s="18"/>
      <c r="F10" s="2"/>
      <c r="G10" s="2"/>
      <c r="H10" s="2"/>
      <c r="I10" s="2"/>
      <c r="J10" s="2"/>
      <c r="K10" s="19" t="s">
        <v>2073</v>
      </c>
      <c r="L10" s="109" t="s">
        <v>2072</v>
      </c>
    </row>
    <row r="11" spans="1:12" x14ac:dyDescent="0.25">
      <c r="A11" s="17">
        <v>45273</v>
      </c>
      <c r="B11" s="18">
        <v>0</v>
      </c>
      <c r="C11" s="18">
        <v>1</v>
      </c>
      <c r="D11" s="2">
        <f t="shared" si="0"/>
        <v>-1</v>
      </c>
      <c r="E11" s="18"/>
      <c r="F11" s="2"/>
      <c r="G11" s="2"/>
      <c r="H11" s="2"/>
      <c r="I11" s="2"/>
      <c r="J11" s="2"/>
      <c r="K11" s="19" t="s">
        <v>2074</v>
      </c>
      <c r="L11" s="66" t="s">
        <v>2075</v>
      </c>
    </row>
    <row r="12" spans="1:12" ht="30" x14ac:dyDescent="0.25">
      <c r="A12" s="17">
        <v>45274</v>
      </c>
      <c r="B12" s="18">
        <v>0</v>
      </c>
      <c r="C12" s="18">
        <v>0</v>
      </c>
      <c r="D12" s="2">
        <f t="shared" si="0"/>
        <v>0</v>
      </c>
      <c r="E12" s="18">
        <v>372</v>
      </c>
      <c r="F12" s="2"/>
      <c r="G12" s="2"/>
      <c r="H12" s="2"/>
      <c r="I12" s="2"/>
      <c r="J12" s="2"/>
      <c r="K12" s="19" t="s">
        <v>2076</v>
      </c>
      <c r="L12" s="109" t="s">
        <v>2435</v>
      </c>
    </row>
    <row r="13" spans="1:12" x14ac:dyDescent="0.25">
      <c r="A13" s="17">
        <v>45272</v>
      </c>
      <c r="B13" s="18">
        <v>2</v>
      </c>
      <c r="C13" s="18">
        <v>2</v>
      </c>
      <c r="D13" s="2">
        <f t="shared" si="0"/>
        <v>0</v>
      </c>
      <c r="E13" s="18">
        <v>2</v>
      </c>
      <c r="F13" s="2"/>
      <c r="G13" s="2"/>
      <c r="H13" s="2"/>
      <c r="I13" s="2"/>
      <c r="J13" s="2"/>
      <c r="K13" s="19" t="s">
        <v>2077</v>
      </c>
      <c r="L13" s="66" t="s">
        <v>2078</v>
      </c>
    </row>
    <row r="14" spans="1:12" ht="45" x14ac:dyDescent="0.25">
      <c r="A14" s="17">
        <v>45275</v>
      </c>
      <c r="B14" s="18">
        <v>0</v>
      </c>
      <c r="C14" s="18">
        <v>26</v>
      </c>
      <c r="D14" s="2">
        <f t="shared" si="0"/>
        <v>-26</v>
      </c>
      <c r="E14" s="18"/>
      <c r="F14" s="2"/>
      <c r="G14" s="2"/>
      <c r="H14" s="2"/>
      <c r="I14" s="2"/>
      <c r="J14" s="2"/>
      <c r="K14" s="19" t="s">
        <v>2079</v>
      </c>
      <c r="L14" s="106" t="s">
        <v>2080</v>
      </c>
    </row>
    <row r="15" spans="1:12" ht="30" x14ac:dyDescent="0.25">
      <c r="A15" s="17">
        <v>45281</v>
      </c>
      <c r="B15" s="18">
        <v>0</v>
      </c>
      <c r="C15" s="18">
        <v>13</v>
      </c>
      <c r="D15" s="2">
        <f t="shared" si="0"/>
        <v>-13</v>
      </c>
      <c r="E15" s="18"/>
      <c r="F15" s="2"/>
      <c r="G15" s="2"/>
      <c r="H15" s="2"/>
      <c r="I15" s="2"/>
      <c r="J15" s="2"/>
      <c r="K15" s="19" t="s">
        <v>2081</v>
      </c>
      <c r="L15" s="106" t="s">
        <v>2082</v>
      </c>
    </row>
    <row r="16" spans="1:12" x14ac:dyDescent="0.25">
      <c r="A16" s="17"/>
      <c r="B16" s="18"/>
      <c r="C16" s="18"/>
      <c r="D16" s="2">
        <f t="shared" si="0"/>
        <v>0</v>
      </c>
      <c r="E16" s="18"/>
      <c r="F16" s="2"/>
      <c r="G16" s="2"/>
      <c r="H16" s="2"/>
      <c r="I16" s="2"/>
      <c r="J16" s="2"/>
      <c r="K16" s="19"/>
      <c r="L16" s="106"/>
    </row>
    <row r="17" spans="1:12" x14ac:dyDescent="0.25">
      <c r="A17" s="17"/>
      <c r="B17" s="18"/>
      <c r="C17" s="18"/>
      <c r="D17" s="2">
        <f t="shared" si="0"/>
        <v>0</v>
      </c>
      <c r="E17" s="18"/>
      <c r="F17" s="2"/>
      <c r="G17" s="2"/>
      <c r="H17" s="2"/>
      <c r="I17" s="2"/>
      <c r="J17" s="2"/>
      <c r="K17" s="19"/>
      <c r="L17" s="106"/>
    </row>
    <row r="18" spans="1:12" x14ac:dyDescent="0.25">
      <c r="A18" s="17"/>
      <c r="B18" s="18"/>
      <c r="C18" s="18"/>
      <c r="D18" s="2">
        <f t="shared" si="0"/>
        <v>0</v>
      </c>
      <c r="E18" s="18"/>
      <c r="F18" s="2"/>
      <c r="G18" s="2"/>
      <c r="H18" s="2"/>
      <c r="I18" s="2"/>
      <c r="J18" s="2"/>
      <c r="K18" s="19"/>
      <c r="L18" s="106"/>
    </row>
    <row r="19" spans="1:12" x14ac:dyDescent="0.25">
      <c r="A19" s="17"/>
      <c r="B19" s="18"/>
      <c r="C19" s="18"/>
      <c r="D19" s="2">
        <f t="shared" si="0"/>
        <v>0</v>
      </c>
      <c r="E19" s="18"/>
      <c r="F19" s="2"/>
      <c r="G19" s="2"/>
      <c r="H19" s="2"/>
      <c r="I19" s="2"/>
      <c r="J19" s="2"/>
      <c r="K19" s="19"/>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4fISGxkKekPcWOPdQJ07Kr/AaYXc3BhumKogmIPqr7v9TqNDt2em9vBVUEOL/4dAErFnUVfF+WIajLSl8fGYQg==" saltValue="EJDaSAK6JgHjJJusXhmU6A==" spinCount="100000" sheet="1" objects="1" scenarios="1"/>
  <customSheetViews>
    <customSheetView guid="{E5A7B818-645B-417C-A128-9FE559D9B124}" fitToPage="1">
      <pane ySplit="6" topLeftCell="A7" activePane="bottomLeft" state="frozen"/>
      <selection pane="bottomLeft" activeCell="K12" sqref="K12"/>
      <pageMargins left="0.70866141732283472" right="0.70866141732283472" top="0.78740157480314965" bottom="0.78740157480314965" header="0.31496062992125984" footer="0.31496062992125984"/>
      <printOptions horizontalCentered="1" verticalCentered="1"/>
      <pageSetup paperSize="9" scale="68" orientation="landscape" r:id="rId1"/>
      <headerFooter>
        <oddFooter>&amp;C&amp;D / &amp;T&amp;RSeite &amp;P von &amp;N</oddFooter>
      </headerFooter>
    </customSheetView>
  </customSheetViews>
  <conditionalFormatting sqref="K2">
    <cfRule type="cellIs" dxfId="65" priority="1" operator="lessThan">
      <formula>0</formula>
    </cfRule>
    <cfRule type="cellIs" dxfId="6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L44"/>
  <sheetViews>
    <sheetView workbookViewId="0">
      <pane ySplit="6" topLeftCell="A7" activePane="bottomLeft" state="frozen"/>
      <selection pane="bottomLeft" activeCell="K16" sqref="K16:L16"/>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-107</v>
      </c>
      <c r="L2" s="27"/>
    </row>
    <row r="3" spans="1:12" ht="15.75" thickBot="1" x14ac:dyDescent="0.3">
      <c r="A3" s="5"/>
      <c r="B3" s="2"/>
      <c r="C3" s="2"/>
      <c r="D3" s="2"/>
      <c r="E3" s="2"/>
      <c r="F3" s="2">
        <f>'12.23'!F6</f>
        <v>783</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749</v>
      </c>
      <c r="G6" s="30">
        <f>SUM(B:B)</f>
        <v>42</v>
      </c>
      <c r="H6" s="30">
        <f>SUM(C:C)</f>
        <v>76</v>
      </c>
      <c r="I6" s="30"/>
      <c r="J6" s="33">
        <f>SUM(G6:H6)+SUM(E:E)</f>
        <v>195</v>
      </c>
      <c r="K6" s="112"/>
      <c r="L6" s="50">
        <f>J6/K1</f>
        <v>0.30373831775700932</v>
      </c>
    </row>
    <row r="7" spans="1:12" ht="30" x14ac:dyDescent="0.25">
      <c r="A7" s="17">
        <v>45293</v>
      </c>
      <c r="B7" s="18">
        <v>0</v>
      </c>
      <c r="C7" s="18">
        <v>0</v>
      </c>
      <c r="D7" s="2">
        <f t="shared" ref="D7:D44" si="0">B7-C7</f>
        <v>0</v>
      </c>
      <c r="E7" s="18">
        <f>86*0.5</f>
        <v>43</v>
      </c>
      <c r="F7" s="2"/>
      <c r="G7" s="2"/>
      <c r="H7" s="2"/>
      <c r="I7" s="2"/>
      <c r="J7" s="2"/>
      <c r="K7" s="19" t="s">
        <v>2084</v>
      </c>
      <c r="L7" s="109" t="s">
        <v>2083</v>
      </c>
    </row>
    <row r="8" spans="1:12" ht="30" x14ac:dyDescent="0.25">
      <c r="A8" s="17">
        <v>45295</v>
      </c>
      <c r="B8" s="18">
        <v>0</v>
      </c>
      <c r="C8" s="18">
        <v>17</v>
      </c>
      <c r="D8" s="2">
        <f t="shared" si="0"/>
        <v>-17</v>
      </c>
      <c r="E8" s="18"/>
      <c r="F8" s="2"/>
      <c r="G8" s="2"/>
      <c r="H8" s="2"/>
      <c r="I8" s="2"/>
      <c r="J8" s="2"/>
      <c r="K8" s="19" t="s">
        <v>2085</v>
      </c>
      <c r="L8" s="106" t="s">
        <v>2091</v>
      </c>
    </row>
    <row r="9" spans="1:12" ht="30" x14ac:dyDescent="0.25">
      <c r="A9" s="17">
        <v>45296</v>
      </c>
      <c r="B9" s="18">
        <v>0</v>
      </c>
      <c r="C9" s="18">
        <v>0</v>
      </c>
      <c r="D9" s="2">
        <f t="shared" si="0"/>
        <v>0</v>
      </c>
      <c r="E9" s="18">
        <v>9</v>
      </c>
      <c r="F9" s="2"/>
      <c r="G9" s="2"/>
      <c r="H9" s="2"/>
      <c r="I9" s="2"/>
      <c r="J9" s="2"/>
      <c r="K9" s="19" t="s">
        <v>107</v>
      </c>
      <c r="L9" s="109" t="s">
        <v>2086</v>
      </c>
    </row>
    <row r="10" spans="1:12" x14ac:dyDescent="0.25">
      <c r="A10" s="17">
        <v>45296</v>
      </c>
      <c r="B10" s="18">
        <v>9</v>
      </c>
      <c r="C10" s="18">
        <v>0</v>
      </c>
      <c r="D10" s="2">
        <f t="shared" si="0"/>
        <v>9</v>
      </c>
      <c r="E10" s="18"/>
      <c r="F10" s="2"/>
      <c r="G10" s="2"/>
      <c r="H10" s="2"/>
      <c r="I10" s="2"/>
      <c r="J10" s="2"/>
      <c r="K10" s="19" t="s">
        <v>2087</v>
      </c>
      <c r="L10" s="109" t="s">
        <v>2088</v>
      </c>
    </row>
    <row r="11" spans="1:12" ht="30" x14ac:dyDescent="0.25">
      <c r="A11" s="17">
        <v>45302</v>
      </c>
      <c r="B11" s="18">
        <v>0</v>
      </c>
      <c r="C11" s="18">
        <v>17</v>
      </c>
      <c r="D11" s="2">
        <f t="shared" si="0"/>
        <v>-17</v>
      </c>
      <c r="E11" s="18"/>
      <c r="F11" s="2"/>
      <c r="G11" s="2"/>
      <c r="H11" s="2"/>
      <c r="I11" s="2"/>
      <c r="J11" s="2"/>
      <c r="K11" s="19" t="s">
        <v>2089</v>
      </c>
      <c r="L11" s="106" t="s">
        <v>2090</v>
      </c>
    </row>
    <row r="12" spans="1:12" ht="30" x14ac:dyDescent="0.25">
      <c r="A12" s="17">
        <v>45303</v>
      </c>
      <c r="B12" s="18">
        <v>0</v>
      </c>
      <c r="C12" s="18">
        <v>0</v>
      </c>
      <c r="D12" s="2">
        <f t="shared" si="0"/>
        <v>0</v>
      </c>
      <c r="E12" s="18">
        <v>8</v>
      </c>
      <c r="F12" s="2"/>
      <c r="G12" s="2"/>
      <c r="H12" s="2"/>
      <c r="I12" s="2"/>
      <c r="J12" s="2"/>
      <c r="K12" s="19" t="s">
        <v>107</v>
      </c>
      <c r="L12" s="109" t="s">
        <v>2092</v>
      </c>
    </row>
    <row r="13" spans="1:12" x14ac:dyDescent="0.25">
      <c r="A13" s="17">
        <v>45306</v>
      </c>
      <c r="B13" s="18">
        <v>8</v>
      </c>
      <c r="C13" s="18">
        <v>0</v>
      </c>
      <c r="D13" s="2">
        <f t="shared" si="0"/>
        <v>8</v>
      </c>
      <c r="E13" s="18"/>
      <c r="F13" s="2"/>
      <c r="G13" s="2"/>
      <c r="H13" s="2"/>
      <c r="I13" s="2"/>
      <c r="J13" s="2"/>
      <c r="K13" s="19" t="s">
        <v>2094</v>
      </c>
      <c r="L13" s="109" t="s">
        <v>2093</v>
      </c>
    </row>
    <row r="14" spans="1:12" ht="45" x14ac:dyDescent="0.25">
      <c r="A14" s="17">
        <v>45309</v>
      </c>
      <c r="B14" s="18">
        <v>0</v>
      </c>
      <c r="C14" s="18">
        <v>25</v>
      </c>
      <c r="D14" s="2">
        <f t="shared" si="0"/>
        <v>-25</v>
      </c>
      <c r="E14" s="18"/>
      <c r="F14" s="2"/>
      <c r="G14" s="2"/>
      <c r="H14" s="2"/>
      <c r="I14" s="2"/>
      <c r="J14" s="2"/>
      <c r="K14" s="19" t="s">
        <v>2095</v>
      </c>
      <c r="L14" s="106" t="s">
        <v>2096</v>
      </c>
    </row>
    <row r="15" spans="1:12" x14ac:dyDescent="0.25">
      <c r="A15" s="17">
        <v>45309</v>
      </c>
      <c r="B15" s="18">
        <v>1</v>
      </c>
      <c r="C15" s="18">
        <v>1</v>
      </c>
      <c r="D15" s="2">
        <f t="shared" si="0"/>
        <v>0</v>
      </c>
      <c r="E15" s="18">
        <v>1</v>
      </c>
      <c r="F15" s="2"/>
      <c r="G15" s="2"/>
      <c r="H15" s="2"/>
      <c r="I15" s="2"/>
      <c r="J15" s="2"/>
      <c r="K15" s="19" t="s">
        <v>2097</v>
      </c>
      <c r="L15" s="19" t="s">
        <v>2098</v>
      </c>
    </row>
    <row r="16" spans="1:12" ht="30" x14ac:dyDescent="0.25">
      <c r="A16" s="17">
        <v>45313</v>
      </c>
      <c r="B16" s="18">
        <v>0</v>
      </c>
      <c r="C16" s="18">
        <v>0</v>
      </c>
      <c r="D16" s="2">
        <f t="shared" si="0"/>
        <v>0</v>
      </c>
      <c r="E16" s="18">
        <v>15</v>
      </c>
      <c r="F16" s="2"/>
      <c r="G16" s="2"/>
      <c r="H16" s="2"/>
      <c r="I16" s="2"/>
      <c r="J16" s="2"/>
      <c r="K16" s="19" t="s">
        <v>107</v>
      </c>
      <c r="L16" s="109" t="s">
        <v>2099</v>
      </c>
    </row>
    <row r="17" spans="1:12" ht="30" x14ac:dyDescent="0.25">
      <c r="A17" s="17">
        <v>45313</v>
      </c>
      <c r="B17" s="18">
        <v>15</v>
      </c>
      <c r="C17" s="18">
        <v>0</v>
      </c>
      <c r="D17" s="2">
        <f t="shared" si="0"/>
        <v>15</v>
      </c>
      <c r="E17" s="18"/>
      <c r="F17" s="2"/>
      <c r="G17" s="2"/>
      <c r="H17" s="2"/>
      <c r="I17" s="2"/>
      <c r="J17" s="2"/>
      <c r="K17" s="19" t="s">
        <v>2101</v>
      </c>
      <c r="L17" s="106" t="s">
        <v>2100</v>
      </c>
    </row>
    <row r="18" spans="1:12" ht="30" x14ac:dyDescent="0.25">
      <c r="A18" s="17">
        <v>45316</v>
      </c>
      <c r="B18" s="18">
        <v>0</v>
      </c>
      <c r="C18" s="18">
        <v>15</v>
      </c>
      <c r="D18" s="2">
        <f t="shared" si="0"/>
        <v>-15</v>
      </c>
      <c r="E18" s="18"/>
      <c r="F18" s="2"/>
      <c r="G18" s="2"/>
      <c r="H18" s="2"/>
      <c r="I18" s="2"/>
      <c r="J18" s="2"/>
      <c r="K18" s="19" t="s">
        <v>2102</v>
      </c>
      <c r="L18" s="106" t="s">
        <v>2096</v>
      </c>
    </row>
    <row r="19" spans="1:12" x14ac:dyDescent="0.25">
      <c r="A19" s="17">
        <v>45316</v>
      </c>
      <c r="B19" s="18">
        <v>8</v>
      </c>
      <c r="C19" s="18">
        <v>0</v>
      </c>
      <c r="D19" s="2">
        <f t="shared" si="0"/>
        <v>8</v>
      </c>
      <c r="E19" s="18"/>
      <c r="F19" s="2"/>
      <c r="G19" s="2"/>
      <c r="H19" s="2"/>
      <c r="I19" s="2"/>
      <c r="J19" s="2"/>
      <c r="K19" s="19" t="s">
        <v>2103</v>
      </c>
    </row>
    <row r="20" spans="1:12" x14ac:dyDescent="0.25">
      <c r="A20" s="17">
        <v>45320</v>
      </c>
      <c r="B20" s="18">
        <v>1</v>
      </c>
      <c r="C20" s="18">
        <v>1</v>
      </c>
      <c r="D20" s="2">
        <f t="shared" si="0"/>
        <v>0</v>
      </c>
      <c r="E20" s="18">
        <v>1</v>
      </c>
      <c r="F20" s="2"/>
      <c r="G20" s="2"/>
      <c r="H20" s="2"/>
      <c r="I20" s="2"/>
      <c r="J20" s="2"/>
      <c r="K20" s="19" t="s">
        <v>2104</v>
      </c>
      <c r="L20" s="106" t="s">
        <v>2105</v>
      </c>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jWMPAS4V3RlSwI8SsRH2o4wykD9e0j5SK2z5tlAhD+tgApHtmZ1g3ukLAFoAmIyoTr+z63hWzT6S6dvt+nCqPQ==" saltValue="zzKIK+5iiFGKJMYd+s5sMw=="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63" priority="1" operator="lessThan">
      <formula>0</formula>
    </cfRule>
    <cfRule type="cellIs" dxfId="6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L44"/>
  <sheetViews>
    <sheetView workbookViewId="0">
      <pane ySplit="6" topLeftCell="A25" activePane="bottomLeft" state="frozen"/>
      <selection pane="bottomLeft" activeCell="K15" sqref="K1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-143</v>
      </c>
      <c r="L2" s="27"/>
    </row>
    <row r="3" spans="1:12" ht="15.75" thickBot="1" x14ac:dyDescent="0.3">
      <c r="A3" s="5"/>
      <c r="B3" s="2"/>
      <c r="C3" s="2"/>
      <c r="D3" s="2"/>
      <c r="E3" s="2"/>
      <c r="F3" s="2">
        <f>'01.24'!F6</f>
        <v>749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785</v>
      </c>
      <c r="G6" s="30">
        <f>SUM(B:B)</f>
        <v>165</v>
      </c>
      <c r="H6" s="30">
        <f>SUM(C:C)</f>
        <v>129</v>
      </c>
      <c r="I6" s="30"/>
      <c r="J6" s="33">
        <f>SUM(G6:H6)+SUM(E:E)</f>
        <v>447</v>
      </c>
      <c r="K6" s="112"/>
      <c r="L6" s="50">
        <f>J6/K1</f>
        <v>0.69626168224299068</v>
      </c>
    </row>
    <row r="7" spans="1:12" ht="30" x14ac:dyDescent="0.25">
      <c r="A7" s="17">
        <v>45323</v>
      </c>
      <c r="B7" s="18">
        <v>0</v>
      </c>
      <c r="C7" s="18">
        <v>17</v>
      </c>
      <c r="D7" s="2">
        <f t="shared" ref="D7:D44" si="0">B7-C7</f>
        <v>-17</v>
      </c>
      <c r="E7" s="18"/>
      <c r="F7" s="2"/>
      <c r="G7" s="2"/>
      <c r="H7" s="2"/>
      <c r="I7" s="2"/>
      <c r="J7" s="2"/>
      <c r="K7" s="19" t="s">
        <v>2106</v>
      </c>
      <c r="L7" s="106" t="s">
        <v>2120</v>
      </c>
    </row>
    <row r="8" spans="1:12" ht="30" x14ac:dyDescent="0.25">
      <c r="A8" s="17">
        <v>45327</v>
      </c>
      <c r="B8" s="18">
        <v>0</v>
      </c>
      <c r="C8" s="18">
        <v>0</v>
      </c>
      <c r="D8" s="2">
        <f t="shared" si="0"/>
        <v>0</v>
      </c>
      <c r="E8" s="18">
        <v>24</v>
      </c>
      <c r="F8" s="2"/>
      <c r="G8" s="2"/>
      <c r="H8" s="2"/>
      <c r="I8" s="2"/>
      <c r="J8" s="2"/>
      <c r="K8" s="19" t="s">
        <v>107</v>
      </c>
      <c r="L8" s="109" t="s">
        <v>2107</v>
      </c>
    </row>
    <row r="9" spans="1:12" ht="45" x14ac:dyDescent="0.25">
      <c r="A9" s="17">
        <v>45328</v>
      </c>
      <c r="B9" s="18">
        <v>24</v>
      </c>
      <c r="C9" s="18">
        <v>0</v>
      </c>
      <c r="D9" s="2">
        <f t="shared" si="0"/>
        <v>24</v>
      </c>
      <c r="E9" s="18"/>
      <c r="F9" s="2"/>
      <c r="G9" s="2"/>
      <c r="H9" s="2"/>
      <c r="I9" s="2"/>
      <c r="J9" s="2"/>
      <c r="K9" s="19" t="s">
        <v>2109</v>
      </c>
      <c r="L9" s="66" t="s">
        <v>2108</v>
      </c>
    </row>
    <row r="10" spans="1:12" ht="30" x14ac:dyDescent="0.25">
      <c r="A10" s="17">
        <v>45328</v>
      </c>
      <c r="B10" s="18">
        <v>0</v>
      </c>
      <c r="C10" s="18">
        <v>0</v>
      </c>
      <c r="D10" s="2">
        <f t="shared" si="0"/>
        <v>0</v>
      </c>
      <c r="E10" s="18">
        <v>27</v>
      </c>
      <c r="F10" s="2"/>
      <c r="G10" s="2"/>
      <c r="H10" s="2"/>
      <c r="I10" s="2"/>
      <c r="J10" s="2"/>
      <c r="K10" s="19" t="s">
        <v>107</v>
      </c>
      <c r="L10" s="109" t="s">
        <v>2110</v>
      </c>
    </row>
    <row r="11" spans="1:12" ht="45" x14ac:dyDescent="0.25">
      <c r="A11" s="17">
        <v>45329</v>
      </c>
      <c r="B11" s="18">
        <v>27</v>
      </c>
      <c r="C11" s="18">
        <v>0</v>
      </c>
      <c r="D11" s="2">
        <f t="shared" si="0"/>
        <v>27</v>
      </c>
      <c r="E11" s="18"/>
      <c r="F11" s="2"/>
      <c r="G11" s="2"/>
      <c r="H11" s="2"/>
      <c r="I11" s="2"/>
      <c r="J11" s="2"/>
      <c r="K11" s="19" t="s">
        <v>2111</v>
      </c>
      <c r="L11" s="106" t="s">
        <v>2112</v>
      </c>
    </row>
    <row r="12" spans="1:12" ht="30" x14ac:dyDescent="0.25">
      <c r="A12" s="17">
        <v>45327</v>
      </c>
      <c r="B12" s="18">
        <v>4</v>
      </c>
      <c r="C12" s="18">
        <v>4</v>
      </c>
      <c r="D12" s="2">
        <f t="shared" si="0"/>
        <v>0</v>
      </c>
      <c r="E12" s="18">
        <v>4</v>
      </c>
      <c r="F12" s="2"/>
      <c r="G12" s="2"/>
      <c r="H12" s="2"/>
      <c r="I12" s="2"/>
      <c r="J12" s="2"/>
      <c r="K12" s="19" t="s">
        <v>2114</v>
      </c>
      <c r="L12" s="106" t="s">
        <v>2113</v>
      </c>
    </row>
    <row r="13" spans="1:12" ht="30" x14ac:dyDescent="0.25">
      <c r="A13" s="17">
        <v>45330</v>
      </c>
      <c r="B13" s="18">
        <v>0</v>
      </c>
      <c r="C13" s="18">
        <v>16</v>
      </c>
      <c r="D13" s="2">
        <f t="shared" si="0"/>
        <v>-16</v>
      </c>
      <c r="E13" s="18"/>
      <c r="F13" s="2"/>
      <c r="G13" s="2"/>
      <c r="H13" s="2"/>
      <c r="I13" s="2"/>
      <c r="J13" s="2"/>
      <c r="K13" s="19" t="s">
        <v>2115</v>
      </c>
      <c r="L13" s="106" t="s">
        <v>2119</v>
      </c>
    </row>
    <row r="14" spans="1:12" ht="30" x14ac:dyDescent="0.25">
      <c r="A14" s="17">
        <v>45330</v>
      </c>
      <c r="B14" s="18">
        <v>13</v>
      </c>
      <c r="C14" s="18">
        <v>0</v>
      </c>
      <c r="D14" s="2">
        <f t="shared" si="0"/>
        <v>13</v>
      </c>
      <c r="E14" s="18"/>
      <c r="F14" s="2"/>
      <c r="G14" s="2"/>
      <c r="H14" s="2"/>
      <c r="I14" s="2"/>
      <c r="J14" s="2"/>
      <c r="K14" s="19" t="s">
        <v>2116</v>
      </c>
    </row>
    <row r="15" spans="1:12" x14ac:dyDescent="0.25">
      <c r="A15" s="17">
        <v>45331</v>
      </c>
      <c r="B15" s="18">
        <v>2</v>
      </c>
      <c r="C15" s="18">
        <v>2</v>
      </c>
      <c r="D15" s="2">
        <f t="shared" si="0"/>
        <v>0</v>
      </c>
      <c r="E15" s="18">
        <v>2</v>
      </c>
      <c r="F15" s="2"/>
      <c r="G15" s="2"/>
      <c r="H15" s="2"/>
      <c r="I15" s="2"/>
      <c r="J15" s="2"/>
      <c r="K15" s="19" t="s">
        <v>2117</v>
      </c>
      <c r="L15" s="106" t="s">
        <v>2118</v>
      </c>
    </row>
    <row r="16" spans="1:12" x14ac:dyDescent="0.25">
      <c r="A16" s="17">
        <v>45336</v>
      </c>
      <c r="B16" s="18">
        <v>0</v>
      </c>
      <c r="C16" s="18">
        <v>4</v>
      </c>
      <c r="D16" s="2">
        <f t="shared" si="0"/>
        <v>-4</v>
      </c>
      <c r="E16" s="18"/>
      <c r="F16" s="2"/>
      <c r="G16" s="2"/>
      <c r="H16" s="2"/>
      <c r="I16" s="2"/>
      <c r="J16" s="2"/>
      <c r="K16" s="19" t="s">
        <v>2121</v>
      </c>
      <c r="L16" s="106" t="s">
        <v>2122</v>
      </c>
    </row>
    <row r="17" spans="1:12" ht="60" x14ac:dyDescent="0.25">
      <c r="A17" s="17">
        <v>45337</v>
      </c>
      <c r="B17" s="18">
        <v>0</v>
      </c>
      <c r="C17" s="18">
        <v>29</v>
      </c>
      <c r="D17" s="2">
        <f t="shared" si="0"/>
        <v>-29</v>
      </c>
      <c r="E17" s="18"/>
      <c r="F17" s="2"/>
      <c r="G17" s="2"/>
      <c r="H17" s="2"/>
      <c r="I17" s="2"/>
      <c r="J17" s="2"/>
      <c r="K17" s="19" t="s">
        <v>2123</v>
      </c>
      <c r="L17" s="106" t="s">
        <v>2124</v>
      </c>
    </row>
    <row r="18" spans="1:12" ht="30" x14ac:dyDescent="0.25">
      <c r="A18" s="17">
        <v>45341</v>
      </c>
      <c r="B18" s="18">
        <v>0</v>
      </c>
      <c r="C18" s="18">
        <v>0</v>
      </c>
      <c r="D18" s="2">
        <f t="shared" si="0"/>
        <v>0</v>
      </c>
      <c r="E18" s="18">
        <v>8</v>
      </c>
      <c r="F18" s="2"/>
      <c r="G18" s="2"/>
      <c r="H18" s="2"/>
      <c r="I18" s="2"/>
      <c r="J18" s="2"/>
      <c r="K18" s="19" t="s">
        <v>107</v>
      </c>
      <c r="L18" s="109" t="s">
        <v>2125</v>
      </c>
    </row>
    <row r="19" spans="1:12" x14ac:dyDescent="0.25">
      <c r="A19" s="17">
        <v>45342</v>
      </c>
      <c r="B19" s="18">
        <v>8</v>
      </c>
      <c r="C19" s="18">
        <v>0</v>
      </c>
      <c r="D19" s="2">
        <f t="shared" si="0"/>
        <v>8</v>
      </c>
      <c r="E19" s="18"/>
      <c r="F19" s="2"/>
      <c r="G19" s="2"/>
      <c r="H19" s="2"/>
      <c r="I19" s="2"/>
      <c r="J19" s="2"/>
      <c r="K19" s="19" t="s">
        <v>2127</v>
      </c>
      <c r="L19" s="66" t="s">
        <v>2126</v>
      </c>
    </row>
    <row r="20" spans="1:12" ht="30" x14ac:dyDescent="0.25">
      <c r="A20" s="17">
        <v>45343</v>
      </c>
      <c r="B20" s="18">
        <v>0</v>
      </c>
      <c r="C20" s="18">
        <v>0</v>
      </c>
      <c r="D20" s="2">
        <f t="shared" si="0"/>
        <v>0</v>
      </c>
      <c r="E20" s="18">
        <v>33</v>
      </c>
      <c r="F20" s="2"/>
      <c r="G20" s="2"/>
      <c r="H20" s="2"/>
      <c r="I20" s="2"/>
      <c r="J20" s="2"/>
      <c r="K20" s="19" t="s">
        <v>107</v>
      </c>
      <c r="L20" s="109" t="s">
        <v>2128</v>
      </c>
    </row>
    <row r="21" spans="1:12" ht="60" x14ac:dyDescent="0.25">
      <c r="A21" s="21">
        <v>45344</v>
      </c>
      <c r="B21" s="22">
        <v>33</v>
      </c>
      <c r="C21" s="22">
        <v>0</v>
      </c>
      <c r="D21" s="2">
        <f t="shared" si="0"/>
        <v>33</v>
      </c>
      <c r="E21" s="22"/>
      <c r="F21" s="23"/>
      <c r="G21" s="23"/>
      <c r="H21" s="23"/>
      <c r="I21" s="23"/>
      <c r="J21" s="23"/>
      <c r="K21" s="19" t="s">
        <v>2146</v>
      </c>
      <c r="L21" s="106" t="s">
        <v>2129</v>
      </c>
    </row>
    <row r="22" spans="1:12" x14ac:dyDescent="0.25">
      <c r="A22" s="17">
        <v>45343</v>
      </c>
      <c r="B22" s="18">
        <v>0</v>
      </c>
      <c r="C22" s="18">
        <v>1</v>
      </c>
      <c r="D22" s="2">
        <f t="shared" si="0"/>
        <v>-1</v>
      </c>
      <c r="E22" s="18"/>
      <c r="F22" s="2"/>
      <c r="G22" s="2"/>
      <c r="H22" s="2"/>
      <c r="I22" s="2"/>
      <c r="J22" s="2"/>
      <c r="K22" s="19">
        <v>124</v>
      </c>
      <c r="L22" s="106" t="s">
        <v>2130</v>
      </c>
    </row>
    <row r="23" spans="1:12" x14ac:dyDescent="0.25">
      <c r="A23" s="17">
        <v>45342</v>
      </c>
      <c r="B23" s="18">
        <v>1</v>
      </c>
      <c r="C23" s="18">
        <v>1</v>
      </c>
      <c r="D23" s="2">
        <f t="shared" si="0"/>
        <v>0</v>
      </c>
      <c r="E23" s="18">
        <v>2</v>
      </c>
      <c r="F23" s="2"/>
      <c r="G23" s="2"/>
      <c r="H23" s="2"/>
      <c r="I23" s="2"/>
      <c r="J23" s="2"/>
      <c r="K23" s="19" t="s">
        <v>2131</v>
      </c>
      <c r="L23" s="106" t="s">
        <v>2132</v>
      </c>
    </row>
    <row r="24" spans="1:12" ht="60" x14ac:dyDescent="0.25">
      <c r="A24" s="17">
        <v>45344</v>
      </c>
      <c r="B24" s="18">
        <v>0</v>
      </c>
      <c r="C24" s="18">
        <v>29</v>
      </c>
      <c r="D24" s="2">
        <f t="shared" si="0"/>
        <v>-29</v>
      </c>
      <c r="E24" s="18"/>
      <c r="F24" s="2"/>
      <c r="G24" s="2"/>
      <c r="H24" s="2"/>
      <c r="I24" s="2"/>
      <c r="J24" s="2"/>
      <c r="K24" s="19" t="s">
        <v>2133</v>
      </c>
      <c r="L24" s="106" t="s">
        <v>2134</v>
      </c>
    </row>
    <row r="25" spans="1:12" ht="30" x14ac:dyDescent="0.25">
      <c r="A25" s="17">
        <v>45345</v>
      </c>
      <c r="B25" s="18">
        <v>0</v>
      </c>
      <c r="C25" s="18">
        <v>0</v>
      </c>
      <c r="D25" s="2">
        <f t="shared" si="0"/>
        <v>0</v>
      </c>
      <c r="E25" s="18">
        <v>18</v>
      </c>
      <c r="F25" s="2"/>
      <c r="G25" s="2"/>
      <c r="H25" s="2"/>
      <c r="I25" s="2"/>
      <c r="J25" s="2"/>
      <c r="K25" s="19" t="s">
        <v>107</v>
      </c>
      <c r="L25" s="109" t="s">
        <v>2137</v>
      </c>
    </row>
    <row r="26" spans="1:12" ht="30" x14ac:dyDescent="0.25">
      <c r="A26" s="17">
        <v>45345</v>
      </c>
      <c r="B26" s="18">
        <v>18</v>
      </c>
      <c r="C26" s="18">
        <v>0</v>
      </c>
      <c r="D26" s="2">
        <f t="shared" si="0"/>
        <v>18</v>
      </c>
      <c r="E26" s="18"/>
      <c r="F26" s="2"/>
      <c r="G26" s="2"/>
      <c r="H26" s="2"/>
      <c r="I26" s="2"/>
      <c r="J26" s="2"/>
      <c r="K26" s="19" t="s">
        <v>2138</v>
      </c>
      <c r="L26" s="106"/>
    </row>
    <row r="27" spans="1:12" x14ac:dyDescent="0.25">
      <c r="A27" s="17">
        <v>45348</v>
      </c>
      <c r="B27" s="18">
        <v>0</v>
      </c>
      <c r="C27" s="18">
        <v>4</v>
      </c>
      <c r="D27" s="2">
        <f t="shared" si="0"/>
        <v>-4</v>
      </c>
      <c r="E27" s="18"/>
      <c r="F27" s="2"/>
      <c r="G27" s="2"/>
      <c r="H27" s="2"/>
      <c r="I27" s="2"/>
      <c r="J27" s="2"/>
      <c r="K27" s="19" t="s">
        <v>2135</v>
      </c>
      <c r="L27" s="106" t="s">
        <v>2136</v>
      </c>
    </row>
    <row r="28" spans="1:12" ht="30" x14ac:dyDescent="0.25">
      <c r="A28" s="17">
        <v>45348</v>
      </c>
      <c r="B28" s="18">
        <v>0</v>
      </c>
      <c r="C28" s="18">
        <v>0</v>
      </c>
      <c r="D28" s="2">
        <f t="shared" si="0"/>
        <v>0</v>
      </c>
      <c r="E28" s="18">
        <v>10</v>
      </c>
      <c r="F28" s="2"/>
      <c r="G28" s="2"/>
      <c r="H28" s="2"/>
      <c r="I28" s="2"/>
      <c r="J28" s="2"/>
      <c r="K28" s="19" t="s">
        <v>107</v>
      </c>
      <c r="L28" s="109" t="s">
        <v>2139</v>
      </c>
    </row>
    <row r="29" spans="1:12" ht="30" x14ac:dyDescent="0.25">
      <c r="A29" s="17">
        <v>45349</v>
      </c>
      <c r="B29" s="18">
        <v>10</v>
      </c>
      <c r="C29" s="18">
        <v>0</v>
      </c>
      <c r="D29" s="2">
        <f t="shared" si="0"/>
        <v>10</v>
      </c>
      <c r="E29" s="18"/>
      <c r="F29" s="2"/>
      <c r="G29" s="2"/>
      <c r="H29" s="2"/>
      <c r="I29" s="2"/>
      <c r="J29" s="2"/>
      <c r="K29" s="19" t="s">
        <v>2142</v>
      </c>
      <c r="L29" s="66" t="s">
        <v>2140</v>
      </c>
    </row>
    <row r="30" spans="1:12" x14ac:dyDescent="0.25">
      <c r="A30" s="17">
        <v>45349</v>
      </c>
      <c r="B30" s="18">
        <v>10</v>
      </c>
      <c r="C30" s="18">
        <v>10</v>
      </c>
      <c r="D30" s="2">
        <f t="shared" si="0"/>
        <v>0</v>
      </c>
      <c r="E30" s="18">
        <v>10</v>
      </c>
      <c r="F30" s="2"/>
      <c r="G30" s="2"/>
      <c r="H30" s="2"/>
      <c r="I30" s="2"/>
      <c r="J30" s="2"/>
      <c r="K30" s="19" t="s">
        <v>2141</v>
      </c>
      <c r="L30" s="106" t="s">
        <v>2149</v>
      </c>
    </row>
    <row r="31" spans="1:12" ht="30" x14ac:dyDescent="0.25">
      <c r="A31" s="17">
        <v>45350</v>
      </c>
      <c r="B31" s="18">
        <v>0</v>
      </c>
      <c r="C31" s="18">
        <v>0</v>
      </c>
      <c r="D31" s="2">
        <f t="shared" si="0"/>
        <v>0</v>
      </c>
      <c r="E31" s="18">
        <v>15</v>
      </c>
      <c r="F31" s="2"/>
      <c r="G31" s="2"/>
      <c r="H31" s="2"/>
      <c r="I31" s="2"/>
      <c r="J31" s="2"/>
      <c r="K31" s="19" t="s">
        <v>107</v>
      </c>
      <c r="L31" s="109" t="s">
        <v>2144</v>
      </c>
    </row>
    <row r="32" spans="1:12" ht="30" x14ac:dyDescent="0.25">
      <c r="A32" s="17">
        <v>45351</v>
      </c>
      <c r="B32" s="18">
        <v>15</v>
      </c>
      <c r="C32" s="18">
        <v>0</v>
      </c>
      <c r="D32" s="2">
        <f t="shared" si="0"/>
        <v>15</v>
      </c>
      <c r="E32" s="18"/>
      <c r="F32" s="2"/>
      <c r="G32" s="2"/>
      <c r="H32" s="2"/>
      <c r="I32" s="2"/>
      <c r="J32" s="2"/>
      <c r="K32" s="19" t="s">
        <v>2145</v>
      </c>
      <c r="L32" s="66" t="s">
        <v>2143</v>
      </c>
    </row>
    <row r="33" spans="1:12" ht="30" x14ac:dyDescent="0.25">
      <c r="A33" s="17">
        <v>45351</v>
      </c>
      <c r="B33" s="18">
        <v>0</v>
      </c>
      <c r="C33" s="18">
        <v>12</v>
      </c>
      <c r="D33" s="2">
        <f t="shared" si="0"/>
        <v>-12</v>
      </c>
      <c r="E33" s="18"/>
      <c r="F33" s="2"/>
      <c r="G33" s="2"/>
      <c r="H33" s="2"/>
      <c r="I33" s="2"/>
      <c r="J33" s="2"/>
      <c r="K33" s="19" t="s">
        <v>2147</v>
      </c>
      <c r="L33" s="106" t="s">
        <v>2148</v>
      </c>
    </row>
    <row r="34" spans="1:12" x14ac:dyDescent="0.25">
      <c r="A34" s="17"/>
      <c r="B34" s="18"/>
      <c r="C34" s="18"/>
      <c r="D34" s="2">
        <f t="shared" si="0"/>
        <v>0</v>
      </c>
      <c r="E34" s="18"/>
      <c r="F34" s="2"/>
      <c r="G34" s="2"/>
      <c r="H34" s="2"/>
      <c r="I34" s="2"/>
      <c r="J34" s="2"/>
      <c r="K34" s="19"/>
    </row>
    <row r="35" spans="1:12" x14ac:dyDescent="0.25">
      <c r="A35" s="17"/>
      <c r="B35" s="18"/>
      <c r="C35" s="18"/>
      <c r="D35" s="2">
        <f t="shared" si="0"/>
        <v>0</v>
      </c>
      <c r="E35" s="18"/>
      <c r="F35" s="2"/>
      <c r="G35" s="2"/>
      <c r="H35" s="2"/>
      <c r="I35" s="2"/>
      <c r="J35" s="2"/>
      <c r="K35" s="19"/>
    </row>
    <row r="36" spans="1:12" x14ac:dyDescent="0.25">
      <c r="A36" s="17"/>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row>
  </sheetData>
  <sheetProtection algorithmName="SHA-512" hashValue="Lct82DVCAIjTkpavR2kNROMHD1MVfUEWADvjJJIihhuuEDG9JuwAUT+iyW8FCZew40Bb7X6H0pWDxddyVanjmA==" saltValue="egnu0zecCN68wf+fxQkkuw=="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61" priority="1" operator="lessThan">
      <formula>0</formula>
    </cfRule>
    <cfRule type="cellIs" dxfId="6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L44"/>
  <sheetViews>
    <sheetView workbookViewId="0">
      <pane ySplit="6" topLeftCell="A16" activePane="bottomLeft" state="frozen"/>
      <selection pane="bottomLeft" activeCell="K23" sqref="K23"/>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-103</v>
      </c>
      <c r="L2" s="27"/>
    </row>
    <row r="3" spans="1:12" ht="15.75" thickBot="1" x14ac:dyDescent="0.3">
      <c r="A3" s="5"/>
      <c r="B3" s="2"/>
      <c r="C3" s="2"/>
      <c r="D3" s="2"/>
      <c r="E3" s="2"/>
      <c r="F3" s="2">
        <f>'02.24'!F6</f>
        <v>785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745</v>
      </c>
      <c r="G6" s="30">
        <f>SUM(B:B)</f>
        <v>92</v>
      </c>
      <c r="H6" s="30">
        <f>SUM(C:C)</f>
        <v>132</v>
      </c>
      <c r="I6" s="30"/>
      <c r="J6" s="33">
        <f>SUM(G6:H6)+SUM(E:E)</f>
        <v>335</v>
      </c>
      <c r="K6" s="112"/>
      <c r="L6" s="50">
        <f>J6/K1</f>
        <v>0.52180685358255452</v>
      </c>
    </row>
    <row r="7" spans="1:12" ht="30" x14ac:dyDescent="0.25">
      <c r="A7" s="17">
        <v>45352</v>
      </c>
      <c r="B7" s="18">
        <v>0</v>
      </c>
      <c r="C7" s="18">
        <v>0</v>
      </c>
      <c r="D7" s="2">
        <f t="shared" ref="D7:D44" si="0">B7-C7</f>
        <v>0</v>
      </c>
      <c r="E7" s="18">
        <v>25</v>
      </c>
      <c r="F7" s="2"/>
      <c r="G7" s="2"/>
      <c r="H7" s="2"/>
      <c r="I7" s="2"/>
      <c r="J7" s="2"/>
      <c r="K7" s="19" t="s">
        <v>107</v>
      </c>
      <c r="L7" s="109" t="s">
        <v>2150</v>
      </c>
    </row>
    <row r="8" spans="1:12" ht="45" x14ac:dyDescent="0.25">
      <c r="A8" s="17">
        <v>45352</v>
      </c>
      <c r="B8" s="18">
        <v>25</v>
      </c>
      <c r="C8" s="18">
        <v>0</v>
      </c>
      <c r="D8" s="2">
        <f t="shared" si="0"/>
        <v>25</v>
      </c>
      <c r="E8" s="18"/>
      <c r="F8" s="2"/>
      <c r="G8" s="2"/>
      <c r="H8" s="2"/>
      <c r="I8" s="2"/>
      <c r="J8" s="2"/>
      <c r="K8" s="19" t="s">
        <v>2152</v>
      </c>
      <c r="L8" s="66" t="s">
        <v>2151</v>
      </c>
    </row>
    <row r="9" spans="1:12" x14ac:dyDescent="0.25">
      <c r="A9" s="17">
        <v>45355</v>
      </c>
      <c r="B9" s="18">
        <v>3</v>
      </c>
      <c r="C9" s="18">
        <v>3</v>
      </c>
      <c r="D9" s="2">
        <f t="shared" si="0"/>
        <v>0</v>
      </c>
      <c r="E9" s="18">
        <v>3</v>
      </c>
      <c r="F9" s="2"/>
      <c r="G9" s="2"/>
      <c r="H9" s="2"/>
      <c r="I9" s="2"/>
      <c r="J9" s="2"/>
      <c r="K9" s="19" t="s">
        <v>2153</v>
      </c>
      <c r="L9" s="66" t="s">
        <v>2154</v>
      </c>
    </row>
    <row r="10" spans="1:12" x14ac:dyDescent="0.25">
      <c r="A10" s="17">
        <v>45356</v>
      </c>
      <c r="B10" s="18">
        <v>1</v>
      </c>
      <c r="C10" s="18">
        <v>1</v>
      </c>
      <c r="D10" s="2">
        <f t="shared" si="0"/>
        <v>0</v>
      </c>
      <c r="E10" s="18">
        <v>1</v>
      </c>
      <c r="F10" s="2"/>
      <c r="G10" s="2"/>
      <c r="H10" s="2"/>
      <c r="I10" s="2"/>
      <c r="J10" s="2"/>
      <c r="K10" s="19" t="s">
        <v>2155</v>
      </c>
      <c r="L10" s="66" t="s">
        <v>2098</v>
      </c>
    </row>
    <row r="11" spans="1:12" x14ac:dyDescent="0.25">
      <c r="A11" s="17">
        <v>45357</v>
      </c>
      <c r="B11" s="18">
        <v>3</v>
      </c>
      <c r="C11" s="18">
        <v>0</v>
      </c>
      <c r="D11" s="2">
        <f t="shared" si="0"/>
        <v>3</v>
      </c>
      <c r="E11" s="18">
        <v>3</v>
      </c>
      <c r="F11" s="2"/>
      <c r="G11" s="2"/>
      <c r="H11" s="2"/>
      <c r="I11" s="2"/>
      <c r="J11" s="2"/>
      <c r="K11" s="19" t="s">
        <v>2156</v>
      </c>
      <c r="L11" s="106"/>
    </row>
    <row r="12" spans="1:12" ht="30" x14ac:dyDescent="0.25">
      <c r="A12" s="17">
        <v>45357</v>
      </c>
      <c r="B12" s="18">
        <v>0</v>
      </c>
      <c r="C12" s="18">
        <v>0</v>
      </c>
      <c r="D12" s="2">
        <f t="shared" si="0"/>
        <v>0</v>
      </c>
      <c r="E12" s="18">
        <v>12</v>
      </c>
      <c r="F12" s="2"/>
      <c r="G12" s="2"/>
      <c r="H12" s="2"/>
      <c r="I12" s="2"/>
      <c r="J12" s="2"/>
      <c r="K12" s="19" t="s">
        <v>107</v>
      </c>
      <c r="L12" s="109" t="s">
        <v>2157</v>
      </c>
    </row>
    <row r="13" spans="1:12" ht="30" x14ac:dyDescent="0.25">
      <c r="A13" s="17">
        <v>45358</v>
      </c>
      <c r="B13" s="18">
        <v>12</v>
      </c>
      <c r="C13" s="18">
        <v>0</v>
      </c>
      <c r="D13" s="2">
        <f t="shared" si="0"/>
        <v>12</v>
      </c>
      <c r="E13" s="18"/>
      <c r="F13" s="2"/>
      <c r="G13" s="2"/>
      <c r="H13" s="2"/>
      <c r="I13" s="2"/>
      <c r="J13" s="2"/>
      <c r="K13" s="19" t="s">
        <v>2161</v>
      </c>
      <c r="L13" s="66" t="s">
        <v>2158</v>
      </c>
    </row>
    <row r="14" spans="1:12" ht="45" x14ac:dyDescent="0.25">
      <c r="A14" s="17">
        <v>45358</v>
      </c>
      <c r="B14" s="18">
        <v>0</v>
      </c>
      <c r="C14" s="18">
        <v>25</v>
      </c>
      <c r="D14" s="2">
        <f t="shared" si="0"/>
        <v>-25</v>
      </c>
      <c r="E14" s="18"/>
      <c r="F14" s="2"/>
      <c r="G14" s="2"/>
      <c r="H14" s="2"/>
      <c r="I14" s="2"/>
      <c r="J14" s="2"/>
      <c r="K14" s="19" t="s">
        <v>2159</v>
      </c>
      <c r="L14" s="66" t="s">
        <v>2160</v>
      </c>
    </row>
    <row r="15" spans="1:12" x14ac:dyDescent="0.25">
      <c r="A15" s="17">
        <v>45362</v>
      </c>
      <c r="B15" s="18">
        <v>0</v>
      </c>
      <c r="C15" s="18">
        <v>2</v>
      </c>
      <c r="D15" s="2">
        <f t="shared" si="0"/>
        <v>-2</v>
      </c>
      <c r="E15" s="18"/>
      <c r="F15" s="2"/>
      <c r="G15" s="2"/>
      <c r="H15" s="2"/>
      <c r="I15" s="2"/>
      <c r="J15" s="2"/>
      <c r="K15" s="19" t="s">
        <v>2162</v>
      </c>
      <c r="L15" s="66" t="s">
        <v>2163</v>
      </c>
    </row>
    <row r="16" spans="1:12" ht="30" x14ac:dyDescent="0.25">
      <c r="A16" s="17">
        <v>45365</v>
      </c>
      <c r="B16" s="18">
        <v>0</v>
      </c>
      <c r="C16" s="18">
        <v>0</v>
      </c>
      <c r="D16" s="2">
        <f t="shared" si="0"/>
        <v>0</v>
      </c>
      <c r="E16" s="18">
        <v>12</v>
      </c>
      <c r="F16" s="2"/>
      <c r="G16" s="2"/>
      <c r="H16" s="2"/>
      <c r="I16" s="2"/>
      <c r="J16" s="2"/>
      <c r="K16" s="19" t="s">
        <v>107</v>
      </c>
      <c r="L16" s="109" t="s">
        <v>2164</v>
      </c>
    </row>
    <row r="17" spans="1:12" ht="30" x14ac:dyDescent="0.25">
      <c r="A17" s="17">
        <v>45365</v>
      </c>
      <c r="B17" s="18">
        <v>12</v>
      </c>
      <c r="C17" s="18">
        <v>0</v>
      </c>
      <c r="D17" s="2">
        <f t="shared" si="0"/>
        <v>12</v>
      </c>
      <c r="E17" s="18"/>
      <c r="F17" s="2"/>
      <c r="G17" s="2"/>
      <c r="H17" s="2"/>
      <c r="I17" s="2"/>
      <c r="J17" s="2"/>
      <c r="K17" s="19" t="s">
        <v>2168</v>
      </c>
      <c r="L17" s="106" t="s">
        <v>2165</v>
      </c>
    </row>
    <row r="18" spans="1:12" ht="30" x14ac:dyDescent="0.25">
      <c r="A18" s="17">
        <v>45365</v>
      </c>
      <c r="B18" s="18">
        <v>0</v>
      </c>
      <c r="C18" s="18">
        <v>16</v>
      </c>
      <c r="D18" s="2">
        <f t="shared" si="0"/>
        <v>-16</v>
      </c>
      <c r="E18" s="18"/>
      <c r="F18" s="2"/>
      <c r="G18" s="2"/>
      <c r="H18" s="2"/>
      <c r="I18" s="2"/>
      <c r="J18" s="2"/>
      <c r="K18" s="19" t="s">
        <v>2166</v>
      </c>
      <c r="L18" s="66" t="s">
        <v>2167</v>
      </c>
    </row>
    <row r="19" spans="1:12" x14ac:dyDescent="0.25">
      <c r="A19" s="17">
        <v>45369</v>
      </c>
      <c r="B19" s="18">
        <v>1</v>
      </c>
      <c r="C19" s="18">
        <v>4</v>
      </c>
      <c r="D19" s="2">
        <f t="shared" si="0"/>
        <v>-3</v>
      </c>
      <c r="E19" s="18">
        <v>1</v>
      </c>
      <c r="F19" s="2"/>
      <c r="G19" s="2"/>
      <c r="H19" s="2"/>
      <c r="I19" s="2"/>
      <c r="J19" s="2"/>
      <c r="K19" s="19" t="s">
        <v>2170</v>
      </c>
      <c r="L19" s="66" t="s">
        <v>2169</v>
      </c>
    </row>
    <row r="20" spans="1:12" ht="45" x14ac:dyDescent="0.25">
      <c r="A20" s="17">
        <v>45369</v>
      </c>
      <c r="B20" s="18">
        <v>0</v>
      </c>
      <c r="C20" s="18">
        <v>25</v>
      </c>
      <c r="D20" s="2">
        <f t="shared" si="0"/>
        <v>-25</v>
      </c>
      <c r="E20" s="18">
        <v>25</v>
      </c>
      <c r="F20" s="2"/>
      <c r="G20" s="2"/>
      <c r="H20" s="2"/>
      <c r="I20" s="2"/>
      <c r="J20" s="2"/>
      <c r="K20" s="19" t="s">
        <v>2171</v>
      </c>
      <c r="L20" s="66" t="s">
        <v>2172</v>
      </c>
    </row>
    <row r="21" spans="1:12" ht="30" x14ac:dyDescent="0.25">
      <c r="A21" s="21">
        <v>45371</v>
      </c>
      <c r="B21" s="22">
        <v>0</v>
      </c>
      <c r="C21" s="22">
        <v>0</v>
      </c>
      <c r="D21" s="2">
        <f t="shared" si="0"/>
        <v>0</v>
      </c>
      <c r="E21" s="22">
        <v>18</v>
      </c>
      <c r="F21" s="23"/>
      <c r="G21" s="23"/>
      <c r="H21" s="23"/>
      <c r="I21" s="23"/>
      <c r="J21" s="23"/>
      <c r="K21" s="19" t="s">
        <v>107</v>
      </c>
      <c r="L21" s="109" t="s">
        <v>2174</v>
      </c>
    </row>
    <row r="22" spans="1:12" ht="30" x14ac:dyDescent="0.25">
      <c r="A22" s="17">
        <v>45371</v>
      </c>
      <c r="B22" s="18">
        <v>18</v>
      </c>
      <c r="C22" s="18">
        <v>0</v>
      </c>
      <c r="D22" s="2">
        <f t="shared" si="0"/>
        <v>18</v>
      </c>
      <c r="E22" s="18"/>
      <c r="F22" s="2"/>
      <c r="G22" s="2"/>
      <c r="H22" s="2"/>
      <c r="I22" s="2"/>
      <c r="J22" s="2"/>
      <c r="K22" s="19" t="s">
        <v>2173</v>
      </c>
      <c r="L22" s="106" t="s">
        <v>2175</v>
      </c>
    </row>
    <row r="23" spans="1:12" x14ac:dyDescent="0.25">
      <c r="A23" s="17">
        <v>45371</v>
      </c>
      <c r="B23" s="18">
        <v>2</v>
      </c>
      <c r="C23" s="18">
        <v>2</v>
      </c>
      <c r="D23" s="2">
        <f t="shared" si="0"/>
        <v>0</v>
      </c>
      <c r="E23" s="18">
        <v>2</v>
      </c>
      <c r="F23" s="2"/>
      <c r="G23" s="2"/>
      <c r="H23" s="2"/>
      <c r="I23" s="2"/>
      <c r="J23" s="2"/>
      <c r="K23" s="19" t="s">
        <v>2176</v>
      </c>
      <c r="L23" s="106"/>
    </row>
    <row r="24" spans="1:12" x14ac:dyDescent="0.25">
      <c r="A24" s="17">
        <v>45371</v>
      </c>
      <c r="B24" s="18">
        <v>6</v>
      </c>
      <c r="C24" s="18">
        <v>0</v>
      </c>
      <c r="D24" s="2">
        <f t="shared" si="0"/>
        <v>6</v>
      </c>
      <c r="E24" s="18">
        <v>2</v>
      </c>
      <c r="F24" s="2"/>
      <c r="G24" s="2"/>
      <c r="H24" s="2"/>
      <c r="I24" s="2"/>
      <c r="J24" s="2"/>
      <c r="K24" s="19" t="s">
        <v>2179</v>
      </c>
      <c r="L24" s="106"/>
    </row>
    <row r="25" spans="1:12" ht="45" x14ac:dyDescent="0.25">
      <c r="A25" s="17">
        <v>45372</v>
      </c>
      <c r="B25" s="18">
        <v>0</v>
      </c>
      <c r="C25" s="18">
        <v>21</v>
      </c>
      <c r="D25" s="2">
        <f t="shared" si="0"/>
        <v>-21</v>
      </c>
      <c r="E25" s="18"/>
      <c r="F25" s="2"/>
      <c r="G25" s="2"/>
      <c r="H25" s="2"/>
      <c r="I25" s="2"/>
      <c r="J25" s="2"/>
      <c r="K25" s="19" t="s">
        <v>2177</v>
      </c>
      <c r="L25" s="66" t="s">
        <v>2178</v>
      </c>
    </row>
    <row r="26" spans="1:12" x14ac:dyDescent="0.25">
      <c r="A26" s="17">
        <v>45372</v>
      </c>
      <c r="B26" s="18">
        <v>2</v>
      </c>
      <c r="C26" s="18">
        <v>0</v>
      </c>
      <c r="D26" s="2">
        <f t="shared" si="0"/>
        <v>2</v>
      </c>
      <c r="E26" s="18"/>
      <c r="F26" s="2"/>
      <c r="G26" s="2"/>
      <c r="H26" s="2"/>
      <c r="I26" s="2"/>
      <c r="J26" s="2"/>
      <c r="K26" s="19" t="s">
        <v>2180</v>
      </c>
      <c r="L26" s="106"/>
    </row>
    <row r="27" spans="1:12" ht="30" x14ac:dyDescent="0.25">
      <c r="A27" s="17">
        <v>45373</v>
      </c>
      <c r="B27" s="18">
        <v>0</v>
      </c>
      <c r="C27" s="18">
        <v>0</v>
      </c>
      <c r="D27" s="2">
        <f t="shared" si="0"/>
        <v>0</v>
      </c>
      <c r="E27" s="18">
        <v>7</v>
      </c>
      <c r="F27" s="2"/>
      <c r="G27" s="2"/>
      <c r="H27" s="2"/>
      <c r="I27" s="2"/>
      <c r="J27" s="2"/>
      <c r="K27" s="19" t="s">
        <v>107</v>
      </c>
      <c r="L27" s="109" t="s">
        <v>2181</v>
      </c>
    </row>
    <row r="28" spans="1:12" x14ac:dyDescent="0.25">
      <c r="A28" s="17">
        <v>45373</v>
      </c>
      <c r="B28" s="18">
        <v>7</v>
      </c>
      <c r="C28" s="18">
        <v>0</v>
      </c>
      <c r="D28" s="2">
        <f t="shared" si="0"/>
        <v>7</v>
      </c>
      <c r="E28" s="18"/>
      <c r="F28" s="2"/>
      <c r="G28" s="2"/>
      <c r="H28" s="2"/>
      <c r="I28" s="2"/>
      <c r="J28" s="2"/>
      <c r="K28" s="19" t="s">
        <v>2183</v>
      </c>
      <c r="L28" s="66" t="s">
        <v>2182</v>
      </c>
    </row>
    <row r="29" spans="1:12" ht="75" x14ac:dyDescent="0.25">
      <c r="A29" s="17">
        <v>45378</v>
      </c>
      <c r="B29" s="18">
        <v>0</v>
      </c>
      <c r="C29" s="18">
        <v>33</v>
      </c>
      <c r="D29" s="2">
        <f t="shared" si="0"/>
        <v>-33</v>
      </c>
      <c r="E29" s="18"/>
      <c r="F29" s="2"/>
      <c r="G29" s="2"/>
      <c r="H29" s="2"/>
      <c r="I29" s="2"/>
      <c r="J29" s="2"/>
      <c r="K29" s="19" t="s">
        <v>2184</v>
      </c>
      <c r="L29" s="66" t="s">
        <v>2185</v>
      </c>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WBH2lLijl5vmIc8z0bA/T22Uzvc1J1uD/Ng9WCeALX0eFg1AF97CLk6/wmOKnj3ODsO0naRmEeu7OASNgF6xGw==" saltValue="jLl/pgUIrjW4m1wLkrgFlg=="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59" priority="1" operator="lessThan">
      <formula>0</formula>
    </cfRule>
    <cfRule type="cellIs" dxfId="5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3" orientation="landscape" r:id="rId2"/>
  <headerFooter>
    <oddFooter>&amp;C&amp;D / &amp;T&amp;RSeite &amp;P von &amp;N</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L44"/>
  <sheetViews>
    <sheetView workbookViewId="0">
      <pane ySplit="6" topLeftCell="A22" activePane="bottomLeft" state="frozen"/>
      <selection pane="bottomLeft" activeCell="K23" sqref="K23"/>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-127</v>
      </c>
      <c r="L2" s="27"/>
    </row>
    <row r="3" spans="1:12" ht="15.75" thickBot="1" x14ac:dyDescent="0.3">
      <c r="A3" s="5"/>
      <c r="B3" s="2"/>
      <c r="C3" s="2"/>
      <c r="D3" s="2"/>
      <c r="E3" s="2"/>
      <c r="F3" s="2">
        <f>'03.24'!F6</f>
        <v>745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769</v>
      </c>
      <c r="G6" s="30">
        <f>SUM(B:B)</f>
        <v>121</v>
      </c>
      <c r="H6" s="30">
        <f>SUM(C:C)</f>
        <v>97</v>
      </c>
      <c r="I6" s="30"/>
      <c r="J6" s="33">
        <f>SUM(G6:H6)+SUM(E:E)</f>
        <v>318</v>
      </c>
      <c r="K6" s="112"/>
      <c r="L6" s="50">
        <f>J6/K1</f>
        <v>0.49532710280373832</v>
      </c>
    </row>
    <row r="7" spans="1:12" ht="30" x14ac:dyDescent="0.25">
      <c r="A7" s="17">
        <v>45384</v>
      </c>
      <c r="B7" s="18">
        <v>0</v>
      </c>
      <c r="C7" s="18">
        <v>0</v>
      </c>
      <c r="D7" s="2">
        <f t="shared" ref="D7:D44" si="0">B7-C7</f>
        <v>0</v>
      </c>
      <c r="E7" s="18">
        <v>12</v>
      </c>
      <c r="F7" s="2"/>
      <c r="G7" s="2"/>
      <c r="H7" s="2"/>
      <c r="I7" s="2"/>
      <c r="J7" s="2"/>
      <c r="K7" s="19" t="s">
        <v>107</v>
      </c>
      <c r="L7" s="109" t="s">
        <v>2186</v>
      </c>
    </row>
    <row r="8" spans="1:12" ht="30" x14ac:dyDescent="0.25">
      <c r="A8" s="17">
        <v>45384</v>
      </c>
      <c r="B8" s="18">
        <v>12</v>
      </c>
      <c r="C8" s="18">
        <v>0</v>
      </c>
      <c r="D8" s="2">
        <f t="shared" si="0"/>
        <v>12</v>
      </c>
      <c r="E8" s="18"/>
      <c r="F8" s="2"/>
      <c r="G8" s="2"/>
      <c r="H8" s="2"/>
      <c r="I8" s="2"/>
      <c r="J8" s="2"/>
      <c r="K8" s="19" t="s">
        <v>2192</v>
      </c>
      <c r="L8" s="66" t="s">
        <v>2187</v>
      </c>
    </row>
    <row r="9" spans="1:12" ht="30" x14ac:dyDescent="0.25">
      <c r="A9" s="17">
        <v>45386</v>
      </c>
      <c r="B9" s="18">
        <v>0</v>
      </c>
      <c r="C9" s="18">
        <v>0</v>
      </c>
      <c r="D9" s="2">
        <f t="shared" si="0"/>
        <v>0</v>
      </c>
      <c r="E9" s="18">
        <v>18</v>
      </c>
      <c r="F9" s="2"/>
      <c r="G9" s="2"/>
      <c r="H9" s="2"/>
      <c r="I9" s="2"/>
      <c r="J9" s="2"/>
      <c r="K9" s="19" t="s">
        <v>107</v>
      </c>
      <c r="L9" s="109" t="s">
        <v>2188</v>
      </c>
    </row>
    <row r="10" spans="1:12" ht="30" x14ac:dyDescent="0.25">
      <c r="A10" s="17">
        <v>45386</v>
      </c>
      <c r="B10" s="18">
        <v>18</v>
      </c>
      <c r="C10" s="18">
        <v>0</v>
      </c>
      <c r="D10" s="2">
        <f t="shared" si="0"/>
        <v>18</v>
      </c>
      <c r="E10" s="18"/>
      <c r="F10" s="2"/>
      <c r="G10" s="2"/>
      <c r="H10" s="2"/>
      <c r="I10" s="2"/>
      <c r="J10" s="2"/>
      <c r="K10" s="19" t="s">
        <v>2193</v>
      </c>
      <c r="L10" s="66" t="s">
        <v>2189</v>
      </c>
    </row>
    <row r="11" spans="1:12" ht="30" x14ac:dyDescent="0.25">
      <c r="A11" s="17">
        <v>45386</v>
      </c>
      <c r="B11" s="18">
        <v>0</v>
      </c>
      <c r="C11" s="18">
        <v>18</v>
      </c>
      <c r="D11" s="2">
        <f t="shared" si="0"/>
        <v>-18</v>
      </c>
      <c r="E11" s="18"/>
      <c r="F11" s="2"/>
      <c r="G11" s="2"/>
      <c r="H11" s="2"/>
      <c r="I11" s="2"/>
      <c r="J11" s="2"/>
      <c r="K11" s="19" t="s">
        <v>2190</v>
      </c>
      <c r="L11" s="66" t="s">
        <v>2191</v>
      </c>
    </row>
    <row r="12" spans="1:12" ht="60" x14ac:dyDescent="0.25">
      <c r="A12" s="17">
        <v>45393</v>
      </c>
      <c r="B12" s="18">
        <v>0</v>
      </c>
      <c r="C12" s="18">
        <v>31</v>
      </c>
      <c r="D12" s="2">
        <f t="shared" si="0"/>
        <v>-31</v>
      </c>
      <c r="E12" s="18"/>
      <c r="F12" s="2"/>
      <c r="G12" s="2"/>
      <c r="H12" s="2"/>
      <c r="I12" s="2"/>
      <c r="J12" s="2"/>
      <c r="K12" s="19" t="s">
        <v>2194</v>
      </c>
      <c r="L12" s="66" t="s">
        <v>2195</v>
      </c>
    </row>
    <row r="13" spans="1:12" x14ac:dyDescent="0.25">
      <c r="A13" s="17">
        <v>45393</v>
      </c>
      <c r="B13" s="18">
        <v>6</v>
      </c>
      <c r="C13" s="18">
        <v>0</v>
      </c>
      <c r="D13" s="2">
        <f t="shared" si="0"/>
        <v>6</v>
      </c>
      <c r="E13" s="18"/>
      <c r="F13" s="2"/>
      <c r="G13" s="2"/>
      <c r="H13" s="2"/>
      <c r="I13" s="2"/>
      <c r="J13" s="2"/>
      <c r="K13" s="19" t="s">
        <v>2196</v>
      </c>
    </row>
    <row r="14" spans="1:12" ht="30" x14ac:dyDescent="0.25">
      <c r="A14" s="17">
        <v>45400</v>
      </c>
      <c r="B14" s="18">
        <v>0</v>
      </c>
      <c r="C14" s="18">
        <v>0</v>
      </c>
      <c r="D14" s="2">
        <f t="shared" si="0"/>
        <v>0</v>
      </c>
      <c r="E14" s="18">
        <v>13</v>
      </c>
      <c r="F14" s="2"/>
      <c r="G14" s="2"/>
      <c r="H14" s="2"/>
      <c r="I14" s="2"/>
      <c r="J14" s="2"/>
      <c r="K14" s="19" t="s">
        <v>107</v>
      </c>
      <c r="L14" s="109" t="s">
        <v>2197</v>
      </c>
    </row>
    <row r="15" spans="1:12" ht="30" x14ac:dyDescent="0.25">
      <c r="A15" s="17">
        <v>45401</v>
      </c>
      <c r="B15" s="18">
        <v>13</v>
      </c>
      <c r="C15" s="18">
        <v>0</v>
      </c>
      <c r="D15" s="2">
        <f t="shared" si="0"/>
        <v>13</v>
      </c>
      <c r="E15" s="18"/>
      <c r="F15" s="2"/>
      <c r="G15" s="2"/>
      <c r="H15" s="2"/>
      <c r="I15" s="2"/>
      <c r="J15" s="2"/>
      <c r="K15" s="19" t="s">
        <v>2201</v>
      </c>
      <c r="L15" s="106" t="s">
        <v>2198</v>
      </c>
    </row>
    <row r="16" spans="1:12" ht="45" x14ac:dyDescent="0.25">
      <c r="A16" s="17">
        <v>45400</v>
      </c>
      <c r="B16" s="18">
        <v>0</v>
      </c>
      <c r="C16" s="18">
        <v>23</v>
      </c>
      <c r="D16" s="2">
        <f t="shared" si="0"/>
        <v>-23</v>
      </c>
      <c r="E16" s="18"/>
      <c r="F16" s="2"/>
      <c r="G16" s="2"/>
      <c r="H16" s="2"/>
      <c r="I16" s="2"/>
      <c r="J16" s="2"/>
      <c r="K16" s="19" t="s">
        <v>2200</v>
      </c>
      <c r="L16" s="66" t="s">
        <v>2199</v>
      </c>
    </row>
    <row r="17" spans="1:12" ht="30" x14ac:dyDescent="0.25">
      <c r="A17" s="17">
        <v>45404</v>
      </c>
      <c r="B17" s="18">
        <v>0</v>
      </c>
      <c r="C17" s="18">
        <v>0</v>
      </c>
      <c r="D17" s="2">
        <f t="shared" si="0"/>
        <v>0</v>
      </c>
      <c r="E17" s="18">
        <v>12</v>
      </c>
      <c r="F17" s="2"/>
      <c r="G17" s="2"/>
      <c r="H17" s="2"/>
      <c r="I17" s="2"/>
      <c r="J17" s="2"/>
      <c r="K17" s="19" t="s">
        <v>107</v>
      </c>
      <c r="L17" s="109" t="s">
        <v>2202</v>
      </c>
    </row>
    <row r="18" spans="1:12" ht="30" x14ac:dyDescent="0.25">
      <c r="A18" s="17">
        <v>45404</v>
      </c>
      <c r="B18" s="18">
        <v>12</v>
      </c>
      <c r="C18" s="18">
        <v>0</v>
      </c>
      <c r="D18" s="2">
        <f t="shared" si="0"/>
        <v>12</v>
      </c>
      <c r="E18" s="18"/>
      <c r="F18" s="2"/>
      <c r="G18" s="2"/>
      <c r="H18" s="2"/>
      <c r="I18" s="2"/>
      <c r="J18" s="2"/>
      <c r="K18" s="19" t="s">
        <v>2203</v>
      </c>
      <c r="L18" s="106" t="s">
        <v>2205</v>
      </c>
    </row>
    <row r="19" spans="1:12" ht="30" x14ac:dyDescent="0.25">
      <c r="A19" s="17">
        <v>45405</v>
      </c>
      <c r="B19" s="18">
        <v>0</v>
      </c>
      <c r="C19" s="18">
        <v>0</v>
      </c>
      <c r="D19" s="2">
        <f t="shared" si="0"/>
        <v>0</v>
      </c>
      <c r="E19" s="18">
        <v>6</v>
      </c>
      <c r="F19" s="2"/>
      <c r="G19" s="2"/>
      <c r="H19" s="2"/>
      <c r="I19" s="2"/>
      <c r="J19" s="2"/>
      <c r="K19" s="19" t="s">
        <v>107</v>
      </c>
      <c r="L19" s="109" t="s">
        <v>2206</v>
      </c>
    </row>
    <row r="20" spans="1:12" x14ac:dyDescent="0.25">
      <c r="A20" s="17">
        <v>45406</v>
      </c>
      <c r="B20" s="18">
        <v>6</v>
      </c>
      <c r="C20" s="18">
        <v>0</v>
      </c>
      <c r="D20" s="2">
        <f t="shared" si="0"/>
        <v>6</v>
      </c>
      <c r="E20" s="18"/>
      <c r="F20" s="2"/>
      <c r="G20" s="2"/>
      <c r="H20" s="2"/>
      <c r="I20" s="2"/>
      <c r="J20" s="2"/>
      <c r="K20" s="19" t="s">
        <v>2209</v>
      </c>
      <c r="L20" s="106" t="s">
        <v>2204</v>
      </c>
    </row>
    <row r="21" spans="1:12" ht="30" x14ac:dyDescent="0.25">
      <c r="A21" s="21">
        <v>45406</v>
      </c>
      <c r="B21" s="22">
        <v>0</v>
      </c>
      <c r="C21" s="22">
        <v>0</v>
      </c>
      <c r="D21" s="2">
        <f t="shared" si="0"/>
        <v>0</v>
      </c>
      <c r="E21" s="22">
        <v>14</v>
      </c>
      <c r="F21" s="23"/>
      <c r="G21" s="23"/>
      <c r="H21" s="23"/>
      <c r="I21" s="23"/>
      <c r="J21" s="23"/>
      <c r="K21" s="19" t="s">
        <v>107</v>
      </c>
      <c r="L21" s="109" t="s">
        <v>2208</v>
      </c>
    </row>
    <row r="22" spans="1:12" ht="30" x14ac:dyDescent="0.25">
      <c r="A22" s="17">
        <v>45408</v>
      </c>
      <c r="B22" s="18">
        <v>14</v>
      </c>
      <c r="C22" s="18">
        <v>0</v>
      </c>
      <c r="D22" s="2">
        <f t="shared" si="0"/>
        <v>14</v>
      </c>
      <c r="E22" s="18"/>
      <c r="F22" s="2"/>
      <c r="G22" s="2"/>
      <c r="H22" s="2"/>
      <c r="I22" s="2"/>
      <c r="J22" s="2"/>
      <c r="K22" s="19" t="s">
        <v>2216</v>
      </c>
      <c r="L22" s="106" t="s">
        <v>2207</v>
      </c>
    </row>
    <row r="23" spans="1:12" x14ac:dyDescent="0.25">
      <c r="A23" s="17">
        <v>45406</v>
      </c>
      <c r="B23" s="18">
        <v>1</v>
      </c>
      <c r="C23" s="18">
        <v>1</v>
      </c>
      <c r="D23" s="2">
        <f t="shared" si="0"/>
        <v>0</v>
      </c>
      <c r="E23" s="18">
        <v>1</v>
      </c>
      <c r="F23" s="2"/>
      <c r="G23" s="2"/>
      <c r="H23" s="2"/>
      <c r="I23" s="2"/>
      <c r="J23" s="2"/>
      <c r="K23" s="19" t="s">
        <v>2210</v>
      </c>
      <c r="L23" s="106" t="s">
        <v>2211</v>
      </c>
    </row>
    <row r="24" spans="1:12" ht="45" x14ac:dyDescent="0.25">
      <c r="A24" s="17">
        <v>45407</v>
      </c>
      <c r="B24" s="18">
        <v>0</v>
      </c>
      <c r="C24" s="18">
        <v>24</v>
      </c>
      <c r="D24" s="2">
        <f t="shared" si="0"/>
        <v>-24</v>
      </c>
      <c r="E24" s="18"/>
      <c r="F24" s="2"/>
      <c r="G24" s="2"/>
      <c r="H24" s="2"/>
      <c r="I24" s="2"/>
      <c r="J24" s="2"/>
      <c r="K24" s="19" t="s">
        <v>2212</v>
      </c>
      <c r="L24" s="106" t="s">
        <v>2213</v>
      </c>
    </row>
    <row r="25" spans="1:12" ht="30" x14ac:dyDescent="0.25">
      <c r="A25" s="17">
        <v>45408</v>
      </c>
      <c r="B25" s="18">
        <v>0</v>
      </c>
      <c r="C25" s="18">
        <v>0</v>
      </c>
      <c r="D25" s="2">
        <f t="shared" si="0"/>
        <v>0</v>
      </c>
      <c r="E25" s="18">
        <v>24</v>
      </c>
      <c r="F25" s="2"/>
      <c r="G25" s="2"/>
      <c r="H25" s="2"/>
      <c r="I25" s="2"/>
      <c r="J25" s="2"/>
      <c r="K25" s="19" t="s">
        <v>107</v>
      </c>
      <c r="L25" s="109" t="s">
        <v>2214</v>
      </c>
    </row>
    <row r="26" spans="1:12" ht="45" x14ac:dyDescent="0.25">
      <c r="A26" s="17">
        <v>45408</v>
      </c>
      <c r="B26" s="18">
        <v>24</v>
      </c>
      <c r="C26" s="18">
        <v>0</v>
      </c>
      <c r="D26" s="2">
        <f t="shared" si="0"/>
        <v>24</v>
      </c>
      <c r="E26" s="18"/>
      <c r="F26" s="2"/>
      <c r="G26" s="2"/>
      <c r="H26" s="2"/>
      <c r="I26" s="2"/>
      <c r="J26" s="2"/>
      <c r="K26" s="19" t="s">
        <v>2219</v>
      </c>
      <c r="L26" s="106" t="s">
        <v>2215</v>
      </c>
    </row>
    <row r="27" spans="1:12" ht="30" x14ac:dyDescent="0.25">
      <c r="A27" s="17">
        <v>45407</v>
      </c>
      <c r="B27" s="18">
        <v>15</v>
      </c>
      <c r="C27" s="18">
        <v>0</v>
      </c>
      <c r="D27" s="2">
        <f t="shared" si="0"/>
        <v>15</v>
      </c>
      <c r="E27" s="18"/>
      <c r="F27" s="2"/>
      <c r="G27" s="2"/>
      <c r="H27" s="2"/>
      <c r="I27" s="2"/>
      <c r="J27" s="2"/>
      <c r="K27" s="19" t="s">
        <v>2218</v>
      </c>
      <c r="L27" s="66" t="s">
        <v>2217</v>
      </c>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AQQC96sFlpPvwZwgKNIAxsjfjpK34LVdwxW/x0mRgLrLVclFFs/edBLhrr0O+wKo4+K1fcwMe2DkETg9yQjWGg==" saltValue="Gbr4DVMIkIV/w8YNf49zRA=="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57" priority="1" operator="lessThan">
      <formula>0</formula>
    </cfRule>
    <cfRule type="cellIs" dxfId="5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3" orientation="landscape" r:id="rId2"/>
  <headerFooter>
    <oddFooter>&amp;C&amp;D / &amp;T&amp;RSeite &amp;P von &amp;N</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L44"/>
  <sheetViews>
    <sheetView workbookViewId="0">
      <pane ySplit="6" topLeftCell="A19" activePane="bottomLeft" state="frozen"/>
      <selection pane="bottomLeft" activeCell="K8" sqref="K8"/>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-122</v>
      </c>
      <c r="L2" s="27"/>
    </row>
    <row r="3" spans="1:12" ht="15.75" thickBot="1" x14ac:dyDescent="0.3">
      <c r="A3" s="5"/>
      <c r="B3" s="2"/>
      <c r="C3" s="2"/>
      <c r="D3" s="2"/>
      <c r="E3" s="2"/>
      <c r="F3" s="2">
        <f>'04.24'!F6</f>
        <v>769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764</v>
      </c>
      <c r="G6" s="30">
        <f>SUM(B:B)</f>
        <v>106</v>
      </c>
      <c r="H6" s="30">
        <f>SUM(C:C)</f>
        <v>111</v>
      </c>
      <c r="I6" s="30"/>
      <c r="J6" s="33">
        <f>SUM(G6:H6)+SUM(E:E)</f>
        <v>318</v>
      </c>
      <c r="K6" s="112"/>
      <c r="L6" s="50">
        <f>J6/K1</f>
        <v>0.49532710280373832</v>
      </c>
    </row>
    <row r="7" spans="1:12" x14ac:dyDescent="0.25">
      <c r="A7" s="17">
        <v>45418</v>
      </c>
      <c r="B7" s="18">
        <v>0</v>
      </c>
      <c r="C7" s="18">
        <v>7</v>
      </c>
      <c r="D7" s="2">
        <f t="shared" ref="D7:D44" si="0">B7-C7</f>
        <v>-7</v>
      </c>
      <c r="E7" s="18">
        <v>1</v>
      </c>
      <c r="F7" s="2"/>
      <c r="G7" s="2"/>
      <c r="H7" s="2"/>
      <c r="I7" s="2"/>
      <c r="J7" s="2"/>
      <c r="K7" s="19" t="s">
        <v>2221</v>
      </c>
      <c r="L7" s="66" t="s">
        <v>2222</v>
      </c>
    </row>
    <row r="8" spans="1:12" x14ac:dyDescent="0.25">
      <c r="A8" s="17">
        <v>45418</v>
      </c>
      <c r="B8" s="18">
        <v>1</v>
      </c>
      <c r="C8" s="18">
        <v>1</v>
      </c>
      <c r="D8" s="2">
        <f t="shared" si="0"/>
        <v>0</v>
      </c>
      <c r="E8" s="18">
        <v>1</v>
      </c>
      <c r="F8" s="2"/>
      <c r="G8" s="2"/>
      <c r="H8" s="2"/>
      <c r="I8" s="2"/>
      <c r="J8" s="2"/>
      <c r="K8" s="19" t="s">
        <v>2248</v>
      </c>
      <c r="L8" s="66" t="s">
        <v>2222</v>
      </c>
    </row>
    <row r="9" spans="1:12" x14ac:dyDescent="0.25">
      <c r="A9" s="17">
        <v>45418</v>
      </c>
      <c r="B9" s="18">
        <v>0</v>
      </c>
      <c r="C9" s="18">
        <v>2</v>
      </c>
      <c r="D9" s="2">
        <f t="shared" si="0"/>
        <v>-2</v>
      </c>
      <c r="E9" s="18"/>
      <c r="F9" s="2"/>
      <c r="G9" s="2"/>
      <c r="H9" s="2"/>
      <c r="I9" s="2"/>
      <c r="J9" s="2"/>
      <c r="K9" s="19" t="s">
        <v>2223</v>
      </c>
      <c r="L9" s="66" t="s">
        <v>2224</v>
      </c>
    </row>
    <row r="10" spans="1:12" ht="30" x14ac:dyDescent="0.25">
      <c r="A10" s="17">
        <v>45419</v>
      </c>
      <c r="B10" s="18">
        <v>0</v>
      </c>
      <c r="C10" s="18">
        <v>0</v>
      </c>
      <c r="D10" s="2">
        <f t="shared" si="0"/>
        <v>0</v>
      </c>
      <c r="E10" s="18">
        <v>12</v>
      </c>
      <c r="F10" s="2"/>
      <c r="G10" s="2"/>
      <c r="H10" s="2"/>
      <c r="I10" s="2"/>
      <c r="J10" s="2"/>
      <c r="K10" s="19" t="s">
        <v>107</v>
      </c>
      <c r="L10" s="109" t="s">
        <v>2225</v>
      </c>
    </row>
    <row r="11" spans="1:12" ht="30" x14ac:dyDescent="0.25">
      <c r="A11" s="17">
        <v>45419</v>
      </c>
      <c r="B11" s="18">
        <v>12</v>
      </c>
      <c r="C11" s="18">
        <v>0</v>
      </c>
      <c r="D11" s="2">
        <f t="shared" si="0"/>
        <v>12</v>
      </c>
      <c r="E11" s="18"/>
      <c r="F11" s="2"/>
      <c r="G11" s="2"/>
      <c r="H11" s="2"/>
      <c r="I11" s="2"/>
      <c r="J11" s="2"/>
      <c r="K11" s="19" t="s">
        <v>2220</v>
      </c>
      <c r="L11" s="66" t="s">
        <v>2231</v>
      </c>
    </row>
    <row r="12" spans="1:12" x14ac:dyDescent="0.25">
      <c r="A12" s="17">
        <v>45420</v>
      </c>
      <c r="B12" s="18">
        <v>0</v>
      </c>
      <c r="C12" s="18">
        <v>3</v>
      </c>
      <c r="D12" s="2">
        <f t="shared" si="0"/>
        <v>-3</v>
      </c>
      <c r="E12" s="18"/>
      <c r="F12" s="2"/>
      <c r="G12" s="2"/>
      <c r="H12" s="2"/>
      <c r="I12" s="2"/>
      <c r="J12" s="2"/>
      <c r="K12" s="19" t="s">
        <v>2226</v>
      </c>
      <c r="L12" s="66" t="s">
        <v>2227</v>
      </c>
    </row>
    <row r="13" spans="1:12" ht="45" x14ac:dyDescent="0.25">
      <c r="A13" s="17">
        <v>45420</v>
      </c>
      <c r="B13" s="18">
        <v>0</v>
      </c>
      <c r="C13" s="18">
        <v>20</v>
      </c>
      <c r="D13" s="2">
        <f t="shared" si="0"/>
        <v>-20</v>
      </c>
      <c r="E13" s="18"/>
      <c r="F13" s="2"/>
      <c r="G13" s="2"/>
      <c r="H13" s="2"/>
      <c r="I13" s="2"/>
      <c r="J13" s="2"/>
      <c r="K13" s="19" t="s">
        <v>2228</v>
      </c>
      <c r="L13" s="66" t="s">
        <v>2229</v>
      </c>
    </row>
    <row r="14" spans="1:12" ht="30" x14ac:dyDescent="0.25">
      <c r="A14" s="17">
        <v>45427</v>
      </c>
      <c r="B14" s="18">
        <v>0</v>
      </c>
      <c r="C14" s="18">
        <v>0</v>
      </c>
      <c r="D14" s="2">
        <f t="shared" si="0"/>
        <v>0</v>
      </c>
      <c r="E14" s="18">
        <v>23</v>
      </c>
      <c r="F14" s="2"/>
      <c r="G14" s="2"/>
      <c r="H14" s="2"/>
      <c r="I14" s="2"/>
      <c r="J14" s="2"/>
      <c r="K14" s="19" t="s">
        <v>107</v>
      </c>
      <c r="L14" s="109" t="s">
        <v>2230</v>
      </c>
    </row>
    <row r="15" spans="1:12" ht="45" x14ac:dyDescent="0.25">
      <c r="A15" s="17">
        <v>45428</v>
      </c>
      <c r="B15" s="18">
        <v>23</v>
      </c>
      <c r="C15" s="18">
        <v>0</v>
      </c>
      <c r="D15" s="2">
        <f t="shared" si="0"/>
        <v>23</v>
      </c>
      <c r="E15" s="18"/>
      <c r="F15" s="2"/>
      <c r="G15" s="2"/>
      <c r="H15" s="2"/>
      <c r="I15" s="2"/>
      <c r="J15" s="2"/>
      <c r="K15" s="19" t="s">
        <v>2233</v>
      </c>
      <c r="L15" s="106" t="s">
        <v>2232</v>
      </c>
    </row>
    <row r="16" spans="1:12" ht="45" x14ac:dyDescent="0.25">
      <c r="A16" s="17">
        <v>45429</v>
      </c>
      <c r="B16" s="18">
        <v>0</v>
      </c>
      <c r="C16" s="18">
        <v>27</v>
      </c>
      <c r="D16" s="2">
        <f t="shared" si="0"/>
        <v>-27</v>
      </c>
      <c r="E16" s="18"/>
      <c r="F16" s="2"/>
      <c r="G16" s="2"/>
      <c r="H16" s="2"/>
      <c r="I16" s="2"/>
      <c r="J16" s="2"/>
      <c r="K16" s="19" t="s">
        <v>2234</v>
      </c>
      <c r="L16" s="66" t="s">
        <v>2235</v>
      </c>
    </row>
    <row r="17" spans="1:12" x14ac:dyDescent="0.25">
      <c r="A17" s="17">
        <v>45429</v>
      </c>
      <c r="B17" s="18">
        <v>6</v>
      </c>
      <c r="C17" s="18">
        <v>0</v>
      </c>
      <c r="D17" s="2">
        <f t="shared" si="0"/>
        <v>6</v>
      </c>
      <c r="E17" s="18"/>
      <c r="F17" s="2"/>
      <c r="G17" s="2"/>
      <c r="H17" s="2"/>
      <c r="I17" s="2"/>
      <c r="J17" s="2"/>
      <c r="K17" s="19" t="s">
        <v>2236</v>
      </c>
      <c r="L17" s="106"/>
    </row>
    <row r="18" spans="1:12" ht="30" x14ac:dyDescent="0.25">
      <c r="A18" s="17">
        <v>45433</v>
      </c>
      <c r="B18" s="18">
        <v>0</v>
      </c>
      <c r="C18" s="18">
        <v>0</v>
      </c>
      <c r="D18" s="2">
        <f t="shared" si="0"/>
        <v>0</v>
      </c>
      <c r="E18" s="18">
        <v>29</v>
      </c>
      <c r="F18" s="2"/>
      <c r="G18" s="2"/>
      <c r="H18" s="2"/>
      <c r="I18" s="2"/>
      <c r="J18" s="2"/>
      <c r="K18" s="19" t="s">
        <v>107</v>
      </c>
      <c r="L18" s="109" t="s">
        <v>2237</v>
      </c>
    </row>
    <row r="19" spans="1:12" ht="60" x14ac:dyDescent="0.25">
      <c r="A19" s="17">
        <v>45434</v>
      </c>
      <c r="B19" s="18">
        <v>29</v>
      </c>
      <c r="C19" s="18">
        <v>0</v>
      </c>
      <c r="D19" s="2">
        <f t="shared" si="0"/>
        <v>29</v>
      </c>
      <c r="E19" s="18"/>
      <c r="F19" s="2"/>
      <c r="G19" s="2"/>
      <c r="H19" s="2"/>
      <c r="I19" s="2"/>
      <c r="J19" s="2"/>
      <c r="K19" s="19" t="s">
        <v>2241</v>
      </c>
      <c r="L19" s="66" t="s">
        <v>2238</v>
      </c>
    </row>
    <row r="20" spans="1:12" ht="45" x14ac:dyDescent="0.25">
      <c r="A20" s="17">
        <v>45435</v>
      </c>
      <c r="B20" s="18">
        <v>0</v>
      </c>
      <c r="C20" s="18">
        <v>24</v>
      </c>
      <c r="D20" s="2">
        <f t="shared" si="0"/>
        <v>-24</v>
      </c>
      <c r="E20" s="18"/>
      <c r="F20" s="2"/>
      <c r="G20" s="2"/>
      <c r="H20" s="2"/>
      <c r="I20" s="2"/>
      <c r="J20" s="2"/>
      <c r="K20" s="19" t="s">
        <v>2239</v>
      </c>
      <c r="L20" s="66" t="s">
        <v>2240</v>
      </c>
    </row>
    <row r="21" spans="1:12" x14ac:dyDescent="0.25">
      <c r="A21" s="21">
        <v>45439</v>
      </c>
      <c r="B21" s="22">
        <v>2</v>
      </c>
      <c r="C21" s="22">
        <v>2</v>
      </c>
      <c r="D21" s="2">
        <f t="shared" si="0"/>
        <v>0</v>
      </c>
      <c r="E21" s="22">
        <v>2</v>
      </c>
      <c r="F21" s="23"/>
      <c r="G21" s="23"/>
      <c r="H21" s="23"/>
      <c r="I21" s="23"/>
      <c r="J21" s="23"/>
      <c r="K21" s="19" t="s">
        <v>2247</v>
      </c>
      <c r="L21" s="106"/>
    </row>
    <row r="22" spans="1:12" ht="30" x14ac:dyDescent="0.25">
      <c r="A22" s="17">
        <v>45442</v>
      </c>
      <c r="B22" s="18">
        <v>0</v>
      </c>
      <c r="C22" s="18">
        <v>0</v>
      </c>
      <c r="D22" s="2">
        <f t="shared" si="0"/>
        <v>0</v>
      </c>
      <c r="E22" s="18">
        <v>33</v>
      </c>
      <c r="F22" s="2"/>
      <c r="G22" s="2"/>
      <c r="H22" s="2"/>
      <c r="I22" s="2"/>
      <c r="J22" s="2"/>
      <c r="K22" s="19" t="s">
        <v>107</v>
      </c>
      <c r="L22" s="109" t="s">
        <v>2242</v>
      </c>
    </row>
    <row r="23" spans="1:12" ht="60" x14ac:dyDescent="0.25">
      <c r="A23" s="17">
        <v>45442</v>
      </c>
      <c r="B23" s="18">
        <v>33</v>
      </c>
      <c r="C23" s="18">
        <v>0</v>
      </c>
      <c r="D23" s="2">
        <f t="shared" si="0"/>
        <v>33</v>
      </c>
      <c r="E23" s="18"/>
      <c r="F23" s="2"/>
      <c r="G23" s="2"/>
      <c r="H23" s="2"/>
      <c r="I23" s="2"/>
      <c r="J23" s="2"/>
      <c r="K23" s="19" t="s">
        <v>2246</v>
      </c>
      <c r="L23" s="106" t="s">
        <v>2243</v>
      </c>
    </row>
    <row r="24" spans="1:12" ht="45" x14ac:dyDescent="0.25">
      <c r="A24" s="17">
        <v>45442</v>
      </c>
      <c r="B24" s="18">
        <v>0</v>
      </c>
      <c r="C24" s="18">
        <v>25</v>
      </c>
      <c r="D24" s="2">
        <f t="shared" si="0"/>
        <v>-25</v>
      </c>
      <c r="E24" s="18"/>
      <c r="F24" s="2"/>
      <c r="G24" s="2"/>
      <c r="H24" s="2"/>
      <c r="I24" s="2"/>
      <c r="J24" s="2"/>
      <c r="K24" s="19" t="s">
        <v>2244</v>
      </c>
      <c r="L24" s="66" t="s">
        <v>2245</v>
      </c>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c r="L31" s="66" t="s">
        <v>1565</v>
      </c>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yLGHZPiefs7+M26MS2Iv+dQXuydf8/5ySsr5qlE05xNY3IO1e9Jofg8/ZmbzKv3KXZBpYcAY3T9uErfbPr6S7A==" saltValue="+bmDzzQ87V+Ua47rvLvDfQ=="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55" priority="1" operator="lessThan">
      <formula>0</formula>
    </cfRule>
    <cfRule type="cellIs" dxfId="5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L44"/>
  <sheetViews>
    <sheetView workbookViewId="0">
      <pane ySplit="6" topLeftCell="A22" activePane="bottomLeft" state="frozen"/>
      <selection pane="bottomLeft" activeCell="K29" sqref="K2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-113</v>
      </c>
      <c r="L2" s="27"/>
    </row>
    <row r="3" spans="1:12" ht="15.75" thickBot="1" x14ac:dyDescent="0.3">
      <c r="A3" s="5"/>
      <c r="B3" s="2"/>
      <c r="C3" s="2"/>
      <c r="D3" s="2"/>
      <c r="E3" s="2"/>
      <c r="F3" s="2">
        <f>'05.24'!F6</f>
        <v>764</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755</v>
      </c>
      <c r="G6" s="30">
        <f>SUM(B:B)</f>
        <v>90</v>
      </c>
      <c r="H6" s="30">
        <f>SUM(C:C)</f>
        <v>99</v>
      </c>
      <c r="I6" s="30"/>
      <c r="J6" s="33">
        <f>SUM(G6:H6)+SUM(E:E)</f>
        <v>264</v>
      </c>
      <c r="K6" s="112"/>
      <c r="L6" s="50">
        <f>J6/K1</f>
        <v>0.41121495327102803</v>
      </c>
    </row>
    <row r="7" spans="1:12" x14ac:dyDescent="0.25">
      <c r="A7" s="17">
        <v>45443</v>
      </c>
      <c r="B7" s="18">
        <v>0</v>
      </c>
      <c r="C7" s="18">
        <v>0</v>
      </c>
      <c r="D7" s="2">
        <f t="shared" ref="D7:D44" si="0">B7-C7</f>
        <v>0</v>
      </c>
      <c r="E7" s="18">
        <v>8</v>
      </c>
      <c r="F7" s="2"/>
      <c r="G7" s="2"/>
      <c r="H7" s="2"/>
      <c r="I7" s="2"/>
      <c r="J7" s="2"/>
      <c r="K7" s="19" t="s">
        <v>107</v>
      </c>
      <c r="L7" s="109" t="s">
        <v>2255</v>
      </c>
    </row>
    <row r="8" spans="1:12" ht="30" x14ac:dyDescent="0.25">
      <c r="A8" s="17">
        <v>45446</v>
      </c>
      <c r="B8" s="18">
        <v>8</v>
      </c>
      <c r="C8" s="18">
        <v>0</v>
      </c>
      <c r="D8" s="2">
        <f t="shared" si="0"/>
        <v>8</v>
      </c>
      <c r="E8" s="18"/>
      <c r="F8" s="2"/>
      <c r="G8" s="2"/>
      <c r="H8" s="2"/>
      <c r="I8" s="2"/>
      <c r="J8" s="2"/>
      <c r="K8" s="19" t="s">
        <v>2249</v>
      </c>
      <c r="L8" s="109" t="s">
        <v>2256</v>
      </c>
    </row>
    <row r="9" spans="1:12" ht="30" x14ac:dyDescent="0.25">
      <c r="A9" s="17">
        <v>45449</v>
      </c>
      <c r="B9" s="18">
        <v>0</v>
      </c>
      <c r="C9" s="18">
        <v>17</v>
      </c>
      <c r="D9" s="2">
        <f t="shared" si="0"/>
        <v>-17</v>
      </c>
      <c r="E9" s="18"/>
      <c r="F9" s="2"/>
      <c r="G9" s="2"/>
      <c r="H9" s="2"/>
      <c r="I9" s="2"/>
      <c r="J9" s="2"/>
      <c r="K9" s="19" t="s">
        <v>2250</v>
      </c>
      <c r="L9" s="66" t="s">
        <v>2251</v>
      </c>
    </row>
    <row r="10" spans="1:12" ht="18.75" x14ac:dyDescent="0.3">
      <c r="A10" s="17">
        <v>45449</v>
      </c>
      <c r="B10" s="18">
        <v>3</v>
      </c>
      <c r="C10" s="18">
        <v>0</v>
      </c>
      <c r="D10" s="2">
        <f t="shared" si="0"/>
        <v>3</v>
      </c>
      <c r="E10" s="18"/>
      <c r="F10" s="2"/>
      <c r="G10" s="2"/>
      <c r="H10" s="2"/>
      <c r="I10" s="2"/>
      <c r="J10" s="2"/>
      <c r="K10" s="19" t="s">
        <v>2252</v>
      </c>
      <c r="L10" s="83"/>
    </row>
    <row r="11" spans="1:12" x14ac:dyDescent="0.25">
      <c r="A11" s="17">
        <v>45449</v>
      </c>
      <c r="B11" s="18">
        <v>2</v>
      </c>
      <c r="C11" s="18">
        <v>2</v>
      </c>
      <c r="D11" s="2">
        <f t="shared" si="0"/>
        <v>0</v>
      </c>
      <c r="E11" s="18">
        <v>4</v>
      </c>
      <c r="F11" s="2"/>
      <c r="G11" s="2"/>
      <c r="H11" s="2"/>
      <c r="I11" s="2"/>
      <c r="J11" s="2"/>
      <c r="K11" s="19" t="s">
        <v>2253</v>
      </c>
      <c r="L11" s="106"/>
    </row>
    <row r="12" spans="1:12" x14ac:dyDescent="0.25">
      <c r="A12" s="17">
        <v>45450</v>
      </c>
      <c r="B12" s="18">
        <v>0</v>
      </c>
      <c r="C12" s="18">
        <v>1</v>
      </c>
      <c r="D12" s="2">
        <f t="shared" si="0"/>
        <v>-1</v>
      </c>
      <c r="E12" s="18"/>
      <c r="F12" s="2"/>
      <c r="G12" s="2"/>
      <c r="H12" s="2"/>
      <c r="I12" s="2"/>
      <c r="J12" s="2"/>
      <c r="K12" s="19">
        <v>605390</v>
      </c>
      <c r="L12" s="66" t="s">
        <v>2254</v>
      </c>
    </row>
    <row r="13" spans="1:12" ht="30" x14ac:dyDescent="0.25">
      <c r="A13" s="17">
        <v>45453</v>
      </c>
      <c r="B13" s="18">
        <v>0</v>
      </c>
      <c r="C13" s="18">
        <v>0</v>
      </c>
      <c r="D13" s="2">
        <f t="shared" si="0"/>
        <v>0</v>
      </c>
      <c r="E13" s="18">
        <v>10</v>
      </c>
      <c r="F13" s="2"/>
      <c r="G13" s="2"/>
      <c r="H13" s="2"/>
      <c r="I13" s="2"/>
      <c r="J13" s="2"/>
      <c r="K13" s="19" t="s">
        <v>107</v>
      </c>
      <c r="L13" s="109" t="s">
        <v>2257</v>
      </c>
    </row>
    <row r="14" spans="1:12" ht="30" x14ac:dyDescent="0.25">
      <c r="A14" s="17">
        <v>45454</v>
      </c>
      <c r="B14" s="18">
        <v>10</v>
      </c>
      <c r="C14" s="18">
        <v>0</v>
      </c>
      <c r="D14" s="2">
        <f t="shared" si="0"/>
        <v>10</v>
      </c>
      <c r="E14" s="18"/>
      <c r="F14" s="2"/>
      <c r="G14" s="2"/>
      <c r="H14" s="2"/>
      <c r="I14" s="2"/>
      <c r="J14" s="2"/>
      <c r="K14" s="19" t="s">
        <v>2258</v>
      </c>
      <c r="L14" s="109" t="s">
        <v>2259</v>
      </c>
    </row>
    <row r="15" spans="1:12" ht="30" x14ac:dyDescent="0.25">
      <c r="A15" s="17">
        <v>45455</v>
      </c>
      <c r="B15" s="18">
        <v>0</v>
      </c>
      <c r="C15" s="18">
        <v>0</v>
      </c>
      <c r="D15" s="2">
        <f t="shared" si="0"/>
        <v>0</v>
      </c>
      <c r="E15" s="18">
        <v>16</v>
      </c>
      <c r="F15" s="2"/>
      <c r="G15" s="2"/>
      <c r="H15" s="2"/>
      <c r="I15" s="2"/>
      <c r="J15" s="2"/>
      <c r="K15" s="19" t="s">
        <v>107</v>
      </c>
      <c r="L15" s="109" t="s">
        <v>2260</v>
      </c>
    </row>
    <row r="16" spans="1:12" ht="30" x14ac:dyDescent="0.25">
      <c r="A16" s="17">
        <v>45455</v>
      </c>
      <c r="B16" s="18">
        <v>16</v>
      </c>
      <c r="C16" s="18">
        <v>0</v>
      </c>
      <c r="D16" s="2">
        <f t="shared" si="0"/>
        <v>16</v>
      </c>
      <c r="E16" s="18"/>
      <c r="F16" s="2"/>
      <c r="G16" s="2"/>
      <c r="H16" s="2"/>
      <c r="I16" s="2"/>
      <c r="J16" s="2"/>
      <c r="K16" s="19" t="s">
        <v>2264</v>
      </c>
      <c r="L16" s="106" t="s">
        <v>2261</v>
      </c>
    </row>
    <row r="17" spans="1:12" x14ac:dyDescent="0.25">
      <c r="A17" s="17">
        <v>45455</v>
      </c>
      <c r="B17" s="18">
        <v>0</v>
      </c>
      <c r="C17" s="18">
        <v>2</v>
      </c>
      <c r="D17" s="2">
        <f t="shared" si="0"/>
        <v>-2</v>
      </c>
      <c r="E17" s="18"/>
      <c r="F17" s="2"/>
      <c r="G17" s="2"/>
      <c r="H17" s="2"/>
      <c r="I17" s="2"/>
      <c r="J17" s="2"/>
      <c r="K17" s="19" t="s">
        <v>2262</v>
      </c>
      <c r="L17" s="66" t="s">
        <v>2263</v>
      </c>
    </row>
    <row r="18" spans="1:12" ht="60" x14ac:dyDescent="0.25">
      <c r="A18" s="17">
        <v>45456</v>
      </c>
      <c r="B18" s="18">
        <v>0</v>
      </c>
      <c r="C18" s="18">
        <v>29</v>
      </c>
      <c r="D18" s="2">
        <f t="shared" si="0"/>
        <v>-29</v>
      </c>
      <c r="E18" s="18"/>
      <c r="F18" s="2"/>
      <c r="G18" s="2"/>
      <c r="H18" s="2"/>
      <c r="I18" s="2"/>
      <c r="J18" s="2"/>
      <c r="K18" s="19" t="s">
        <v>2265</v>
      </c>
      <c r="L18" s="66" t="s">
        <v>2266</v>
      </c>
    </row>
    <row r="19" spans="1:12" x14ac:dyDescent="0.25">
      <c r="A19" s="17">
        <v>45455</v>
      </c>
      <c r="B19" s="18">
        <v>4</v>
      </c>
      <c r="C19" s="18">
        <v>4</v>
      </c>
      <c r="D19" s="2">
        <f t="shared" si="0"/>
        <v>0</v>
      </c>
      <c r="E19" s="18">
        <v>4</v>
      </c>
      <c r="F19" s="2"/>
      <c r="G19" s="2"/>
      <c r="H19" s="2"/>
      <c r="I19" s="2"/>
      <c r="J19" s="2"/>
      <c r="K19" s="19" t="s">
        <v>2267</v>
      </c>
    </row>
    <row r="20" spans="1:12" x14ac:dyDescent="0.25">
      <c r="A20" s="17">
        <v>45456</v>
      </c>
      <c r="B20" s="18">
        <v>8</v>
      </c>
      <c r="C20" s="18">
        <v>0</v>
      </c>
      <c r="D20" s="2">
        <f t="shared" si="0"/>
        <v>8</v>
      </c>
      <c r="E20" s="18"/>
      <c r="F20" s="2"/>
      <c r="G20" s="2"/>
      <c r="H20" s="2"/>
      <c r="I20" s="2"/>
      <c r="J20" s="2"/>
      <c r="K20" s="19" t="s">
        <v>2268</v>
      </c>
      <c r="L20" s="106"/>
    </row>
    <row r="21" spans="1:12" x14ac:dyDescent="0.25">
      <c r="A21" s="21">
        <v>45460</v>
      </c>
      <c r="B21" s="22">
        <v>0</v>
      </c>
      <c r="C21" s="22">
        <v>3</v>
      </c>
      <c r="D21" s="2">
        <f t="shared" si="0"/>
        <v>-3</v>
      </c>
      <c r="E21" s="22"/>
      <c r="F21" s="23"/>
      <c r="G21" s="23"/>
      <c r="H21" s="23"/>
      <c r="I21" s="23"/>
      <c r="J21" s="23"/>
      <c r="K21" s="19" t="s">
        <v>2269</v>
      </c>
      <c r="L21" s="66" t="s">
        <v>2270</v>
      </c>
    </row>
    <row r="22" spans="1:12" ht="30" x14ac:dyDescent="0.25">
      <c r="A22" s="17">
        <v>45461</v>
      </c>
      <c r="B22" s="18">
        <v>0</v>
      </c>
      <c r="C22" s="18">
        <v>0</v>
      </c>
      <c r="D22" s="2">
        <f t="shared" si="0"/>
        <v>0</v>
      </c>
      <c r="E22" s="18">
        <v>12</v>
      </c>
      <c r="F22" s="2"/>
      <c r="G22" s="2"/>
      <c r="H22" s="2"/>
      <c r="I22" s="2"/>
      <c r="J22" s="2"/>
      <c r="K22" s="19" t="s">
        <v>107</v>
      </c>
      <c r="L22" s="109" t="s">
        <v>2271</v>
      </c>
    </row>
    <row r="23" spans="1:12" ht="30" x14ac:dyDescent="0.25">
      <c r="A23" s="17">
        <v>45462</v>
      </c>
      <c r="B23" s="18">
        <v>12</v>
      </c>
      <c r="C23" s="18">
        <v>0</v>
      </c>
      <c r="D23" s="2">
        <f t="shared" si="0"/>
        <v>12</v>
      </c>
      <c r="E23" s="18"/>
      <c r="F23" s="2"/>
      <c r="G23" s="2"/>
      <c r="H23" s="2"/>
      <c r="I23" s="2"/>
      <c r="J23" s="2"/>
      <c r="K23" s="19" t="s">
        <v>2273</v>
      </c>
      <c r="L23" s="106" t="s">
        <v>2272</v>
      </c>
    </row>
    <row r="24" spans="1:12" ht="30" x14ac:dyDescent="0.25">
      <c r="A24" s="17">
        <v>45462</v>
      </c>
      <c r="B24" s="18">
        <v>0</v>
      </c>
      <c r="C24" s="18">
        <v>0</v>
      </c>
      <c r="D24" s="2">
        <f t="shared" si="0"/>
        <v>0</v>
      </c>
      <c r="E24" s="18">
        <v>10</v>
      </c>
      <c r="F24" s="2"/>
      <c r="G24" s="2"/>
      <c r="H24" s="2"/>
      <c r="I24" s="2"/>
      <c r="J24" s="2"/>
      <c r="K24" s="19" t="s">
        <v>107</v>
      </c>
      <c r="L24" s="109" t="s">
        <v>2274</v>
      </c>
    </row>
    <row r="25" spans="1:12" ht="30" x14ac:dyDescent="0.25">
      <c r="A25" s="17">
        <v>45462</v>
      </c>
      <c r="B25" s="18">
        <v>10</v>
      </c>
      <c r="C25" s="18">
        <v>0</v>
      </c>
      <c r="D25" s="2">
        <f t="shared" si="0"/>
        <v>10</v>
      </c>
      <c r="E25" s="18"/>
      <c r="F25" s="2"/>
      <c r="G25" s="2"/>
      <c r="H25" s="2"/>
      <c r="I25" s="2"/>
      <c r="J25" s="2"/>
      <c r="K25" s="19" t="s">
        <v>2275</v>
      </c>
      <c r="L25" s="66" t="s">
        <v>2282</v>
      </c>
    </row>
    <row r="26" spans="1:12" ht="30" x14ac:dyDescent="0.25">
      <c r="A26" s="17">
        <v>45463</v>
      </c>
      <c r="B26" s="18">
        <v>0</v>
      </c>
      <c r="C26" s="18">
        <v>0</v>
      </c>
      <c r="D26" s="2">
        <f t="shared" si="0"/>
        <v>0</v>
      </c>
      <c r="E26" s="18">
        <v>2</v>
      </c>
      <c r="F26" s="2"/>
      <c r="G26" s="2"/>
      <c r="H26" s="2"/>
      <c r="I26" s="2"/>
      <c r="J26" s="2"/>
      <c r="K26" s="19" t="s">
        <v>107</v>
      </c>
      <c r="L26" s="109" t="s">
        <v>2276</v>
      </c>
    </row>
    <row r="27" spans="1:12" x14ac:dyDescent="0.25">
      <c r="A27" s="17">
        <v>45463</v>
      </c>
      <c r="B27" s="18">
        <v>2</v>
      </c>
      <c r="C27" s="18">
        <v>0</v>
      </c>
      <c r="D27" s="2">
        <f t="shared" si="0"/>
        <v>2</v>
      </c>
      <c r="E27" s="18"/>
      <c r="F27" s="2"/>
      <c r="G27" s="2"/>
      <c r="H27" s="2"/>
      <c r="I27" s="2"/>
      <c r="J27" s="2"/>
      <c r="K27" s="19" t="s">
        <v>2280</v>
      </c>
      <c r="L27" s="66" t="s">
        <v>2277</v>
      </c>
    </row>
    <row r="28" spans="1:12" ht="45" x14ac:dyDescent="0.25">
      <c r="A28" s="17">
        <v>45463</v>
      </c>
      <c r="B28" s="18">
        <v>0</v>
      </c>
      <c r="C28" s="18">
        <v>19</v>
      </c>
      <c r="D28" s="2">
        <f t="shared" si="0"/>
        <v>-19</v>
      </c>
      <c r="E28" s="18"/>
      <c r="F28" s="2"/>
      <c r="G28" s="2"/>
      <c r="H28" s="2"/>
      <c r="I28" s="2"/>
      <c r="J28" s="2"/>
      <c r="K28" s="19" t="s">
        <v>2278</v>
      </c>
      <c r="L28" s="66" t="s">
        <v>2279</v>
      </c>
    </row>
    <row r="29" spans="1:12" x14ac:dyDescent="0.25">
      <c r="A29" s="17">
        <v>45463</v>
      </c>
      <c r="B29" s="18">
        <v>1</v>
      </c>
      <c r="C29" s="18">
        <v>1</v>
      </c>
      <c r="D29" s="2">
        <f t="shared" si="0"/>
        <v>0</v>
      </c>
      <c r="E29" s="18">
        <v>1</v>
      </c>
      <c r="F29" s="2"/>
      <c r="G29" s="2"/>
      <c r="H29" s="2"/>
      <c r="I29" s="2"/>
      <c r="J29" s="2"/>
      <c r="K29" s="19" t="s">
        <v>2281</v>
      </c>
    </row>
    <row r="30" spans="1:12" x14ac:dyDescent="0.25">
      <c r="A30" s="17">
        <v>45464</v>
      </c>
      <c r="B30" s="18">
        <v>0</v>
      </c>
      <c r="C30" s="18">
        <v>3</v>
      </c>
      <c r="D30" s="2">
        <f t="shared" si="0"/>
        <v>-3</v>
      </c>
      <c r="E30" s="18"/>
      <c r="F30" s="2"/>
      <c r="G30" s="2"/>
      <c r="H30" s="2"/>
      <c r="I30" s="2"/>
      <c r="J30" s="2"/>
      <c r="K30" s="19" t="s">
        <v>2283</v>
      </c>
      <c r="L30" s="66" t="s">
        <v>2284</v>
      </c>
    </row>
    <row r="31" spans="1:12" x14ac:dyDescent="0.25">
      <c r="A31" s="17">
        <v>45464</v>
      </c>
      <c r="B31" s="18">
        <v>2</v>
      </c>
      <c r="C31" s="18">
        <v>2</v>
      </c>
      <c r="D31" s="2">
        <f t="shared" si="0"/>
        <v>0</v>
      </c>
      <c r="E31" s="18">
        <v>8</v>
      </c>
      <c r="F31" s="2"/>
      <c r="G31" s="2"/>
      <c r="H31" s="2"/>
      <c r="I31" s="2"/>
      <c r="J31" s="2"/>
      <c r="K31" s="19" t="s">
        <v>2285</v>
      </c>
    </row>
    <row r="32" spans="1:12" ht="30" x14ac:dyDescent="0.25">
      <c r="A32" s="17">
        <v>45470</v>
      </c>
      <c r="B32" s="18">
        <v>0</v>
      </c>
      <c r="C32" s="18">
        <v>16</v>
      </c>
      <c r="D32" s="2">
        <f t="shared" si="0"/>
        <v>-16</v>
      </c>
      <c r="E32" s="18"/>
      <c r="F32" s="2"/>
      <c r="G32" s="2"/>
      <c r="H32" s="2"/>
      <c r="I32" s="2"/>
      <c r="J32" s="2"/>
      <c r="K32" s="19" t="s">
        <v>2287</v>
      </c>
      <c r="L32" s="66" t="s">
        <v>2286</v>
      </c>
    </row>
    <row r="33" spans="1:11" ht="30" x14ac:dyDescent="0.25">
      <c r="A33" s="17">
        <v>45470</v>
      </c>
      <c r="B33" s="18">
        <v>12</v>
      </c>
      <c r="C33" s="18">
        <v>0</v>
      </c>
      <c r="D33" s="2">
        <f t="shared" si="0"/>
        <v>12</v>
      </c>
      <c r="E33" s="18"/>
      <c r="F33" s="2"/>
      <c r="G33" s="2"/>
      <c r="H33" s="2"/>
      <c r="I33" s="2"/>
      <c r="J33" s="2"/>
      <c r="K33" s="19" t="s">
        <v>2288</v>
      </c>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jdWfNZ+Q4mKfNWc8O/cPJ0ZKELiQGIrdbYGJHGDSboJRLcacnVNtenY15pBfvbcb+2uQ9azcm30TRiwAKLYecg==" saltValue="d/B2FQM2SoZD5ulI4z8Dhg=="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53" priority="1" operator="lessThan">
      <formula>0</formula>
    </cfRule>
    <cfRule type="cellIs" dxfId="5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2"/>
  <headerFooter>
    <oddFooter>&amp;C&amp;D / &amp;T&amp;RSeite &amp;P von &amp;N</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L44"/>
  <sheetViews>
    <sheetView workbookViewId="0">
      <pane ySplit="6" topLeftCell="A7" activePane="bottomLeft" state="frozen"/>
      <selection pane="bottomLeft" activeCell="K15" sqref="K1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-69</v>
      </c>
      <c r="L2" s="27"/>
    </row>
    <row r="3" spans="1:12" ht="15.75" thickBot="1" x14ac:dyDescent="0.3">
      <c r="A3" s="5"/>
      <c r="B3" s="2"/>
      <c r="C3" s="2"/>
      <c r="D3" s="2"/>
      <c r="E3" s="2"/>
      <c r="F3" s="2">
        <f>'06.24'!F6</f>
        <v>755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711</v>
      </c>
      <c r="G6" s="30">
        <f>SUM(B:B)</f>
        <v>65</v>
      </c>
      <c r="H6" s="30">
        <f>SUM(C:C)</f>
        <v>109</v>
      </c>
      <c r="I6" s="30"/>
      <c r="J6" s="33">
        <f>SUM(G6:H6)+SUM(E:E)</f>
        <v>242</v>
      </c>
      <c r="K6" s="112"/>
      <c r="L6" s="50">
        <f>J6/K1</f>
        <v>0.37694704049844235</v>
      </c>
    </row>
    <row r="7" spans="1:12" ht="30" x14ac:dyDescent="0.25">
      <c r="A7" s="17">
        <v>45477</v>
      </c>
      <c r="B7" s="18">
        <v>0</v>
      </c>
      <c r="C7" s="18">
        <v>0</v>
      </c>
      <c r="D7" s="2">
        <f t="shared" ref="D7:D44" si="0">B7-C7</f>
        <v>0</v>
      </c>
      <c r="E7" s="18">
        <v>18</v>
      </c>
      <c r="F7" s="2"/>
      <c r="G7" s="2"/>
      <c r="H7" s="2"/>
      <c r="I7" s="2"/>
      <c r="J7" s="2"/>
      <c r="K7" s="19" t="s">
        <v>107</v>
      </c>
      <c r="L7" s="109" t="s">
        <v>2302</v>
      </c>
    </row>
    <row r="8" spans="1:12" ht="30" x14ac:dyDescent="0.25">
      <c r="A8" s="17">
        <v>45478</v>
      </c>
      <c r="B8" s="18">
        <v>18</v>
      </c>
      <c r="C8" s="18">
        <v>0</v>
      </c>
      <c r="D8" s="2">
        <f t="shared" si="0"/>
        <v>18</v>
      </c>
      <c r="E8" s="18"/>
      <c r="F8" s="2"/>
      <c r="G8" s="2"/>
      <c r="H8" s="2"/>
      <c r="I8" s="2"/>
      <c r="J8" s="2"/>
      <c r="K8" s="19" t="s">
        <v>2292</v>
      </c>
      <c r="L8" s="66" t="s">
        <v>2303</v>
      </c>
    </row>
    <row r="9" spans="1:12" ht="30" x14ac:dyDescent="0.25">
      <c r="A9" s="17">
        <v>45477</v>
      </c>
      <c r="B9" s="18">
        <v>0</v>
      </c>
      <c r="C9" s="18">
        <v>14</v>
      </c>
      <c r="D9" s="2">
        <f t="shared" si="0"/>
        <v>-14</v>
      </c>
      <c r="E9" s="18"/>
      <c r="F9" s="2"/>
      <c r="G9" s="2"/>
      <c r="H9" s="2"/>
      <c r="I9" s="2"/>
      <c r="J9" s="2"/>
      <c r="K9" s="19" t="s">
        <v>2289</v>
      </c>
      <c r="L9" s="66" t="s">
        <v>2294</v>
      </c>
    </row>
    <row r="10" spans="1:12" x14ac:dyDescent="0.25">
      <c r="A10" s="17">
        <v>45478</v>
      </c>
      <c r="B10" s="18">
        <v>0</v>
      </c>
      <c r="C10" s="18">
        <v>0</v>
      </c>
      <c r="D10" s="2">
        <f t="shared" si="0"/>
        <v>0</v>
      </c>
      <c r="E10" s="18">
        <v>7</v>
      </c>
      <c r="F10" s="2"/>
      <c r="G10" s="2"/>
      <c r="H10" s="2"/>
      <c r="I10" s="2"/>
      <c r="J10" s="2"/>
      <c r="K10" s="19" t="s">
        <v>2290</v>
      </c>
      <c r="L10" s="109" t="s">
        <v>2291</v>
      </c>
    </row>
    <row r="11" spans="1:12" ht="30" x14ac:dyDescent="0.25">
      <c r="A11" s="17">
        <v>45484</v>
      </c>
      <c r="B11" s="18">
        <v>0</v>
      </c>
      <c r="C11" s="18">
        <v>13</v>
      </c>
      <c r="D11" s="2">
        <f t="shared" si="0"/>
        <v>-13</v>
      </c>
      <c r="E11" s="18"/>
      <c r="F11" s="2"/>
      <c r="G11" s="2"/>
      <c r="H11" s="2"/>
      <c r="I11" s="2"/>
      <c r="J11" s="2"/>
      <c r="K11" s="19" t="s">
        <v>2293</v>
      </c>
      <c r="L11" s="106" t="s">
        <v>2295</v>
      </c>
    </row>
    <row r="12" spans="1:12" ht="30" x14ac:dyDescent="0.25">
      <c r="A12" s="17">
        <v>45484</v>
      </c>
      <c r="B12" s="18">
        <v>0</v>
      </c>
      <c r="C12" s="18">
        <v>10</v>
      </c>
      <c r="D12" s="2">
        <f t="shared" si="0"/>
        <v>-10</v>
      </c>
      <c r="E12" s="18"/>
      <c r="F12" s="2"/>
      <c r="G12" s="2"/>
      <c r="H12" s="2"/>
      <c r="I12" s="2"/>
      <c r="J12" s="2"/>
      <c r="K12" s="19" t="s">
        <v>2296</v>
      </c>
      <c r="L12" s="106" t="s">
        <v>2295</v>
      </c>
    </row>
    <row r="13" spans="1:12" ht="45" x14ac:dyDescent="0.25">
      <c r="A13" s="17">
        <v>45484</v>
      </c>
      <c r="B13" s="18">
        <v>13</v>
      </c>
      <c r="C13" s="18">
        <v>13</v>
      </c>
      <c r="D13" s="2">
        <f t="shared" si="0"/>
        <v>0</v>
      </c>
      <c r="E13" s="18"/>
      <c r="F13" s="2"/>
      <c r="G13" s="2"/>
      <c r="H13" s="2"/>
      <c r="I13" s="2"/>
      <c r="J13" s="2"/>
      <c r="K13" s="19" t="s">
        <v>2297</v>
      </c>
    </row>
    <row r="14" spans="1:12" x14ac:dyDescent="0.25">
      <c r="A14" s="17">
        <v>45484</v>
      </c>
      <c r="B14" s="18">
        <v>1</v>
      </c>
      <c r="C14" s="18">
        <v>0</v>
      </c>
      <c r="D14" s="2">
        <f t="shared" si="0"/>
        <v>1</v>
      </c>
      <c r="E14" s="18"/>
      <c r="F14" s="2"/>
      <c r="G14" s="2"/>
      <c r="H14" s="2"/>
      <c r="I14" s="2"/>
      <c r="J14" s="2"/>
      <c r="K14" s="19" t="s">
        <v>2298</v>
      </c>
    </row>
    <row r="15" spans="1:12" x14ac:dyDescent="0.25">
      <c r="A15" s="17">
        <v>45488</v>
      </c>
      <c r="B15" s="18">
        <v>1</v>
      </c>
      <c r="C15" s="18">
        <v>1</v>
      </c>
      <c r="D15" s="2">
        <f t="shared" si="0"/>
        <v>0</v>
      </c>
      <c r="E15" s="18">
        <v>1</v>
      </c>
      <c r="F15" s="2"/>
      <c r="G15" s="2"/>
      <c r="H15" s="2"/>
      <c r="I15" s="2"/>
      <c r="J15" s="2"/>
      <c r="K15" s="19" t="s">
        <v>2299</v>
      </c>
      <c r="L15" s="106"/>
    </row>
    <row r="16" spans="1:12" ht="45" x14ac:dyDescent="0.25">
      <c r="A16" s="17">
        <v>45490</v>
      </c>
      <c r="B16" s="18">
        <v>0</v>
      </c>
      <c r="C16" s="18">
        <v>23</v>
      </c>
      <c r="D16" s="2">
        <f t="shared" si="0"/>
        <v>-23</v>
      </c>
      <c r="E16" s="18"/>
      <c r="F16" s="2"/>
      <c r="G16" s="2"/>
      <c r="H16" s="2"/>
      <c r="I16" s="2"/>
      <c r="J16" s="2"/>
      <c r="K16" s="19" t="s">
        <v>2300</v>
      </c>
      <c r="L16" s="106" t="s">
        <v>2301</v>
      </c>
    </row>
    <row r="17" spans="1:12" ht="30" x14ac:dyDescent="0.25">
      <c r="A17" s="17">
        <v>45492</v>
      </c>
      <c r="B17" s="18">
        <v>0</v>
      </c>
      <c r="C17" s="18">
        <v>0</v>
      </c>
      <c r="D17" s="2">
        <f t="shared" si="0"/>
        <v>0</v>
      </c>
      <c r="E17" s="18">
        <v>15</v>
      </c>
      <c r="F17" s="2"/>
      <c r="G17" s="2"/>
      <c r="H17" s="2"/>
      <c r="I17" s="2"/>
      <c r="J17" s="2"/>
      <c r="K17" s="19" t="s">
        <v>107</v>
      </c>
      <c r="L17" s="109" t="s">
        <v>2304</v>
      </c>
    </row>
    <row r="18" spans="1:12" ht="30" x14ac:dyDescent="0.25">
      <c r="A18" s="17">
        <v>45495</v>
      </c>
      <c r="B18" s="18">
        <v>15</v>
      </c>
      <c r="C18" s="18">
        <v>0</v>
      </c>
      <c r="D18" s="2">
        <f t="shared" si="0"/>
        <v>15</v>
      </c>
      <c r="E18" s="18"/>
      <c r="F18" s="2"/>
      <c r="G18" s="2"/>
      <c r="H18" s="2"/>
      <c r="I18" s="2"/>
      <c r="J18" s="2"/>
      <c r="K18" s="19" t="s">
        <v>2306</v>
      </c>
      <c r="L18" s="106" t="s">
        <v>2305</v>
      </c>
    </row>
    <row r="19" spans="1:12" x14ac:dyDescent="0.25">
      <c r="A19" s="17">
        <v>45495</v>
      </c>
      <c r="B19" s="18">
        <v>1</v>
      </c>
      <c r="C19" s="18">
        <v>1</v>
      </c>
      <c r="D19" s="2">
        <f t="shared" si="0"/>
        <v>0</v>
      </c>
      <c r="E19" s="18">
        <v>1</v>
      </c>
      <c r="F19" s="2"/>
      <c r="G19" s="2"/>
      <c r="H19" s="2"/>
      <c r="I19" s="2"/>
      <c r="J19" s="2"/>
      <c r="K19" s="19" t="s">
        <v>2307</v>
      </c>
    </row>
    <row r="20" spans="1:12" ht="30" x14ac:dyDescent="0.25">
      <c r="A20" s="17">
        <v>45495</v>
      </c>
      <c r="B20" s="18">
        <v>0</v>
      </c>
      <c r="C20" s="18">
        <v>0</v>
      </c>
      <c r="D20" s="2">
        <f t="shared" si="0"/>
        <v>0</v>
      </c>
      <c r="E20" s="18">
        <v>10</v>
      </c>
      <c r="F20" s="2"/>
      <c r="G20" s="2"/>
      <c r="H20" s="2"/>
      <c r="I20" s="2"/>
      <c r="J20" s="2"/>
      <c r="K20" s="19" t="s">
        <v>107</v>
      </c>
      <c r="L20" s="109" t="s">
        <v>2308</v>
      </c>
    </row>
    <row r="21" spans="1:12" ht="30" x14ac:dyDescent="0.25">
      <c r="A21" s="21">
        <v>45495</v>
      </c>
      <c r="B21" s="22">
        <v>5</v>
      </c>
      <c r="C21" s="22">
        <v>5</v>
      </c>
      <c r="D21" s="2">
        <f t="shared" si="0"/>
        <v>0</v>
      </c>
      <c r="E21" s="22">
        <v>5</v>
      </c>
      <c r="F21" s="23"/>
      <c r="G21" s="23"/>
      <c r="H21" s="23"/>
      <c r="I21" s="23"/>
      <c r="J21" s="23"/>
      <c r="K21" s="19" t="s">
        <v>2310</v>
      </c>
      <c r="L21" s="106"/>
    </row>
    <row r="22" spans="1:12" ht="30" x14ac:dyDescent="0.25">
      <c r="A22" s="17">
        <v>45496</v>
      </c>
      <c r="B22" s="18">
        <v>10</v>
      </c>
      <c r="C22" s="18">
        <v>0</v>
      </c>
      <c r="D22" s="2">
        <f t="shared" si="0"/>
        <v>10</v>
      </c>
      <c r="E22" s="18">
        <v>10</v>
      </c>
      <c r="F22" s="2"/>
      <c r="G22" s="2"/>
      <c r="H22" s="2"/>
      <c r="I22" s="2"/>
      <c r="J22" s="2"/>
      <c r="K22" s="19" t="s">
        <v>2311</v>
      </c>
      <c r="L22" s="106" t="s">
        <v>2309</v>
      </c>
    </row>
    <row r="23" spans="1:12" ht="60" x14ac:dyDescent="0.25">
      <c r="A23" s="17">
        <v>45498</v>
      </c>
      <c r="B23" s="18">
        <v>0</v>
      </c>
      <c r="C23" s="18">
        <v>28</v>
      </c>
      <c r="D23" s="2">
        <f t="shared" si="0"/>
        <v>-28</v>
      </c>
      <c r="E23" s="18"/>
      <c r="F23" s="2"/>
      <c r="G23" s="2"/>
      <c r="H23" s="2"/>
      <c r="I23" s="2"/>
      <c r="J23" s="2"/>
      <c r="K23" s="19" t="s">
        <v>2312</v>
      </c>
      <c r="L23" s="106" t="s">
        <v>2313</v>
      </c>
    </row>
    <row r="24" spans="1:12" x14ac:dyDescent="0.25">
      <c r="A24" s="17">
        <v>45502</v>
      </c>
      <c r="B24" s="18">
        <v>1</v>
      </c>
      <c r="C24" s="18">
        <v>1</v>
      </c>
      <c r="D24" s="2">
        <f t="shared" si="0"/>
        <v>0</v>
      </c>
      <c r="E24" s="18">
        <v>1</v>
      </c>
      <c r="F24" s="2"/>
      <c r="G24" s="2"/>
      <c r="H24" s="2"/>
      <c r="I24" s="2"/>
      <c r="J24" s="2"/>
      <c r="K24" s="19" t="s">
        <v>2314</v>
      </c>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7VovaZnDa7GWDe84Rs8lm9IRPngsEJPtYttELyZsiCAjxMLEx36xFp/LMnLEZjMjcr0fyFnyOK20p0+88rxeyA==" saltValue="0SxzGsz+uDRCPEZJ5hQtzw=="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51" priority="1" operator="lessThan">
      <formula>0</formula>
    </cfRule>
    <cfRule type="cellIs" dxfId="5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L44"/>
  <sheetViews>
    <sheetView workbookViewId="0">
      <pane ySplit="6" topLeftCell="A7" activePane="bottomLeft" state="frozen"/>
      <selection pane="bottomLeft" activeCell="L9" sqref="L9"/>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-20</v>
      </c>
      <c r="L2" s="27"/>
    </row>
    <row r="3" spans="1:12" ht="15.75" thickBot="1" x14ac:dyDescent="0.3">
      <c r="A3" s="5"/>
      <c r="B3" s="2"/>
      <c r="C3" s="2"/>
      <c r="D3" s="2"/>
      <c r="E3" s="2"/>
      <c r="F3" s="2">
        <f>'07.24'!F6</f>
        <v>711</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662</v>
      </c>
      <c r="G6" s="30">
        <f>SUM(B:B)</f>
        <v>79</v>
      </c>
      <c r="H6" s="30">
        <f>SUM(C:C)</f>
        <v>128</v>
      </c>
      <c r="I6" s="30"/>
      <c r="J6" s="33">
        <f>SUM(G6:H6)+SUM(E:E)</f>
        <v>239</v>
      </c>
      <c r="K6" s="112"/>
      <c r="L6" s="50">
        <f>J6/K1</f>
        <v>0.37227414330218067</v>
      </c>
    </row>
    <row r="7" spans="1:12" ht="30" x14ac:dyDescent="0.25">
      <c r="A7" s="17">
        <v>45505</v>
      </c>
      <c r="B7" s="18">
        <v>0</v>
      </c>
      <c r="C7" s="18">
        <v>0</v>
      </c>
      <c r="D7" s="2">
        <f t="shared" ref="D7:D44" si="0">B7-C7</f>
        <v>0</v>
      </c>
      <c r="E7" s="18">
        <v>20</v>
      </c>
      <c r="F7" s="2"/>
      <c r="G7" s="2"/>
      <c r="H7" s="2"/>
      <c r="I7" s="2"/>
      <c r="J7" s="2"/>
      <c r="K7" s="19" t="s">
        <v>107</v>
      </c>
      <c r="L7" s="109" t="s">
        <v>2315</v>
      </c>
    </row>
    <row r="8" spans="1:12" ht="45" x14ac:dyDescent="0.25">
      <c r="A8" s="17">
        <v>45505</v>
      </c>
      <c r="B8" s="18">
        <v>20</v>
      </c>
      <c r="C8" s="18">
        <v>0</v>
      </c>
      <c r="D8" s="2">
        <f t="shared" si="0"/>
        <v>20</v>
      </c>
      <c r="E8" s="18"/>
      <c r="F8" s="2"/>
      <c r="G8" s="2"/>
      <c r="H8" s="2"/>
      <c r="I8" s="2"/>
      <c r="J8" s="2"/>
      <c r="K8" s="19" t="s">
        <v>2323</v>
      </c>
      <c r="L8" s="66" t="s">
        <v>2316</v>
      </c>
    </row>
    <row r="9" spans="1:12" ht="45" x14ac:dyDescent="0.25">
      <c r="A9" s="17">
        <v>45505</v>
      </c>
      <c r="B9" s="18">
        <v>0</v>
      </c>
      <c r="C9" s="18">
        <v>27</v>
      </c>
      <c r="D9" s="2">
        <f t="shared" si="0"/>
        <v>-27</v>
      </c>
      <c r="E9" s="18"/>
      <c r="F9" s="2"/>
      <c r="G9" s="2"/>
      <c r="H9" s="2"/>
      <c r="I9" s="2"/>
      <c r="J9" s="2"/>
      <c r="K9" s="19" t="s">
        <v>2318</v>
      </c>
      <c r="L9" s="66" t="s">
        <v>2317</v>
      </c>
    </row>
    <row r="10" spans="1:12" ht="30" x14ac:dyDescent="0.25">
      <c r="A10" s="17">
        <v>45506</v>
      </c>
      <c r="B10" s="18">
        <v>0</v>
      </c>
      <c r="C10" s="18">
        <v>0</v>
      </c>
      <c r="D10" s="2">
        <f t="shared" si="0"/>
        <v>0</v>
      </c>
      <c r="E10" s="18">
        <v>12</v>
      </c>
      <c r="F10" s="2"/>
      <c r="G10" s="2"/>
      <c r="H10" s="2"/>
      <c r="I10" s="2"/>
      <c r="J10" s="2"/>
      <c r="K10" s="19" t="s">
        <v>107</v>
      </c>
      <c r="L10" s="109" t="s">
        <v>2319</v>
      </c>
    </row>
    <row r="11" spans="1:12" ht="30" x14ac:dyDescent="0.25">
      <c r="A11" s="17">
        <v>45506</v>
      </c>
      <c r="B11" s="18">
        <v>12</v>
      </c>
      <c r="C11" s="18">
        <v>0</v>
      </c>
      <c r="D11" s="2">
        <f t="shared" si="0"/>
        <v>12</v>
      </c>
      <c r="E11" s="18"/>
      <c r="F11" s="2"/>
      <c r="G11" s="2"/>
      <c r="H11" s="2"/>
      <c r="I11" s="2"/>
      <c r="J11" s="2"/>
      <c r="K11" s="19" t="s">
        <v>2326</v>
      </c>
      <c r="L11" s="106" t="s">
        <v>2320</v>
      </c>
    </row>
    <row r="12" spans="1:12" ht="60" x14ac:dyDescent="0.25">
      <c r="A12" s="17">
        <v>45506</v>
      </c>
      <c r="B12" s="18">
        <v>35</v>
      </c>
      <c r="C12" s="18">
        <v>35</v>
      </c>
      <c r="D12" s="2">
        <f t="shared" si="0"/>
        <v>0</v>
      </c>
      <c r="E12" s="18"/>
      <c r="F12" s="2"/>
      <c r="G12" s="2"/>
      <c r="H12" s="2"/>
      <c r="I12" s="2"/>
      <c r="J12" s="2"/>
      <c r="K12" s="19" t="s">
        <v>2322</v>
      </c>
      <c r="L12" s="19" t="s">
        <v>2321</v>
      </c>
    </row>
    <row r="13" spans="1:12" ht="30" x14ac:dyDescent="0.25">
      <c r="A13" s="17">
        <v>45506</v>
      </c>
      <c r="B13" s="18">
        <v>0</v>
      </c>
      <c r="C13" s="18">
        <v>14</v>
      </c>
      <c r="D13" s="2">
        <f t="shared" si="0"/>
        <v>-14</v>
      </c>
      <c r="E13" s="18"/>
      <c r="F13" s="2"/>
      <c r="G13" s="2"/>
      <c r="H13" s="2"/>
      <c r="I13" s="2"/>
      <c r="J13" s="2"/>
      <c r="K13" s="19" t="s">
        <v>2324</v>
      </c>
      <c r="L13" s="66" t="s">
        <v>2325</v>
      </c>
    </row>
    <row r="14" spans="1:12" x14ac:dyDescent="0.25">
      <c r="A14" s="17">
        <v>45506</v>
      </c>
      <c r="B14" s="18">
        <v>6</v>
      </c>
      <c r="C14" s="18">
        <v>0</v>
      </c>
      <c r="D14" s="2">
        <f t="shared" si="0"/>
        <v>6</v>
      </c>
      <c r="E14" s="18"/>
      <c r="F14" s="2"/>
      <c r="G14" s="2"/>
      <c r="H14" s="2"/>
      <c r="I14" s="2"/>
      <c r="J14" s="2"/>
      <c r="K14" s="19" t="s">
        <v>2327</v>
      </c>
    </row>
    <row r="15" spans="1:12" ht="30" x14ac:dyDescent="0.25">
      <c r="A15" s="17">
        <v>45512</v>
      </c>
      <c r="B15" s="18">
        <v>0</v>
      </c>
      <c r="C15" s="18">
        <v>14</v>
      </c>
      <c r="D15" s="2">
        <f t="shared" si="0"/>
        <v>-14</v>
      </c>
      <c r="E15" s="18"/>
      <c r="F15" s="2"/>
      <c r="G15" s="2"/>
      <c r="H15" s="2"/>
      <c r="I15" s="2"/>
      <c r="J15" s="2"/>
      <c r="K15" s="19" t="s">
        <v>2328</v>
      </c>
      <c r="L15" s="66" t="s">
        <v>2329</v>
      </c>
    </row>
    <row r="16" spans="1:12" ht="30" x14ac:dyDescent="0.25">
      <c r="A16" s="17">
        <v>45519</v>
      </c>
      <c r="B16" s="18">
        <v>0</v>
      </c>
      <c r="C16" s="18">
        <v>10</v>
      </c>
      <c r="D16" s="2">
        <f t="shared" si="0"/>
        <v>-10</v>
      </c>
      <c r="E16" s="18"/>
      <c r="F16" s="2"/>
      <c r="G16" s="2"/>
      <c r="H16" s="2"/>
      <c r="I16" s="2"/>
      <c r="J16" s="2"/>
      <c r="K16" s="19" t="s">
        <v>2330</v>
      </c>
      <c r="L16" s="66" t="s">
        <v>2331</v>
      </c>
    </row>
    <row r="17" spans="1:12" ht="45" x14ac:dyDescent="0.25">
      <c r="A17" s="17">
        <v>45526</v>
      </c>
      <c r="B17" s="18">
        <v>0</v>
      </c>
      <c r="C17" s="18">
        <v>18</v>
      </c>
      <c r="D17" s="2">
        <f t="shared" si="0"/>
        <v>-18</v>
      </c>
      <c r="E17" s="18"/>
      <c r="F17" s="2"/>
      <c r="G17" s="2"/>
      <c r="H17" s="2"/>
      <c r="I17" s="2"/>
      <c r="J17" s="2"/>
      <c r="K17" s="19" t="s">
        <v>2332</v>
      </c>
      <c r="L17" s="66" t="s">
        <v>2333</v>
      </c>
    </row>
    <row r="18" spans="1:12" x14ac:dyDescent="0.25">
      <c r="A18" s="17">
        <v>45526</v>
      </c>
      <c r="B18" s="18">
        <v>6</v>
      </c>
      <c r="C18" s="18">
        <v>0</v>
      </c>
      <c r="D18" s="2">
        <f t="shared" si="0"/>
        <v>6</v>
      </c>
      <c r="E18" s="18"/>
      <c r="F18" s="2"/>
      <c r="G18" s="2"/>
      <c r="H18" s="2"/>
      <c r="I18" s="2"/>
      <c r="J18" s="2"/>
      <c r="K18" s="19" t="s">
        <v>2334</v>
      </c>
      <c r="L18" s="106"/>
    </row>
    <row r="19" spans="1:12" x14ac:dyDescent="0.25">
      <c r="A19" s="17">
        <v>45531</v>
      </c>
      <c r="B19" s="18">
        <v>0</v>
      </c>
      <c r="C19" s="18">
        <v>3</v>
      </c>
      <c r="D19" s="2">
        <f t="shared" si="0"/>
        <v>-3</v>
      </c>
      <c r="E19" s="18"/>
      <c r="F19" s="2"/>
      <c r="G19" s="2"/>
      <c r="H19" s="2"/>
      <c r="I19" s="2"/>
      <c r="J19" s="2"/>
      <c r="K19" s="19" t="s">
        <v>2335</v>
      </c>
      <c r="L19" s="66" t="s">
        <v>2336</v>
      </c>
    </row>
    <row r="20" spans="1:12" x14ac:dyDescent="0.25">
      <c r="A20" s="17">
        <v>45533</v>
      </c>
      <c r="B20" s="18">
        <v>0</v>
      </c>
      <c r="C20" s="18">
        <v>7</v>
      </c>
      <c r="D20" s="2">
        <f t="shared" si="0"/>
        <v>-7</v>
      </c>
      <c r="E20" s="18"/>
      <c r="F20" s="2"/>
      <c r="G20" s="2"/>
      <c r="H20" s="2"/>
      <c r="I20" s="2"/>
      <c r="J20" s="2"/>
      <c r="K20" s="19" t="s">
        <v>2337</v>
      </c>
      <c r="L20" s="66" t="s">
        <v>2338</v>
      </c>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4AW+5RQhCXoyo9eVgtec14yj++OGF/szqy5UJ2CIaRe+rbNC35Phcr1y8UZwwDZDMvkGxyF7g4wK4DxD1xYPZw==" saltValue="uoWhWca8nrxunbWEZEMpyQ=="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49" priority="1" operator="lessThan">
      <formula>0</formula>
    </cfRule>
    <cfRule type="cellIs" dxfId="4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L44"/>
  <sheetViews>
    <sheetView workbookViewId="0">
      <pane ySplit="6" topLeftCell="A13" activePane="bottomLeft" state="frozen"/>
      <selection pane="bottomLeft" activeCell="K24" sqref="K24:L2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-100</v>
      </c>
      <c r="L2" s="27"/>
    </row>
    <row r="3" spans="1:12" ht="15.75" thickBot="1" x14ac:dyDescent="0.3">
      <c r="A3" s="5"/>
      <c r="B3" s="2"/>
      <c r="C3" s="2"/>
      <c r="D3" s="2"/>
      <c r="E3" s="2"/>
      <c r="F3" s="2">
        <f>'08.24'!F6</f>
        <v>662</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742</v>
      </c>
      <c r="G6" s="30">
        <f>SUM(B:B)</f>
        <v>123</v>
      </c>
      <c r="H6" s="30">
        <f>SUM(C:C)</f>
        <v>43</v>
      </c>
      <c r="I6" s="30"/>
      <c r="J6" s="33">
        <f>SUM(G6:H6)+SUM(E:E)</f>
        <v>320</v>
      </c>
      <c r="K6" s="112"/>
      <c r="L6" s="50">
        <f>J6/K1</f>
        <v>0.49844236760124611</v>
      </c>
    </row>
    <row r="7" spans="1:12" ht="30" x14ac:dyDescent="0.25">
      <c r="A7" s="17">
        <v>45538</v>
      </c>
      <c r="B7" s="18">
        <v>0</v>
      </c>
      <c r="C7" s="18">
        <v>0</v>
      </c>
      <c r="D7" s="2">
        <f t="shared" ref="D7:D44" si="0">B7-C7</f>
        <v>0</v>
      </c>
      <c r="E7" s="18">
        <v>20</v>
      </c>
      <c r="F7" s="2"/>
      <c r="G7" s="2"/>
      <c r="H7" s="2"/>
      <c r="I7" s="2"/>
      <c r="J7" s="2"/>
      <c r="K7" s="19" t="s">
        <v>107</v>
      </c>
      <c r="L7" s="109" t="s">
        <v>2339</v>
      </c>
    </row>
    <row r="8" spans="1:12" ht="45" x14ac:dyDescent="0.25">
      <c r="A8" s="17">
        <v>45539</v>
      </c>
      <c r="B8" s="18">
        <v>20</v>
      </c>
      <c r="C8" s="18">
        <v>0</v>
      </c>
      <c r="D8" s="2">
        <f t="shared" si="0"/>
        <v>20</v>
      </c>
      <c r="E8" s="18"/>
      <c r="F8" s="2"/>
      <c r="G8" s="2"/>
      <c r="H8" s="2"/>
      <c r="I8" s="2"/>
      <c r="J8" s="2"/>
      <c r="K8" s="19" t="s">
        <v>2341</v>
      </c>
      <c r="L8" s="66" t="s">
        <v>2340</v>
      </c>
    </row>
    <row r="9" spans="1:12" ht="30" x14ac:dyDescent="0.25">
      <c r="A9" s="17">
        <v>45540</v>
      </c>
      <c r="B9" s="18">
        <v>0</v>
      </c>
      <c r="C9" s="18">
        <v>16</v>
      </c>
      <c r="D9" s="2">
        <f t="shared" si="0"/>
        <v>-16</v>
      </c>
      <c r="E9" s="18"/>
      <c r="F9" s="2"/>
      <c r="G9" s="2"/>
      <c r="H9" s="2"/>
      <c r="I9" s="2"/>
      <c r="J9" s="2"/>
      <c r="K9" s="19" t="s">
        <v>2342</v>
      </c>
      <c r="L9" s="66" t="s">
        <v>2343</v>
      </c>
    </row>
    <row r="10" spans="1:12" x14ac:dyDescent="0.25">
      <c r="A10" s="17">
        <v>45546</v>
      </c>
      <c r="B10" s="18">
        <v>0</v>
      </c>
      <c r="C10" s="18">
        <v>0</v>
      </c>
      <c r="D10" s="2">
        <f t="shared" si="0"/>
        <v>0</v>
      </c>
      <c r="E10" s="18">
        <v>31</v>
      </c>
      <c r="F10" s="2"/>
      <c r="G10" s="2"/>
      <c r="H10" s="2"/>
      <c r="I10" s="2"/>
      <c r="J10" s="2"/>
      <c r="K10" s="19" t="s">
        <v>2344</v>
      </c>
      <c r="L10" s="109" t="s">
        <v>2291</v>
      </c>
    </row>
    <row r="11" spans="1:12" x14ac:dyDescent="0.25">
      <c r="A11" s="17">
        <v>45547</v>
      </c>
      <c r="B11" s="18">
        <v>0</v>
      </c>
      <c r="C11" s="18">
        <v>5</v>
      </c>
      <c r="D11" s="2">
        <f t="shared" si="0"/>
        <v>-5</v>
      </c>
      <c r="E11" s="18"/>
      <c r="F11" s="2"/>
      <c r="G11" s="2"/>
      <c r="H11" s="2"/>
      <c r="I11" s="2"/>
      <c r="J11" s="2"/>
      <c r="K11" s="19" t="s">
        <v>2345</v>
      </c>
      <c r="L11" s="66" t="s">
        <v>2346</v>
      </c>
    </row>
    <row r="12" spans="1:12" x14ac:dyDescent="0.25">
      <c r="A12" s="17">
        <v>45551</v>
      </c>
      <c r="B12" s="18">
        <v>0</v>
      </c>
      <c r="C12" s="18">
        <v>0</v>
      </c>
      <c r="D12" s="2">
        <f t="shared" si="0"/>
        <v>0</v>
      </c>
      <c r="E12" s="18">
        <v>21</v>
      </c>
      <c r="F12" s="2"/>
      <c r="G12" s="2"/>
      <c r="H12" s="2"/>
      <c r="I12" s="2"/>
      <c r="J12" s="2"/>
      <c r="K12" s="19" t="s">
        <v>107</v>
      </c>
      <c r="L12" s="109" t="s">
        <v>2347</v>
      </c>
    </row>
    <row r="13" spans="1:12" ht="45" x14ac:dyDescent="0.25">
      <c r="A13" s="17">
        <v>45551</v>
      </c>
      <c r="B13" s="18">
        <v>21</v>
      </c>
      <c r="C13" s="18">
        <v>0</v>
      </c>
      <c r="D13" s="2">
        <f t="shared" si="0"/>
        <v>21</v>
      </c>
      <c r="E13" s="18"/>
      <c r="F13" s="2"/>
      <c r="G13" s="2"/>
      <c r="H13" s="2"/>
      <c r="I13" s="2"/>
      <c r="J13" s="2"/>
      <c r="K13" s="19" t="s">
        <v>2351</v>
      </c>
      <c r="L13" s="66" t="s">
        <v>2348</v>
      </c>
    </row>
    <row r="14" spans="1:12" x14ac:dyDescent="0.25">
      <c r="A14" s="17">
        <v>45551</v>
      </c>
      <c r="B14" s="18">
        <v>0</v>
      </c>
      <c r="C14" s="18">
        <v>0</v>
      </c>
      <c r="D14" s="2">
        <f t="shared" si="0"/>
        <v>0</v>
      </c>
      <c r="E14" s="18">
        <v>16</v>
      </c>
      <c r="F14" s="2"/>
      <c r="G14" s="2"/>
      <c r="H14" s="2"/>
      <c r="I14" s="2"/>
      <c r="J14" s="2"/>
      <c r="K14" s="19" t="s">
        <v>107</v>
      </c>
      <c r="L14" s="109" t="s">
        <v>2349</v>
      </c>
    </row>
    <row r="15" spans="1:12" ht="30" x14ac:dyDescent="0.25">
      <c r="A15" s="17">
        <v>45551</v>
      </c>
      <c r="B15" s="18">
        <v>16</v>
      </c>
      <c r="C15" s="18">
        <v>0</v>
      </c>
      <c r="D15" s="2">
        <f t="shared" si="0"/>
        <v>16</v>
      </c>
      <c r="E15" s="18"/>
      <c r="F15" s="2"/>
      <c r="G15" s="2"/>
      <c r="H15" s="2"/>
      <c r="I15" s="2"/>
      <c r="J15" s="2"/>
      <c r="K15" s="19" t="s">
        <v>2352</v>
      </c>
      <c r="L15" s="109" t="s">
        <v>2350</v>
      </c>
    </row>
    <row r="16" spans="1:12" x14ac:dyDescent="0.25">
      <c r="A16" s="17">
        <v>45551</v>
      </c>
      <c r="B16" s="18">
        <v>4</v>
      </c>
      <c r="C16" s="18">
        <v>4</v>
      </c>
      <c r="D16" s="2">
        <f t="shared" si="0"/>
        <v>0</v>
      </c>
      <c r="E16" s="18">
        <v>4</v>
      </c>
      <c r="F16" s="2"/>
      <c r="G16" s="2"/>
      <c r="H16" s="2"/>
      <c r="I16" s="2"/>
      <c r="J16" s="2"/>
      <c r="K16" s="19" t="s">
        <v>2353</v>
      </c>
      <c r="L16" s="106"/>
    </row>
    <row r="17" spans="1:12" x14ac:dyDescent="0.25">
      <c r="A17" s="17">
        <v>45551</v>
      </c>
      <c r="B17" s="18">
        <v>4</v>
      </c>
      <c r="C17" s="18">
        <v>4</v>
      </c>
      <c r="D17" s="2">
        <f t="shared" si="0"/>
        <v>0</v>
      </c>
      <c r="E17" s="18">
        <v>4</v>
      </c>
      <c r="F17" s="2"/>
      <c r="G17" s="2"/>
      <c r="H17" s="2"/>
      <c r="I17" s="2"/>
      <c r="J17" s="2"/>
      <c r="K17" s="19" t="s">
        <v>2354</v>
      </c>
      <c r="L17" s="106"/>
    </row>
    <row r="18" spans="1:12" x14ac:dyDescent="0.25">
      <c r="A18" s="17">
        <v>45554</v>
      </c>
      <c r="B18" s="18">
        <v>0</v>
      </c>
      <c r="C18" s="18">
        <v>1</v>
      </c>
      <c r="D18" s="2">
        <f t="shared" si="0"/>
        <v>-1</v>
      </c>
      <c r="E18" s="18"/>
      <c r="F18" s="2"/>
      <c r="G18" s="2"/>
      <c r="H18" s="2"/>
      <c r="I18" s="2"/>
      <c r="J18" s="2"/>
      <c r="K18" s="19">
        <v>583242</v>
      </c>
      <c r="L18" s="66" t="s">
        <v>2355</v>
      </c>
    </row>
    <row r="19" spans="1:12" x14ac:dyDescent="0.25">
      <c r="A19" s="17">
        <v>45559</v>
      </c>
      <c r="B19" s="18">
        <v>0</v>
      </c>
      <c r="C19" s="18">
        <v>0</v>
      </c>
      <c r="D19" s="2">
        <f t="shared" si="0"/>
        <v>0</v>
      </c>
      <c r="E19" s="18">
        <v>15</v>
      </c>
      <c r="F19" s="2"/>
      <c r="G19" s="2"/>
      <c r="H19" s="2"/>
      <c r="I19" s="2"/>
      <c r="J19" s="2"/>
      <c r="K19" s="19" t="s">
        <v>107</v>
      </c>
      <c r="L19" s="109" t="s">
        <v>2356</v>
      </c>
    </row>
    <row r="20" spans="1:12" x14ac:dyDescent="0.25">
      <c r="A20" s="17">
        <v>45559</v>
      </c>
      <c r="B20" s="18">
        <v>0</v>
      </c>
      <c r="C20" s="18">
        <v>0</v>
      </c>
      <c r="D20" s="2">
        <f t="shared" si="0"/>
        <v>0</v>
      </c>
      <c r="E20" s="18">
        <v>9</v>
      </c>
      <c r="F20" s="2"/>
      <c r="G20" s="2"/>
      <c r="H20" s="2"/>
      <c r="I20" s="2"/>
      <c r="J20" s="2"/>
      <c r="K20" s="19" t="s">
        <v>107</v>
      </c>
      <c r="L20" s="109" t="s">
        <v>2357</v>
      </c>
    </row>
    <row r="21" spans="1:12" ht="30" x14ac:dyDescent="0.25">
      <c r="A21" s="21">
        <v>45559</v>
      </c>
      <c r="B21" s="22">
        <v>15</v>
      </c>
      <c r="C21" s="22">
        <v>0</v>
      </c>
      <c r="D21" s="2">
        <f t="shared" si="0"/>
        <v>15</v>
      </c>
      <c r="E21" s="22"/>
      <c r="F21" s="23"/>
      <c r="G21" s="23"/>
      <c r="H21" s="23"/>
      <c r="I21" s="23"/>
      <c r="J21" s="23"/>
      <c r="K21" s="19" t="s">
        <v>2363</v>
      </c>
      <c r="L21" s="106" t="s">
        <v>2358</v>
      </c>
    </row>
    <row r="22" spans="1:12" ht="30" x14ac:dyDescent="0.25">
      <c r="A22" s="17">
        <v>45559</v>
      </c>
      <c r="B22" s="18">
        <v>9</v>
      </c>
      <c r="C22" s="18">
        <v>0</v>
      </c>
      <c r="D22" s="2">
        <f t="shared" si="0"/>
        <v>9</v>
      </c>
      <c r="E22" s="18"/>
      <c r="F22" s="2"/>
      <c r="G22" s="2"/>
      <c r="H22" s="2"/>
      <c r="I22" s="2"/>
      <c r="J22" s="2"/>
      <c r="K22" s="19" t="s">
        <v>2362</v>
      </c>
      <c r="L22" s="107" t="s">
        <v>2359</v>
      </c>
    </row>
    <row r="23" spans="1:12" x14ac:dyDescent="0.25">
      <c r="A23" s="17">
        <v>45559</v>
      </c>
      <c r="B23" s="18">
        <v>3</v>
      </c>
      <c r="C23" s="18">
        <v>3</v>
      </c>
      <c r="D23" s="2">
        <f t="shared" si="0"/>
        <v>0</v>
      </c>
      <c r="E23" s="18">
        <v>3</v>
      </c>
      <c r="F23" s="2"/>
      <c r="G23" s="2"/>
      <c r="H23" s="2"/>
      <c r="I23" s="2"/>
      <c r="J23" s="2"/>
      <c r="K23" s="19" t="s">
        <v>2360</v>
      </c>
      <c r="L23" s="106" t="s">
        <v>2361</v>
      </c>
    </row>
    <row r="24" spans="1:12" ht="30" x14ac:dyDescent="0.25">
      <c r="A24" s="17">
        <v>45561</v>
      </c>
      <c r="B24" s="18">
        <v>0</v>
      </c>
      <c r="C24" s="18">
        <v>0</v>
      </c>
      <c r="D24" s="2">
        <f t="shared" si="0"/>
        <v>0</v>
      </c>
      <c r="E24" s="18">
        <v>6</v>
      </c>
      <c r="F24" s="2"/>
      <c r="G24" s="2"/>
      <c r="H24" s="2"/>
      <c r="I24" s="2"/>
      <c r="J24" s="2"/>
      <c r="K24" s="19" t="s">
        <v>107</v>
      </c>
      <c r="L24" s="109" t="s">
        <v>2365</v>
      </c>
    </row>
    <row r="25" spans="1:12" x14ac:dyDescent="0.25">
      <c r="A25" s="17">
        <v>45562</v>
      </c>
      <c r="B25" s="18">
        <v>6</v>
      </c>
      <c r="C25" s="18">
        <v>0</v>
      </c>
      <c r="D25" s="2">
        <f t="shared" si="0"/>
        <v>6</v>
      </c>
      <c r="E25" s="18"/>
      <c r="F25" s="2"/>
      <c r="G25" s="2"/>
      <c r="H25" s="2"/>
      <c r="I25" s="2"/>
      <c r="J25" s="2"/>
      <c r="K25" s="19" t="s">
        <v>2368</v>
      </c>
      <c r="L25" s="66" t="s">
        <v>2364</v>
      </c>
    </row>
    <row r="26" spans="1:12" ht="30" x14ac:dyDescent="0.25">
      <c r="A26" s="17">
        <v>45561</v>
      </c>
      <c r="B26" s="18">
        <v>0</v>
      </c>
      <c r="C26" s="18">
        <v>10</v>
      </c>
      <c r="D26" s="2">
        <f t="shared" si="0"/>
        <v>-10</v>
      </c>
      <c r="E26" s="18"/>
      <c r="F26" s="2"/>
      <c r="G26" s="2"/>
      <c r="H26" s="2"/>
      <c r="I26" s="2"/>
      <c r="J26" s="2"/>
      <c r="K26" s="19" t="s">
        <v>2366</v>
      </c>
      <c r="L26" s="66" t="s">
        <v>2367</v>
      </c>
    </row>
    <row r="27" spans="1:12" ht="30" x14ac:dyDescent="0.25">
      <c r="A27" s="17">
        <v>45565</v>
      </c>
      <c r="B27" s="18">
        <v>0</v>
      </c>
      <c r="C27" s="18">
        <v>0</v>
      </c>
      <c r="D27" s="2">
        <f t="shared" si="0"/>
        <v>0</v>
      </c>
      <c r="E27" s="18">
        <v>25</v>
      </c>
      <c r="F27" s="2"/>
      <c r="G27" s="2"/>
      <c r="H27" s="2"/>
      <c r="I27" s="2"/>
      <c r="J27" s="2"/>
      <c r="K27" s="19" t="s">
        <v>107</v>
      </c>
      <c r="L27" s="109" t="s">
        <v>2369</v>
      </c>
    </row>
    <row r="28" spans="1:12" ht="45" x14ac:dyDescent="0.25">
      <c r="A28" s="17">
        <v>45565</v>
      </c>
      <c r="B28" s="18">
        <v>25</v>
      </c>
      <c r="C28" s="18">
        <v>0</v>
      </c>
      <c r="D28" s="2">
        <f t="shared" si="0"/>
        <v>25</v>
      </c>
      <c r="E28" s="18"/>
      <c r="F28" s="2"/>
      <c r="G28" s="2"/>
      <c r="H28" s="2"/>
      <c r="I28" s="2"/>
      <c r="J28" s="2"/>
      <c r="K28" s="19" t="s">
        <v>2371</v>
      </c>
      <c r="L28" s="66" t="s">
        <v>2370</v>
      </c>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XbgQmpfaAAxHdcZpgpttNMqolb6HrSl3D3EbL0r1fBiK7ijtOyG7j+5oBf2iQQnVjitfkxKrfjHr3jpODkF/tQ==" saltValue="UQsZ/7YM/9QXS6Iq1iKBqg=="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47" priority="1" operator="lessThan">
      <formula>0</formula>
    </cfRule>
    <cfRule type="cellIs" dxfId="4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L44"/>
  <sheetViews>
    <sheetView workbookViewId="0">
      <pane ySplit="6" topLeftCell="A7" activePane="bottomLeft" state="frozen"/>
      <selection pane="bottomLeft" activeCell="K14" sqref="K1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-38</v>
      </c>
      <c r="L2" s="27"/>
    </row>
    <row r="3" spans="1:12" ht="15.75" thickBot="1" x14ac:dyDescent="0.3">
      <c r="A3" s="5"/>
      <c r="B3" s="2"/>
      <c r="C3" s="2"/>
      <c r="D3" s="2"/>
      <c r="E3" s="2"/>
      <c r="F3" s="2">
        <f>'09.24'!F6</f>
        <v>742</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680</v>
      </c>
      <c r="G6" s="30">
        <f>SUM(B:B)</f>
        <v>32</v>
      </c>
      <c r="H6" s="30">
        <f>SUM(C:C)</f>
        <v>94</v>
      </c>
      <c r="I6" s="30"/>
      <c r="J6" s="33">
        <f>SUM(G6:H6)+SUM(E:E)</f>
        <v>158</v>
      </c>
      <c r="K6" s="112"/>
      <c r="L6" s="50">
        <f>J6/K1</f>
        <v>0.24610591900311526</v>
      </c>
    </row>
    <row r="7" spans="1:12" ht="30" x14ac:dyDescent="0.25">
      <c r="A7" s="17">
        <v>45567</v>
      </c>
      <c r="B7" s="18">
        <v>0</v>
      </c>
      <c r="C7" s="18">
        <v>18</v>
      </c>
      <c r="D7" s="2">
        <f t="shared" ref="D7:D44" si="0">B7-C7</f>
        <v>-18</v>
      </c>
      <c r="E7" s="18"/>
      <c r="F7" s="2"/>
      <c r="G7" s="2"/>
      <c r="H7" s="2"/>
      <c r="I7" s="2"/>
      <c r="J7" s="2"/>
      <c r="K7" s="19" t="s">
        <v>2372</v>
      </c>
      <c r="L7" s="106" t="s">
        <v>2373</v>
      </c>
    </row>
    <row r="8" spans="1:12" x14ac:dyDescent="0.25">
      <c r="A8" s="17">
        <v>45567</v>
      </c>
      <c r="B8" s="18">
        <v>2</v>
      </c>
      <c r="C8" s="18">
        <v>2</v>
      </c>
      <c r="D8" s="2">
        <f t="shared" si="0"/>
        <v>0</v>
      </c>
      <c r="E8" s="18">
        <v>2</v>
      </c>
      <c r="F8" s="2"/>
      <c r="G8" s="2"/>
      <c r="H8" s="2"/>
      <c r="I8" s="2"/>
      <c r="J8" s="2"/>
      <c r="K8" s="19" t="s">
        <v>2374</v>
      </c>
      <c r="L8" s="106"/>
    </row>
    <row r="9" spans="1:12" x14ac:dyDescent="0.25">
      <c r="A9" s="17">
        <v>45567</v>
      </c>
      <c r="B9" s="18">
        <v>0</v>
      </c>
      <c r="C9" s="18">
        <v>4</v>
      </c>
      <c r="D9" s="2">
        <f t="shared" si="0"/>
        <v>-4</v>
      </c>
      <c r="E9" s="18"/>
      <c r="F9" s="2"/>
      <c r="G9" s="2"/>
      <c r="H9" s="2"/>
      <c r="I9" s="2"/>
      <c r="J9" s="2"/>
      <c r="K9" s="19" t="s">
        <v>2375</v>
      </c>
      <c r="L9" s="106" t="s">
        <v>2376</v>
      </c>
    </row>
    <row r="10" spans="1:12" ht="30" x14ac:dyDescent="0.25">
      <c r="A10" s="17">
        <v>45573</v>
      </c>
      <c r="B10" s="18">
        <v>0</v>
      </c>
      <c r="C10" s="18">
        <v>0</v>
      </c>
      <c r="D10" s="2">
        <f t="shared" si="0"/>
        <v>0</v>
      </c>
      <c r="E10" s="18">
        <v>11</v>
      </c>
      <c r="F10" s="2"/>
      <c r="G10" s="2"/>
      <c r="H10" s="2"/>
      <c r="I10" s="2"/>
      <c r="J10" s="2"/>
      <c r="K10" s="19" t="s">
        <v>107</v>
      </c>
      <c r="L10" s="109" t="s">
        <v>2378</v>
      </c>
    </row>
    <row r="11" spans="1:12" ht="30" x14ac:dyDescent="0.25">
      <c r="A11" s="17">
        <v>45573</v>
      </c>
      <c r="B11" s="18">
        <v>11</v>
      </c>
      <c r="C11" s="18">
        <v>0</v>
      </c>
      <c r="D11" s="2">
        <f t="shared" si="0"/>
        <v>11</v>
      </c>
      <c r="E11" s="18"/>
      <c r="F11" s="2"/>
      <c r="G11" s="2"/>
      <c r="H11" s="2"/>
      <c r="I11" s="2"/>
      <c r="J11" s="2"/>
      <c r="K11" s="19" t="s">
        <v>2377</v>
      </c>
      <c r="L11" s="106" t="s">
        <v>2379</v>
      </c>
    </row>
    <row r="12" spans="1:12" ht="30" x14ac:dyDescent="0.25">
      <c r="A12" s="17">
        <v>45575</v>
      </c>
      <c r="B12" s="18">
        <v>0</v>
      </c>
      <c r="C12" s="18">
        <v>13</v>
      </c>
      <c r="D12" s="2">
        <f t="shared" si="0"/>
        <v>-13</v>
      </c>
      <c r="E12" s="18"/>
      <c r="F12" s="2"/>
      <c r="G12" s="2"/>
      <c r="H12" s="2"/>
      <c r="I12" s="2"/>
      <c r="J12" s="2"/>
      <c r="K12" s="19" t="s">
        <v>2380</v>
      </c>
      <c r="L12" s="106" t="s">
        <v>2381</v>
      </c>
    </row>
    <row r="13" spans="1:12" ht="30" x14ac:dyDescent="0.25">
      <c r="A13" s="17">
        <v>45579</v>
      </c>
      <c r="B13" s="18">
        <v>0</v>
      </c>
      <c r="C13" s="18">
        <v>0</v>
      </c>
      <c r="D13" s="2">
        <f t="shared" si="0"/>
        <v>0</v>
      </c>
      <c r="E13" s="18">
        <v>8</v>
      </c>
      <c r="F13" s="2"/>
      <c r="G13" s="2"/>
      <c r="H13" s="2"/>
      <c r="I13" s="2"/>
      <c r="J13" s="2"/>
      <c r="K13" s="19" t="s">
        <v>107</v>
      </c>
      <c r="L13" s="109" t="s">
        <v>2382</v>
      </c>
    </row>
    <row r="14" spans="1:12" ht="30" x14ac:dyDescent="0.25">
      <c r="A14" s="17">
        <v>45579</v>
      </c>
      <c r="B14" s="18">
        <v>3</v>
      </c>
      <c r="C14" s="18">
        <v>3</v>
      </c>
      <c r="D14" s="2">
        <f t="shared" si="0"/>
        <v>0</v>
      </c>
      <c r="E14" s="18">
        <v>3</v>
      </c>
      <c r="F14" s="2"/>
      <c r="G14" s="2"/>
      <c r="H14" s="2"/>
      <c r="I14" s="2"/>
      <c r="J14" s="2"/>
      <c r="K14" s="19" t="s">
        <v>2383</v>
      </c>
    </row>
    <row r="15" spans="1:12" x14ac:dyDescent="0.25">
      <c r="A15" s="17">
        <v>45579</v>
      </c>
      <c r="B15" s="18">
        <v>8</v>
      </c>
      <c r="C15" s="18">
        <v>0</v>
      </c>
      <c r="D15" s="2">
        <f t="shared" si="0"/>
        <v>8</v>
      </c>
      <c r="E15" s="18"/>
      <c r="F15" s="2"/>
      <c r="G15" s="2"/>
      <c r="H15" s="2"/>
      <c r="I15" s="2"/>
      <c r="J15" s="2"/>
      <c r="K15" s="19" t="s">
        <v>2384</v>
      </c>
      <c r="L15" s="106" t="s">
        <v>2385</v>
      </c>
    </row>
    <row r="16" spans="1:12" ht="30" x14ac:dyDescent="0.25">
      <c r="A16" s="17">
        <v>45581</v>
      </c>
      <c r="B16" s="18">
        <v>0</v>
      </c>
      <c r="C16" s="18">
        <v>0</v>
      </c>
      <c r="D16" s="2">
        <f t="shared" si="0"/>
        <v>0</v>
      </c>
      <c r="E16" s="18">
        <v>8</v>
      </c>
      <c r="F16" s="2"/>
      <c r="G16" s="2"/>
      <c r="H16" s="2"/>
      <c r="I16" s="2"/>
      <c r="J16" s="2"/>
      <c r="K16" s="19" t="s">
        <v>107</v>
      </c>
      <c r="L16" s="109" t="s">
        <v>2389</v>
      </c>
    </row>
    <row r="17" spans="1:12" x14ac:dyDescent="0.25">
      <c r="A17" s="17">
        <v>45582</v>
      </c>
      <c r="B17" s="18">
        <v>8</v>
      </c>
      <c r="C17" s="18">
        <v>0</v>
      </c>
      <c r="D17" s="2">
        <f t="shared" si="0"/>
        <v>8</v>
      </c>
      <c r="E17" s="18"/>
      <c r="F17" s="2"/>
      <c r="G17" s="2"/>
      <c r="H17" s="2"/>
      <c r="I17" s="2"/>
      <c r="J17" s="2"/>
      <c r="K17" s="19" t="s">
        <v>2386</v>
      </c>
      <c r="L17" s="106" t="s">
        <v>2387</v>
      </c>
    </row>
    <row r="18" spans="1:12" ht="30" x14ac:dyDescent="0.25">
      <c r="A18" s="17">
        <v>45582</v>
      </c>
      <c r="B18" s="18">
        <v>0</v>
      </c>
      <c r="C18" s="18">
        <v>15</v>
      </c>
      <c r="D18" s="2">
        <f t="shared" si="0"/>
        <v>-15</v>
      </c>
      <c r="E18" s="18"/>
      <c r="F18" s="2"/>
      <c r="G18" s="2"/>
      <c r="H18" s="2"/>
      <c r="I18" s="2"/>
      <c r="J18" s="2"/>
      <c r="K18" s="19" t="s">
        <v>2388</v>
      </c>
      <c r="L18" s="106" t="s">
        <v>2390</v>
      </c>
    </row>
    <row r="19" spans="1:12" x14ac:dyDescent="0.25">
      <c r="A19" s="17">
        <v>45583</v>
      </c>
      <c r="B19" s="18">
        <v>0</v>
      </c>
      <c r="C19" s="18">
        <v>4</v>
      </c>
      <c r="D19" s="2">
        <f t="shared" si="0"/>
        <v>-4</v>
      </c>
      <c r="E19" s="18"/>
      <c r="F19" s="2"/>
      <c r="G19" s="2"/>
      <c r="H19" s="2"/>
      <c r="I19" s="2"/>
      <c r="J19" s="2"/>
      <c r="K19" s="19" t="s">
        <v>2391</v>
      </c>
      <c r="L19" s="106" t="s">
        <v>2392</v>
      </c>
    </row>
    <row r="20" spans="1:12" x14ac:dyDescent="0.25">
      <c r="A20" s="17">
        <v>45587</v>
      </c>
      <c r="B20" s="18">
        <v>0</v>
      </c>
      <c r="C20" s="18">
        <v>4</v>
      </c>
      <c r="D20" s="2">
        <f t="shared" si="0"/>
        <v>-4</v>
      </c>
      <c r="E20" s="18"/>
      <c r="F20" s="2"/>
      <c r="G20" s="2"/>
      <c r="H20" s="2"/>
      <c r="I20" s="2"/>
      <c r="J20" s="2"/>
      <c r="K20" s="19" t="s">
        <v>2393</v>
      </c>
      <c r="L20" s="106" t="s">
        <v>2394</v>
      </c>
    </row>
    <row r="21" spans="1:12" x14ac:dyDescent="0.25">
      <c r="A21" s="21">
        <v>45588</v>
      </c>
      <c r="B21" s="22">
        <v>0</v>
      </c>
      <c r="C21" s="22">
        <v>1</v>
      </c>
      <c r="D21" s="2">
        <f t="shared" si="0"/>
        <v>-1</v>
      </c>
      <c r="E21" s="22"/>
      <c r="F21" s="23"/>
      <c r="G21" s="23"/>
      <c r="H21" s="23"/>
      <c r="I21" s="23"/>
      <c r="J21" s="23"/>
      <c r="K21" s="19">
        <v>610191</v>
      </c>
      <c r="L21" s="106" t="s">
        <v>2395</v>
      </c>
    </row>
    <row r="22" spans="1:12" ht="30" x14ac:dyDescent="0.25">
      <c r="A22" s="17">
        <v>45589</v>
      </c>
      <c r="B22" s="18">
        <v>0</v>
      </c>
      <c r="C22" s="18">
        <v>12</v>
      </c>
      <c r="D22" s="2">
        <f t="shared" si="0"/>
        <v>-12</v>
      </c>
      <c r="E22" s="18"/>
      <c r="F22" s="2"/>
      <c r="G22" s="2"/>
      <c r="H22" s="2"/>
      <c r="I22" s="2"/>
      <c r="J22" s="2"/>
      <c r="K22" s="19" t="s">
        <v>2396</v>
      </c>
      <c r="L22" s="106" t="s">
        <v>2397</v>
      </c>
    </row>
    <row r="23" spans="1:12" ht="30" x14ac:dyDescent="0.25">
      <c r="A23" s="17">
        <v>45595</v>
      </c>
      <c r="B23" s="18">
        <v>0</v>
      </c>
      <c r="C23" s="18">
        <v>18</v>
      </c>
      <c r="D23" s="2">
        <f t="shared" si="0"/>
        <v>-18</v>
      </c>
      <c r="E23" s="18"/>
      <c r="F23" s="2"/>
      <c r="G23" s="2"/>
      <c r="H23" s="2"/>
      <c r="I23" s="2"/>
      <c r="J23" s="2"/>
      <c r="K23" s="19" t="s">
        <v>2398</v>
      </c>
      <c r="L23" s="106" t="s">
        <v>2399</v>
      </c>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dBe2rbLyBgyiZL3Y+6/D4MM+1kiFGeWKQ+fYBBTBGzZ/rzv2rB6PL3OXXJeM3I2BQcQW8E998a/eniTG3Ie0Rg==" saltValue="44ZhErxxf1hw7hnJZXtYFg=="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45" priority="1" operator="lessThan">
      <formula>0</formula>
    </cfRule>
    <cfRule type="cellIs" dxfId="4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L44"/>
  <sheetViews>
    <sheetView workbookViewId="0">
      <pane ySplit="6" topLeftCell="A15" activePane="bottomLeft" state="frozen"/>
      <selection activeCell="I1" sqref="I1"/>
      <selection pane="bottomLeft" activeCell="K17" sqref="K17:L17"/>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-53</v>
      </c>
      <c r="L2" s="27"/>
    </row>
    <row r="3" spans="1:12" ht="15.75" thickBot="1" x14ac:dyDescent="0.3">
      <c r="A3" s="5"/>
      <c r="B3" s="2"/>
      <c r="C3" s="2"/>
      <c r="D3" s="2"/>
      <c r="E3" s="2"/>
      <c r="F3" s="2">
        <f>'10.24'!F6</f>
        <v>680</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695</v>
      </c>
      <c r="G6" s="30">
        <f>SUM(B:B)</f>
        <v>88</v>
      </c>
      <c r="H6" s="30">
        <f>SUM(C:C)</f>
        <v>73</v>
      </c>
      <c r="I6" s="30"/>
      <c r="J6" s="33">
        <f>SUM(G6:H6)+SUM(E:E)</f>
        <v>247</v>
      </c>
      <c r="K6" s="112"/>
      <c r="L6" s="50">
        <f>J6/K1</f>
        <v>0.38473520249221183</v>
      </c>
    </row>
    <row r="7" spans="1:12" x14ac:dyDescent="0.25">
      <c r="A7" s="17">
        <v>45602</v>
      </c>
      <c r="B7" s="18">
        <v>2</v>
      </c>
      <c r="C7" s="18">
        <v>2</v>
      </c>
      <c r="D7" s="2">
        <f t="shared" ref="D7:D44" si="0">B7-C7</f>
        <v>0</v>
      </c>
      <c r="E7" s="18"/>
      <c r="F7" s="2"/>
      <c r="G7" s="2"/>
      <c r="H7" s="2"/>
      <c r="I7" s="2"/>
      <c r="J7" s="2"/>
      <c r="K7" s="19" t="s">
        <v>2400</v>
      </c>
      <c r="L7" s="106" t="s">
        <v>2401</v>
      </c>
    </row>
    <row r="8" spans="1:12" x14ac:dyDescent="0.25">
      <c r="A8" s="17">
        <v>45603</v>
      </c>
      <c r="B8" s="18">
        <v>0</v>
      </c>
      <c r="C8" s="18">
        <v>2</v>
      </c>
      <c r="D8" s="2">
        <f t="shared" si="0"/>
        <v>-2</v>
      </c>
      <c r="E8" s="18"/>
      <c r="F8" s="2"/>
      <c r="G8" s="2"/>
      <c r="H8" s="2"/>
      <c r="I8" s="2"/>
      <c r="J8" s="2"/>
      <c r="K8" s="19" t="s">
        <v>2400</v>
      </c>
      <c r="L8" s="66" t="s">
        <v>2402</v>
      </c>
    </row>
    <row r="9" spans="1:12" ht="30" x14ac:dyDescent="0.25">
      <c r="A9" s="17">
        <v>45603</v>
      </c>
      <c r="B9" s="18">
        <v>0</v>
      </c>
      <c r="C9" s="18">
        <v>0</v>
      </c>
      <c r="D9" s="2">
        <f t="shared" si="0"/>
        <v>0</v>
      </c>
      <c r="E9" s="18">
        <v>32</v>
      </c>
      <c r="F9" s="2"/>
      <c r="G9" s="2"/>
      <c r="H9" s="2"/>
      <c r="I9" s="2"/>
      <c r="J9" s="2"/>
      <c r="K9" s="19" t="s">
        <v>107</v>
      </c>
      <c r="L9" s="109" t="s">
        <v>2403</v>
      </c>
    </row>
    <row r="10" spans="1:12" ht="60" x14ac:dyDescent="0.25">
      <c r="A10" s="17">
        <v>45603</v>
      </c>
      <c r="B10" s="18">
        <v>32</v>
      </c>
      <c r="C10" s="18">
        <v>0</v>
      </c>
      <c r="D10" s="2">
        <f t="shared" si="0"/>
        <v>32</v>
      </c>
      <c r="E10" s="18"/>
      <c r="F10" s="2"/>
      <c r="G10" s="2"/>
      <c r="H10" s="2"/>
      <c r="I10" s="2"/>
      <c r="J10" s="2"/>
      <c r="K10" s="19" t="s">
        <v>2405</v>
      </c>
      <c r="L10" s="109" t="s">
        <v>2404</v>
      </c>
    </row>
    <row r="11" spans="1:12" ht="30" x14ac:dyDescent="0.25">
      <c r="A11" s="17">
        <v>45604</v>
      </c>
      <c r="B11" s="18">
        <v>0</v>
      </c>
      <c r="C11" s="18">
        <v>0</v>
      </c>
      <c r="D11" s="2">
        <f t="shared" si="0"/>
        <v>0</v>
      </c>
      <c r="E11" s="18">
        <v>16</v>
      </c>
      <c r="F11" s="2"/>
      <c r="G11" s="2"/>
      <c r="H11" s="2"/>
      <c r="I11" s="2"/>
      <c r="J11" s="2"/>
      <c r="K11" s="19" t="s">
        <v>107</v>
      </c>
      <c r="L11" s="109" t="s">
        <v>2406</v>
      </c>
    </row>
    <row r="12" spans="1:12" ht="30" x14ac:dyDescent="0.25">
      <c r="A12" s="17">
        <v>45604</v>
      </c>
      <c r="B12" s="18">
        <v>16</v>
      </c>
      <c r="C12" s="18">
        <v>0</v>
      </c>
      <c r="D12" s="2">
        <f t="shared" si="0"/>
        <v>16</v>
      </c>
      <c r="E12" s="18"/>
      <c r="F12" s="2"/>
      <c r="G12" s="2"/>
      <c r="H12" s="2"/>
      <c r="I12" s="2"/>
      <c r="J12" s="2"/>
      <c r="K12" s="19" t="s">
        <v>2408</v>
      </c>
      <c r="L12" s="106" t="s">
        <v>2407</v>
      </c>
    </row>
    <row r="13" spans="1:12" ht="30" x14ac:dyDescent="0.25">
      <c r="A13" s="17">
        <v>45610</v>
      </c>
      <c r="B13" s="18">
        <v>0</v>
      </c>
      <c r="C13" s="18">
        <v>18</v>
      </c>
      <c r="D13" s="2">
        <f t="shared" si="0"/>
        <v>-18</v>
      </c>
      <c r="E13" s="18"/>
      <c r="F13" s="2"/>
      <c r="G13" s="2"/>
      <c r="H13" s="2"/>
      <c r="I13" s="2"/>
      <c r="J13" s="2"/>
      <c r="K13" s="19" t="s">
        <v>2409</v>
      </c>
      <c r="L13" s="66" t="s">
        <v>2410</v>
      </c>
    </row>
    <row r="14" spans="1:12" x14ac:dyDescent="0.25">
      <c r="A14" s="17">
        <v>45611</v>
      </c>
      <c r="B14" s="18">
        <v>1</v>
      </c>
      <c r="C14" s="18">
        <v>1</v>
      </c>
      <c r="D14" s="2">
        <f t="shared" si="0"/>
        <v>0</v>
      </c>
      <c r="E14" s="18">
        <v>1</v>
      </c>
      <c r="F14" s="2"/>
      <c r="G14" s="2"/>
      <c r="H14" s="2"/>
      <c r="I14" s="2"/>
      <c r="J14" s="2"/>
      <c r="K14" s="19" t="s">
        <v>2411</v>
      </c>
    </row>
    <row r="15" spans="1:12" ht="30" x14ac:dyDescent="0.25">
      <c r="A15" s="17">
        <v>45611</v>
      </c>
      <c r="B15" s="18">
        <v>0</v>
      </c>
      <c r="C15" s="18">
        <v>0</v>
      </c>
      <c r="D15" s="2">
        <f t="shared" si="0"/>
        <v>0</v>
      </c>
      <c r="E15" s="18">
        <v>22</v>
      </c>
      <c r="F15" s="2"/>
      <c r="G15" s="2"/>
      <c r="H15" s="2"/>
      <c r="I15" s="2"/>
      <c r="J15" s="2"/>
      <c r="K15" s="19" t="s">
        <v>107</v>
      </c>
      <c r="L15" s="109" t="s">
        <v>2412</v>
      </c>
    </row>
    <row r="16" spans="1:12" ht="45" x14ac:dyDescent="0.25">
      <c r="A16" s="17">
        <v>45611</v>
      </c>
      <c r="B16" s="18">
        <v>22</v>
      </c>
      <c r="C16" s="18">
        <v>0</v>
      </c>
      <c r="D16" s="2">
        <f t="shared" si="0"/>
        <v>22</v>
      </c>
      <c r="E16" s="18"/>
      <c r="F16" s="2"/>
      <c r="G16" s="2"/>
      <c r="H16" s="2"/>
      <c r="I16" s="2"/>
      <c r="J16" s="2"/>
      <c r="K16" s="19" t="s">
        <v>2413</v>
      </c>
      <c r="L16" s="106" t="s">
        <v>2414</v>
      </c>
    </row>
    <row r="17" spans="1:12" ht="30" x14ac:dyDescent="0.25">
      <c r="A17" s="17">
        <v>45614</v>
      </c>
      <c r="B17" s="18">
        <v>0</v>
      </c>
      <c r="C17" s="18">
        <v>0</v>
      </c>
      <c r="D17" s="2">
        <f t="shared" si="0"/>
        <v>0</v>
      </c>
      <c r="E17" s="18">
        <v>15</v>
      </c>
      <c r="F17" s="2"/>
      <c r="G17" s="2"/>
      <c r="H17" s="2"/>
      <c r="I17" s="2"/>
      <c r="J17" s="2"/>
      <c r="K17" s="19" t="s">
        <v>107</v>
      </c>
      <c r="L17" s="109" t="s">
        <v>2416</v>
      </c>
    </row>
    <row r="18" spans="1:12" ht="30" x14ac:dyDescent="0.25">
      <c r="A18" s="17">
        <v>45615</v>
      </c>
      <c r="B18" s="18">
        <v>15</v>
      </c>
      <c r="C18" s="18">
        <v>0</v>
      </c>
      <c r="D18" s="2">
        <f t="shared" si="0"/>
        <v>15</v>
      </c>
      <c r="E18" s="18"/>
      <c r="F18" s="2"/>
      <c r="G18" s="2"/>
      <c r="H18" s="2"/>
      <c r="I18" s="2"/>
      <c r="J18" s="2"/>
      <c r="K18" s="19" t="s">
        <v>2417</v>
      </c>
      <c r="L18" s="106" t="s">
        <v>2415</v>
      </c>
    </row>
    <row r="19" spans="1:12" ht="60" x14ac:dyDescent="0.25">
      <c r="A19" s="17">
        <v>45617</v>
      </c>
      <c r="B19" s="18">
        <v>0</v>
      </c>
      <c r="C19" s="18">
        <v>34</v>
      </c>
      <c r="D19" s="2">
        <f t="shared" si="0"/>
        <v>-34</v>
      </c>
      <c r="E19" s="18"/>
      <c r="F19" s="2"/>
      <c r="G19" s="2"/>
      <c r="H19" s="2"/>
      <c r="I19" s="2"/>
      <c r="J19" s="2"/>
      <c r="K19" s="19" t="s">
        <v>2418</v>
      </c>
      <c r="L19" s="66" t="s">
        <v>2419</v>
      </c>
    </row>
    <row r="20" spans="1:12" ht="30" x14ac:dyDescent="0.25">
      <c r="A20" s="17">
        <v>45624</v>
      </c>
      <c r="B20" s="18">
        <v>0</v>
      </c>
      <c r="C20" s="18">
        <v>16</v>
      </c>
      <c r="D20" s="2">
        <f t="shared" si="0"/>
        <v>-16</v>
      </c>
      <c r="E20" s="18"/>
      <c r="F20" s="2"/>
      <c r="G20" s="2"/>
      <c r="H20" s="2"/>
      <c r="I20" s="2"/>
      <c r="J20" s="2"/>
      <c r="K20" s="19" t="s">
        <v>2420</v>
      </c>
      <c r="L20" s="66" t="s">
        <v>2421</v>
      </c>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6wNF8llIxttSvxgGJ7Xg/+MMTGvlCU4Ghd8GK+CJr/lNNqKtuBEGS+QfuCxR6fUXHTA5W68LPa43vgD2r0pIbA==" saltValue="XpOHYDJIsxRU1gGxxIXk1w=="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43" priority="1" operator="lessThan">
      <formula>0</formula>
    </cfRule>
    <cfRule type="cellIs" dxfId="4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2"/>
  <headerFooter>
    <oddFooter>&amp;C&amp;D / &amp;T&amp;RSeite &amp;P von &amp;N</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L44"/>
  <sheetViews>
    <sheetView workbookViewId="0">
      <pane ySplit="6" topLeftCell="A11" activePane="bottomLeft" state="frozen"/>
      <selection pane="bottomLeft" activeCell="K16" sqref="K16:L16"/>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-34</v>
      </c>
      <c r="L2" s="27"/>
    </row>
    <row r="3" spans="1:12" ht="15.75" thickBot="1" x14ac:dyDescent="0.3">
      <c r="A3" s="5"/>
      <c r="B3" s="2"/>
      <c r="C3" s="2"/>
      <c r="D3" s="2"/>
      <c r="E3" s="2"/>
      <c r="F3" s="2">
        <f>'11.24'!F6</f>
        <v>695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3" t="s">
        <v>18</v>
      </c>
    </row>
    <row r="6" spans="1:12" s="35" customFormat="1" ht="15.75" thickBot="1" x14ac:dyDescent="0.3">
      <c r="A6" s="29"/>
      <c r="B6" s="30"/>
      <c r="C6" s="30"/>
      <c r="D6" s="30"/>
      <c r="E6" s="30"/>
      <c r="F6" s="32">
        <f>SUM(D:D)+F3</f>
        <v>676</v>
      </c>
      <c r="G6" s="30">
        <f>SUM(B:B)</f>
        <v>70</v>
      </c>
      <c r="H6" s="30">
        <f>SUM(C:C)</f>
        <v>89</v>
      </c>
      <c r="I6" s="30"/>
      <c r="J6" s="33">
        <f>SUM(G6:H6)+SUM(E:E)</f>
        <v>535</v>
      </c>
      <c r="K6" s="112"/>
      <c r="L6" s="50">
        <f>J6/K1</f>
        <v>0.83333333333333337</v>
      </c>
    </row>
    <row r="7" spans="1:12" ht="30" x14ac:dyDescent="0.25">
      <c r="A7" s="17">
        <v>45628</v>
      </c>
      <c r="B7" s="18">
        <v>0</v>
      </c>
      <c r="C7" s="18">
        <v>0</v>
      </c>
      <c r="D7" s="2">
        <f t="shared" ref="D7:D44" si="0">B7-C7</f>
        <v>0</v>
      </c>
      <c r="E7" s="18">
        <v>27</v>
      </c>
      <c r="F7" s="2"/>
      <c r="G7" s="2"/>
      <c r="H7" s="2"/>
      <c r="I7" s="2"/>
      <c r="J7" s="2"/>
      <c r="K7" s="19" t="s">
        <v>107</v>
      </c>
      <c r="L7" s="109" t="s">
        <v>2422</v>
      </c>
    </row>
    <row r="8" spans="1:12" ht="45" x14ac:dyDescent="0.25">
      <c r="A8" s="17">
        <v>45628</v>
      </c>
      <c r="B8" s="18">
        <v>27</v>
      </c>
      <c r="C8" s="18">
        <v>0</v>
      </c>
      <c r="D8" s="2">
        <f t="shared" si="0"/>
        <v>27</v>
      </c>
      <c r="E8" s="18"/>
      <c r="F8" s="2"/>
      <c r="G8" s="2"/>
      <c r="H8" s="2"/>
      <c r="I8" s="2"/>
      <c r="J8" s="2"/>
      <c r="K8" s="19" t="s">
        <v>2428</v>
      </c>
      <c r="L8" s="66" t="s">
        <v>2423</v>
      </c>
    </row>
    <row r="9" spans="1:12" ht="30" x14ac:dyDescent="0.25">
      <c r="A9" s="17">
        <v>45628</v>
      </c>
      <c r="B9" s="18">
        <v>6</v>
      </c>
      <c r="C9" s="18">
        <v>6</v>
      </c>
      <c r="D9" s="2">
        <f t="shared" si="0"/>
        <v>0</v>
      </c>
      <c r="E9" s="18">
        <v>6</v>
      </c>
      <c r="F9" s="2"/>
      <c r="G9" s="2"/>
      <c r="H9" s="2"/>
      <c r="I9" s="2"/>
      <c r="J9" s="2"/>
      <c r="K9" s="19" t="s">
        <v>2424</v>
      </c>
      <c r="L9" s="66" t="s">
        <v>2098</v>
      </c>
    </row>
    <row r="10" spans="1:12" ht="30" x14ac:dyDescent="0.25">
      <c r="A10" s="17">
        <v>45629</v>
      </c>
      <c r="B10" s="18">
        <v>0</v>
      </c>
      <c r="C10" s="18">
        <v>0</v>
      </c>
      <c r="D10" s="2">
        <f t="shared" si="0"/>
        <v>0</v>
      </c>
      <c r="E10" s="18">
        <v>10</v>
      </c>
      <c r="F10" s="2"/>
      <c r="G10" s="2"/>
      <c r="H10" s="2"/>
      <c r="I10" s="2"/>
      <c r="J10" s="2"/>
      <c r="K10" s="19" t="s">
        <v>107</v>
      </c>
      <c r="L10" s="109" t="s">
        <v>2425</v>
      </c>
    </row>
    <row r="11" spans="1:12" ht="30" x14ac:dyDescent="0.25">
      <c r="A11" s="17">
        <v>45629</v>
      </c>
      <c r="B11" s="18">
        <v>10</v>
      </c>
      <c r="C11" s="18">
        <v>0</v>
      </c>
      <c r="D11" s="2">
        <f t="shared" si="0"/>
        <v>10</v>
      </c>
      <c r="E11" s="18"/>
      <c r="F11" s="2"/>
      <c r="G11" s="2"/>
      <c r="H11" s="2"/>
      <c r="I11" s="2"/>
      <c r="J11" s="2"/>
      <c r="K11" s="19" t="s">
        <v>2430</v>
      </c>
      <c r="L11" s="106" t="s">
        <v>2426</v>
      </c>
    </row>
    <row r="12" spans="1:12" x14ac:dyDescent="0.25">
      <c r="A12" s="17">
        <v>45629</v>
      </c>
      <c r="B12" s="18">
        <v>3</v>
      </c>
      <c r="C12" s="18">
        <v>3</v>
      </c>
      <c r="D12" s="2">
        <f t="shared" si="0"/>
        <v>0</v>
      </c>
      <c r="E12" s="18">
        <v>3</v>
      </c>
      <c r="F12" s="2"/>
      <c r="G12" s="2"/>
      <c r="H12" s="2"/>
      <c r="I12" s="2"/>
      <c r="J12" s="2"/>
      <c r="K12" s="19" t="s">
        <v>2427</v>
      </c>
      <c r="L12" s="106" t="s">
        <v>1965</v>
      </c>
    </row>
    <row r="13" spans="1:12" x14ac:dyDescent="0.25">
      <c r="A13" s="17">
        <v>45629</v>
      </c>
      <c r="B13" s="18">
        <v>2</v>
      </c>
      <c r="C13" s="18">
        <v>2</v>
      </c>
      <c r="D13" s="2">
        <f t="shared" si="0"/>
        <v>0</v>
      </c>
      <c r="E13" s="18">
        <v>2</v>
      </c>
      <c r="F13" s="2"/>
      <c r="G13" s="2"/>
      <c r="H13" s="2"/>
      <c r="I13" s="2"/>
      <c r="J13" s="2"/>
      <c r="K13" s="19" t="s">
        <v>2429</v>
      </c>
      <c r="L13" s="66" t="s">
        <v>1965</v>
      </c>
    </row>
    <row r="14" spans="1:12" ht="45" x14ac:dyDescent="0.25">
      <c r="A14" s="17">
        <v>45632</v>
      </c>
      <c r="B14" s="18">
        <v>0</v>
      </c>
      <c r="C14" s="18">
        <v>23</v>
      </c>
      <c r="D14" s="2">
        <f t="shared" si="0"/>
        <v>-23</v>
      </c>
      <c r="E14" s="18"/>
      <c r="F14" s="2"/>
      <c r="G14" s="2"/>
      <c r="H14" s="2"/>
      <c r="I14" s="2"/>
      <c r="J14" s="2"/>
      <c r="K14" s="19" t="s">
        <v>2431</v>
      </c>
      <c r="L14" s="66" t="s">
        <v>2432</v>
      </c>
    </row>
    <row r="15" spans="1:12" x14ac:dyDescent="0.25">
      <c r="A15" s="17">
        <v>45632</v>
      </c>
      <c r="B15" s="18">
        <v>4</v>
      </c>
      <c r="C15" s="18">
        <v>0</v>
      </c>
      <c r="D15" s="2">
        <f t="shared" si="0"/>
        <v>4</v>
      </c>
      <c r="E15" s="18"/>
      <c r="F15" s="2"/>
      <c r="G15" s="2"/>
      <c r="H15" s="2"/>
      <c r="I15" s="2"/>
      <c r="J15" s="2"/>
      <c r="K15" s="19" t="s">
        <v>2433</v>
      </c>
      <c r="L15" s="106"/>
    </row>
    <row r="16" spans="1:12" ht="30" x14ac:dyDescent="0.25">
      <c r="A16" s="17">
        <v>45638</v>
      </c>
      <c r="B16" s="18">
        <v>0</v>
      </c>
      <c r="C16" s="18">
        <v>0</v>
      </c>
      <c r="D16" s="2">
        <f t="shared" si="0"/>
        <v>0</v>
      </c>
      <c r="E16" s="18">
        <v>326</v>
      </c>
      <c r="F16" s="2"/>
      <c r="G16" s="2"/>
      <c r="H16" s="2"/>
      <c r="I16" s="2"/>
      <c r="J16" s="2"/>
      <c r="K16" s="19" t="s">
        <v>2436</v>
      </c>
      <c r="L16" s="109" t="s">
        <v>2434</v>
      </c>
    </row>
    <row r="17" spans="1:12" ht="30" x14ac:dyDescent="0.25">
      <c r="A17" s="17">
        <v>45639</v>
      </c>
      <c r="B17" s="18">
        <v>0</v>
      </c>
      <c r="C17" s="18">
        <v>14</v>
      </c>
      <c r="D17" s="2">
        <f t="shared" si="0"/>
        <v>-14</v>
      </c>
      <c r="E17" s="18"/>
      <c r="F17" s="2"/>
      <c r="G17" s="2"/>
      <c r="H17" s="2"/>
      <c r="I17" s="2"/>
      <c r="J17" s="2"/>
      <c r="K17" s="19" t="s">
        <v>2438</v>
      </c>
      <c r="L17" s="106" t="s">
        <v>2437</v>
      </c>
    </row>
    <row r="18" spans="1:12" ht="60" x14ac:dyDescent="0.25">
      <c r="A18" s="17">
        <v>45645</v>
      </c>
      <c r="B18" s="18">
        <v>0</v>
      </c>
      <c r="C18" s="18">
        <v>29</v>
      </c>
      <c r="D18" s="2">
        <f t="shared" si="0"/>
        <v>-29</v>
      </c>
      <c r="E18" s="18"/>
      <c r="F18" s="2"/>
      <c r="G18" s="2"/>
      <c r="H18" s="2"/>
      <c r="I18" s="2"/>
      <c r="J18" s="2"/>
      <c r="K18" s="19" t="s">
        <v>2440</v>
      </c>
      <c r="L18" s="106" t="s">
        <v>2439</v>
      </c>
    </row>
    <row r="19" spans="1:12" x14ac:dyDescent="0.25">
      <c r="A19" s="17">
        <v>45645</v>
      </c>
      <c r="B19" s="18">
        <v>6</v>
      </c>
      <c r="C19" s="18">
        <v>0</v>
      </c>
      <c r="D19" s="2">
        <f t="shared" si="0"/>
        <v>6</v>
      </c>
      <c r="E19" s="18"/>
      <c r="F19" s="2"/>
      <c r="G19" s="2"/>
      <c r="H19" s="2"/>
      <c r="I19" s="2"/>
      <c r="J19" s="2"/>
      <c r="K19" s="19" t="s">
        <v>2444</v>
      </c>
      <c r="L19" s="66" t="s">
        <v>2439</v>
      </c>
    </row>
    <row r="20" spans="1:12" x14ac:dyDescent="0.25">
      <c r="A20" s="17">
        <v>45645</v>
      </c>
      <c r="B20" s="18">
        <v>1</v>
      </c>
      <c r="C20" s="18">
        <v>1</v>
      </c>
      <c r="D20" s="2">
        <f t="shared" si="0"/>
        <v>0</v>
      </c>
      <c r="E20" s="18">
        <v>1</v>
      </c>
      <c r="F20" s="2"/>
      <c r="G20" s="2"/>
      <c r="H20" s="2"/>
      <c r="I20" s="2"/>
      <c r="J20" s="2"/>
      <c r="K20" s="19" t="s">
        <v>2441</v>
      </c>
      <c r="L20" s="106"/>
    </row>
    <row r="21" spans="1:12" ht="30" x14ac:dyDescent="0.25">
      <c r="A21" s="21">
        <v>45645</v>
      </c>
      <c r="B21" s="22">
        <v>0</v>
      </c>
      <c r="C21" s="22">
        <v>10</v>
      </c>
      <c r="D21" s="2">
        <f t="shared" si="0"/>
        <v>-10</v>
      </c>
      <c r="E21" s="22"/>
      <c r="F21" s="23"/>
      <c r="G21" s="23"/>
      <c r="H21" s="23"/>
      <c r="I21" s="23"/>
      <c r="J21" s="23"/>
      <c r="K21" s="19" t="s">
        <v>2442</v>
      </c>
      <c r="L21" s="106" t="s">
        <v>2443</v>
      </c>
    </row>
    <row r="22" spans="1:12" x14ac:dyDescent="0.25">
      <c r="A22" s="17">
        <v>45645</v>
      </c>
      <c r="B22" s="18">
        <v>1</v>
      </c>
      <c r="C22" s="18">
        <v>1</v>
      </c>
      <c r="D22" s="2">
        <f t="shared" si="0"/>
        <v>0</v>
      </c>
      <c r="E22" s="18">
        <v>1</v>
      </c>
      <c r="F22" s="2"/>
      <c r="G22" s="2"/>
      <c r="H22" s="2"/>
      <c r="I22" s="2"/>
      <c r="J22" s="2"/>
      <c r="K22" s="19" t="s">
        <v>2445</v>
      </c>
      <c r="L22" s="106"/>
    </row>
    <row r="23" spans="1:12" ht="30" x14ac:dyDescent="0.25">
      <c r="A23" s="17">
        <v>45646</v>
      </c>
      <c r="B23" s="18">
        <v>10</v>
      </c>
      <c r="C23" s="18">
        <v>0</v>
      </c>
      <c r="D23" s="2">
        <f t="shared" si="0"/>
        <v>10</v>
      </c>
      <c r="E23" s="18"/>
      <c r="F23" s="2"/>
      <c r="G23" s="2"/>
      <c r="H23" s="2"/>
      <c r="I23" s="2"/>
      <c r="J23" s="2"/>
      <c r="K23" s="19" t="s">
        <v>2446</v>
      </c>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gZskeiTJZrwsqr++YLryIe5aqimaajHgBfycY/w6K3Yq95zX+s/dsFjGC2tkbsA7ilqfs4Uy5nCqvbngtw6JUg==" saltValue="crampuEtHZFHiSbNyQE3cQ==" spinCount="100000" sheet="1" objects="1" scenarios="1"/>
  <customSheetViews>
    <customSheetView guid="{E5A7B818-645B-417C-A128-9FE559D9B124}" fitToPage="1">
      <pane ySplit="6" topLeftCell="A7" activePane="bottomLeft" state="frozen"/>
      <selection pane="bottomLeft" activeCell="K2" sqref="K2"/>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41" priority="1" operator="lessThan">
      <formula>0</formula>
    </cfRule>
    <cfRule type="cellIs" dxfId="4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L44"/>
  <sheetViews>
    <sheetView workbookViewId="0">
      <pane ySplit="6" topLeftCell="A7" activePane="bottomLeft" state="frozen"/>
      <selection pane="bottomLeft" activeCell="K7" sqref="K7:L7"/>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16</v>
      </c>
      <c r="L2" s="27"/>
    </row>
    <row r="3" spans="1:12" ht="15.75" thickBot="1" x14ac:dyDescent="0.3">
      <c r="A3" s="5"/>
      <c r="B3" s="2"/>
      <c r="C3" s="2"/>
      <c r="D3" s="2"/>
      <c r="E3" s="2"/>
      <c r="F3" s="2">
        <f>'12.24'!F6</f>
        <v>676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626</v>
      </c>
      <c r="G6" s="30">
        <f>SUM(B:B)</f>
        <v>29</v>
      </c>
      <c r="H6" s="30">
        <f>SUM(C:C)</f>
        <v>79</v>
      </c>
      <c r="I6" s="30"/>
      <c r="J6" s="33">
        <f>SUM(G6:H6)+SUM(E:E)</f>
        <v>137</v>
      </c>
      <c r="K6" s="112"/>
      <c r="L6" s="50">
        <f>J6/K1</f>
        <v>0.21339563862928349</v>
      </c>
    </row>
    <row r="7" spans="1:12" ht="30" x14ac:dyDescent="0.25">
      <c r="A7" s="17">
        <v>45666</v>
      </c>
      <c r="B7" s="18">
        <v>0</v>
      </c>
      <c r="C7" s="18">
        <v>0</v>
      </c>
      <c r="D7" s="2">
        <f t="shared" ref="D7:D44" si="0">B7-C7</f>
        <v>0</v>
      </c>
      <c r="E7" s="18">
        <v>15</v>
      </c>
      <c r="F7" s="2"/>
      <c r="G7" s="2"/>
      <c r="H7" s="2"/>
      <c r="I7" s="2"/>
      <c r="J7" s="2"/>
      <c r="K7" s="19" t="s">
        <v>107</v>
      </c>
      <c r="L7" s="109" t="s">
        <v>2447</v>
      </c>
    </row>
    <row r="8" spans="1:12" ht="60" x14ac:dyDescent="0.25">
      <c r="A8" s="17">
        <v>45666</v>
      </c>
      <c r="B8" s="18">
        <v>0</v>
      </c>
      <c r="C8" s="18">
        <v>35</v>
      </c>
      <c r="D8" s="2">
        <f t="shared" si="0"/>
        <v>-35</v>
      </c>
      <c r="E8" s="18"/>
      <c r="F8" s="2"/>
      <c r="G8" s="2"/>
      <c r="H8" s="2"/>
      <c r="I8" s="2"/>
      <c r="J8" s="2"/>
      <c r="K8" s="19" t="s">
        <v>2450</v>
      </c>
      <c r="L8" s="66" t="s">
        <v>2449</v>
      </c>
    </row>
    <row r="9" spans="1:12" ht="30" x14ac:dyDescent="0.25">
      <c r="A9" s="17">
        <v>45667</v>
      </c>
      <c r="B9" s="18">
        <v>15</v>
      </c>
      <c r="C9" s="18">
        <v>0</v>
      </c>
      <c r="D9" s="2">
        <f t="shared" si="0"/>
        <v>15</v>
      </c>
      <c r="E9" s="18"/>
      <c r="F9" s="2"/>
      <c r="G9" s="2"/>
      <c r="H9" s="2"/>
      <c r="I9" s="2"/>
      <c r="J9" s="2"/>
      <c r="K9" s="19" t="s">
        <v>2451</v>
      </c>
      <c r="L9" s="66" t="s">
        <v>2448</v>
      </c>
    </row>
    <row r="10" spans="1:12" x14ac:dyDescent="0.25">
      <c r="A10" s="17">
        <v>45673</v>
      </c>
      <c r="B10" s="18">
        <v>0</v>
      </c>
      <c r="C10" s="18">
        <v>9</v>
      </c>
      <c r="D10" s="2">
        <f t="shared" si="0"/>
        <v>-9</v>
      </c>
      <c r="E10" s="18"/>
      <c r="F10" s="2"/>
      <c r="G10" s="2"/>
      <c r="H10" s="2"/>
      <c r="I10" s="2"/>
      <c r="J10" s="2"/>
      <c r="K10" s="19" t="s">
        <v>2452</v>
      </c>
      <c r="L10" s="66" t="s">
        <v>2453</v>
      </c>
    </row>
    <row r="11" spans="1:12" ht="30" x14ac:dyDescent="0.25">
      <c r="A11" s="17">
        <v>45680</v>
      </c>
      <c r="B11" s="18">
        <v>0</v>
      </c>
      <c r="C11" s="18">
        <v>13</v>
      </c>
      <c r="D11" s="2">
        <f t="shared" si="0"/>
        <v>-13</v>
      </c>
      <c r="E11" s="18"/>
      <c r="F11" s="2"/>
      <c r="G11" s="2"/>
      <c r="H11" s="2"/>
      <c r="I11" s="2"/>
      <c r="J11" s="2"/>
      <c r="K11" s="19" t="s">
        <v>2454</v>
      </c>
      <c r="L11" s="106" t="s">
        <v>2455</v>
      </c>
    </row>
    <row r="12" spans="1:12" ht="30" x14ac:dyDescent="0.25">
      <c r="A12" s="17">
        <v>45681</v>
      </c>
      <c r="B12" s="18">
        <v>0</v>
      </c>
      <c r="C12" s="18">
        <v>0</v>
      </c>
      <c r="D12" s="2">
        <f t="shared" si="0"/>
        <v>0</v>
      </c>
      <c r="E12" s="18">
        <v>14</v>
      </c>
      <c r="F12" s="2"/>
      <c r="G12" s="2"/>
      <c r="H12" s="2"/>
      <c r="I12" s="2"/>
      <c r="J12" s="2"/>
      <c r="K12" s="19" t="s">
        <v>107</v>
      </c>
      <c r="L12" s="109" t="s">
        <v>2456</v>
      </c>
    </row>
    <row r="13" spans="1:12" ht="30" x14ac:dyDescent="0.25">
      <c r="A13" s="17">
        <v>45681</v>
      </c>
      <c r="B13" s="18">
        <v>14</v>
      </c>
      <c r="C13" s="18">
        <v>0</v>
      </c>
      <c r="D13" s="2">
        <f t="shared" si="0"/>
        <v>14</v>
      </c>
      <c r="E13" s="18"/>
      <c r="F13" s="2"/>
      <c r="G13" s="2"/>
      <c r="H13" s="2"/>
      <c r="I13" s="2"/>
      <c r="J13" s="2"/>
      <c r="K13" s="19" t="s">
        <v>2457</v>
      </c>
      <c r="L13" s="66" t="s">
        <v>2460</v>
      </c>
    </row>
    <row r="14" spans="1:12" ht="45" x14ac:dyDescent="0.25">
      <c r="A14" s="17">
        <v>45687</v>
      </c>
      <c r="B14" s="18">
        <v>0</v>
      </c>
      <c r="C14" s="18">
        <v>22</v>
      </c>
      <c r="D14" s="2">
        <f t="shared" si="0"/>
        <v>-22</v>
      </c>
      <c r="E14" s="18"/>
      <c r="F14" s="2"/>
      <c r="G14" s="2"/>
      <c r="H14" s="2"/>
      <c r="I14" s="2"/>
      <c r="J14" s="2"/>
      <c r="K14" s="19" t="s">
        <v>2458</v>
      </c>
      <c r="L14" s="66" t="s">
        <v>2459</v>
      </c>
    </row>
    <row r="15" spans="1:12" x14ac:dyDescent="0.25">
      <c r="A15" s="17"/>
      <c r="B15" s="18"/>
      <c r="C15" s="18"/>
      <c r="D15" s="2">
        <f t="shared" si="0"/>
        <v>0</v>
      </c>
      <c r="E15" s="18"/>
      <c r="F15" s="2"/>
      <c r="G15" s="2"/>
      <c r="H15" s="2"/>
      <c r="I15" s="2"/>
      <c r="J15" s="2"/>
      <c r="K15" s="19"/>
      <c r="L15" s="106"/>
    </row>
    <row r="16" spans="1:12" x14ac:dyDescent="0.25">
      <c r="A16" s="17"/>
      <c r="B16" s="18"/>
      <c r="C16" s="18"/>
      <c r="D16" s="2">
        <f t="shared" si="0"/>
        <v>0</v>
      </c>
      <c r="E16" s="18"/>
      <c r="F16" s="2"/>
      <c r="G16" s="2"/>
      <c r="H16" s="2"/>
      <c r="I16" s="2"/>
      <c r="J16" s="2"/>
      <c r="K16" s="19"/>
      <c r="L16" s="106"/>
    </row>
    <row r="17" spans="1:12" x14ac:dyDescent="0.25">
      <c r="A17" s="17"/>
      <c r="B17" s="18"/>
      <c r="C17" s="18"/>
      <c r="D17" s="2">
        <f t="shared" si="0"/>
        <v>0</v>
      </c>
      <c r="E17" s="18"/>
      <c r="F17" s="2"/>
      <c r="G17" s="2"/>
      <c r="H17" s="2"/>
      <c r="I17" s="2"/>
      <c r="J17" s="2"/>
      <c r="K17" s="19"/>
      <c r="L17" s="106"/>
    </row>
    <row r="18" spans="1:12" x14ac:dyDescent="0.25">
      <c r="A18" s="17"/>
      <c r="B18" s="18"/>
      <c r="C18" s="18"/>
      <c r="D18" s="2">
        <f t="shared" si="0"/>
        <v>0</v>
      </c>
      <c r="E18" s="18"/>
      <c r="F18" s="2"/>
      <c r="G18" s="2"/>
      <c r="H18" s="2"/>
      <c r="I18" s="2"/>
      <c r="J18" s="2"/>
      <c r="K18" s="19"/>
      <c r="L18" s="106"/>
    </row>
    <row r="19" spans="1:12" x14ac:dyDescent="0.25">
      <c r="A19" s="17"/>
      <c r="B19" s="18"/>
      <c r="C19" s="18"/>
      <c r="D19" s="2">
        <f t="shared" si="0"/>
        <v>0</v>
      </c>
      <c r="E19" s="18"/>
      <c r="F19" s="2"/>
      <c r="G19" s="2"/>
      <c r="H19" s="2"/>
      <c r="I19" s="2"/>
      <c r="J19" s="2"/>
      <c r="K19" s="19"/>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sheetProtection algorithmName="SHA-512" hashValue="oxZUEZJGDPqKJQeLFAbJsk/LDO5aJ4TXUvsaxCJrreWc9j47vUbhPo3n8sbZdjuPTgHr69PenzWG3GGUKY6w4w==" saltValue="V4hArYk2HY55x0qSvwejMw==" spinCount="100000" sheet="1" objects="1" scenarios="1"/>
  <conditionalFormatting sqref="K2">
    <cfRule type="cellIs" dxfId="39" priority="1" operator="lessThan">
      <formula>0</formula>
    </cfRule>
    <cfRule type="cellIs" dxfId="3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1"/>
  <headerFooter>
    <oddFooter>&amp;C&amp;D / &amp;T&amp;RSeite &amp;P von &amp;N</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L42"/>
  <sheetViews>
    <sheetView workbookViewId="0">
      <pane ySplit="6" topLeftCell="A22" activePane="bottomLeft" state="frozen"/>
      <selection pane="bottomLeft" activeCell="K31" sqref="K31"/>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-16</v>
      </c>
      <c r="L2" s="27"/>
    </row>
    <row r="3" spans="1:12" ht="15.75" thickBot="1" x14ac:dyDescent="0.3">
      <c r="A3" s="5"/>
      <c r="B3" s="2"/>
      <c r="C3" s="2"/>
      <c r="D3" s="2"/>
      <c r="E3" s="2"/>
      <c r="F3" s="2">
        <f>'01.25'!F6</f>
        <v>626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658</v>
      </c>
      <c r="G6" s="30">
        <f>SUM(B:B)</f>
        <v>139</v>
      </c>
      <c r="H6" s="30">
        <f>SUM(C:C)</f>
        <v>107</v>
      </c>
      <c r="I6" s="30"/>
      <c r="J6" s="33">
        <f>SUM(G6:H6)+SUM(E:E)</f>
        <v>385</v>
      </c>
      <c r="K6" s="112"/>
      <c r="L6" s="50">
        <f>J6/K1</f>
        <v>0.59968847352024923</v>
      </c>
    </row>
    <row r="7" spans="1:12" ht="30" x14ac:dyDescent="0.25">
      <c r="A7" s="17">
        <v>45691</v>
      </c>
      <c r="B7" s="18">
        <v>0</v>
      </c>
      <c r="C7" s="18">
        <v>0</v>
      </c>
      <c r="D7" s="2">
        <f t="shared" ref="D7:D42" si="0">B7-C7</f>
        <v>0</v>
      </c>
      <c r="E7" s="18">
        <v>28</v>
      </c>
      <c r="F7" s="2"/>
      <c r="G7" s="2"/>
      <c r="H7" s="2"/>
      <c r="I7" s="2"/>
      <c r="J7" s="2"/>
      <c r="K7" s="19" t="s">
        <v>107</v>
      </c>
      <c r="L7" s="109" t="s">
        <v>2461</v>
      </c>
    </row>
    <row r="8" spans="1:12" ht="60" x14ac:dyDescent="0.25">
      <c r="A8" s="17">
        <v>45691</v>
      </c>
      <c r="B8" s="18">
        <v>28</v>
      </c>
      <c r="C8" s="18">
        <v>0</v>
      </c>
      <c r="D8" s="2">
        <f t="shared" si="0"/>
        <v>28</v>
      </c>
      <c r="E8" s="18"/>
      <c r="F8" s="2"/>
      <c r="G8" s="2"/>
      <c r="H8" s="2"/>
      <c r="I8" s="2"/>
      <c r="J8" s="2"/>
      <c r="K8" s="19" t="s">
        <v>2466</v>
      </c>
      <c r="L8" s="109" t="s">
        <v>2462</v>
      </c>
    </row>
    <row r="9" spans="1:12" x14ac:dyDescent="0.25">
      <c r="A9" s="17">
        <v>45691</v>
      </c>
      <c r="B9" s="18">
        <v>1</v>
      </c>
      <c r="C9" s="18">
        <v>1</v>
      </c>
      <c r="D9" s="2">
        <f t="shared" si="0"/>
        <v>0</v>
      </c>
      <c r="E9" s="18">
        <v>1</v>
      </c>
      <c r="F9" s="2"/>
      <c r="G9" s="2"/>
      <c r="H9" s="2"/>
      <c r="I9" s="2"/>
      <c r="J9" s="2"/>
      <c r="K9" s="19" t="s">
        <v>2464</v>
      </c>
      <c r="L9" s="66" t="s">
        <v>2463</v>
      </c>
    </row>
    <row r="10" spans="1:12" x14ac:dyDescent="0.25">
      <c r="A10" s="17">
        <v>45693</v>
      </c>
      <c r="B10" s="18">
        <v>0</v>
      </c>
      <c r="C10" s="18">
        <v>1</v>
      </c>
      <c r="D10" s="2">
        <f t="shared" si="0"/>
        <v>-1</v>
      </c>
      <c r="E10" s="18"/>
      <c r="F10" s="2"/>
      <c r="G10" s="2"/>
      <c r="H10" s="2"/>
      <c r="I10" s="2"/>
      <c r="J10" s="2"/>
      <c r="K10" s="19">
        <v>634251</v>
      </c>
      <c r="L10" s="106" t="s">
        <v>2465</v>
      </c>
    </row>
    <row r="11" spans="1:12" ht="45" x14ac:dyDescent="0.25">
      <c r="A11" s="17">
        <v>45694</v>
      </c>
      <c r="B11" s="18">
        <v>0</v>
      </c>
      <c r="C11" s="18">
        <v>25</v>
      </c>
      <c r="D11" s="2">
        <f t="shared" si="0"/>
        <v>-25</v>
      </c>
      <c r="E11" s="18"/>
      <c r="F11" s="2"/>
      <c r="G11" s="2"/>
      <c r="H11" s="2"/>
      <c r="I11" s="2"/>
      <c r="J11" s="2"/>
      <c r="K11" s="19" t="s">
        <v>2467</v>
      </c>
      <c r="L11" s="66" t="s">
        <v>2471</v>
      </c>
    </row>
    <row r="12" spans="1:12" ht="30" x14ac:dyDescent="0.25">
      <c r="A12" s="17">
        <v>45695</v>
      </c>
      <c r="B12" s="18">
        <v>0</v>
      </c>
      <c r="C12" s="18">
        <v>0</v>
      </c>
      <c r="D12" s="2">
        <f t="shared" si="0"/>
        <v>0</v>
      </c>
      <c r="E12" s="18">
        <v>22</v>
      </c>
      <c r="F12" s="2"/>
      <c r="G12" s="2"/>
      <c r="H12" s="2"/>
      <c r="I12" s="2"/>
      <c r="J12" s="2"/>
      <c r="K12" s="19" t="s">
        <v>107</v>
      </c>
      <c r="L12" s="109" t="s">
        <v>2468</v>
      </c>
    </row>
    <row r="13" spans="1:12" ht="45" x14ac:dyDescent="0.25">
      <c r="A13" s="17">
        <v>45695</v>
      </c>
      <c r="B13" s="18">
        <v>22</v>
      </c>
      <c r="C13" s="18">
        <v>0</v>
      </c>
      <c r="D13" s="2">
        <f t="shared" si="0"/>
        <v>22</v>
      </c>
      <c r="E13" s="18"/>
      <c r="F13" s="2"/>
      <c r="G13" s="2"/>
      <c r="H13" s="2"/>
      <c r="I13" s="2"/>
      <c r="J13" s="2"/>
      <c r="K13" s="19" t="s">
        <v>2472</v>
      </c>
      <c r="L13" s="106" t="s">
        <v>2469</v>
      </c>
    </row>
    <row r="14" spans="1:12" ht="30" x14ac:dyDescent="0.25">
      <c r="A14" s="17">
        <v>45695</v>
      </c>
      <c r="B14" s="18">
        <v>0</v>
      </c>
      <c r="C14" s="18">
        <v>0</v>
      </c>
      <c r="D14" s="2">
        <f t="shared" si="0"/>
        <v>0</v>
      </c>
      <c r="E14" s="18">
        <v>37</v>
      </c>
      <c r="F14" s="2"/>
      <c r="G14" s="2"/>
      <c r="H14" s="2"/>
      <c r="I14" s="2"/>
      <c r="J14" s="2"/>
      <c r="K14" s="19" t="s">
        <v>107</v>
      </c>
      <c r="L14" s="109" t="s">
        <v>2473</v>
      </c>
    </row>
    <row r="15" spans="1:12" ht="75" x14ac:dyDescent="0.25">
      <c r="A15" s="17">
        <v>45695</v>
      </c>
      <c r="B15" s="18">
        <v>37</v>
      </c>
      <c r="C15" s="18">
        <v>0</v>
      </c>
      <c r="D15" s="2">
        <f t="shared" si="0"/>
        <v>37</v>
      </c>
      <c r="E15" s="18"/>
      <c r="F15" s="2"/>
      <c r="G15" s="2"/>
      <c r="H15" s="2"/>
      <c r="I15" s="2"/>
      <c r="J15" s="2"/>
      <c r="K15" s="19" t="s">
        <v>2474</v>
      </c>
      <c r="L15" s="106" t="s">
        <v>2470</v>
      </c>
    </row>
    <row r="16" spans="1:12" x14ac:dyDescent="0.25">
      <c r="A16" s="17">
        <v>45698</v>
      </c>
      <c r="B16" s="18">
        <v>0</v>
      </c>
      <c r="C16" s="18">
        <v>3</v>
      </c>
      <c r="D16" s="2">
        <f t="shared" si="0"/>
        <v>-3</v>
      </c>
      <c r="E16" s="18"/>
      <c r="F16" s="2"/>
      <c r="G16" s="2"/>
      <c r="H16" s="2"/>
      <c r="I16" s="2"/>
      <c r="J16" s="2"/>
      <c r="K16" s="19" t="s">
        <v>2478</v>
      </c>
      <c r="L16" s="106" t="s">
        <v>2475</v>
      </c>
    </row>
    <row r="17" spans="1:12" ht="30" x14ac:dyDescent="0.25">
      <c r="A17" s="17">
        <v>45698</v>
      </c>
      <c r="B17" s="18">
        <v>0</v>
      </c>
      <c r="C17" s="18">
        <v>0</v>
      </c>
      <c r="D17" s="2">
        <f t="shared" si="0"/>
        <v>0</v>
      </c>
      <c r="E17" s="18">
        <v>10</v>
      </c>
      <c r="F17" s="2"/>
      <c r="G17" s="2"/>
      <c r="H17" s="2"/>
      <c r="I17" s="2"/>
      <c r="J17" s="2"/>
      <c r="K17" s="19" t="s">
        <v>107</v>
      </c>
      <c r="L17" s="109" t="s">
        <v>2476</v>
      </c>
    </row>
    <row r="18" spans="1:12" ht="30" x14ac:dyDescent="0.25">
      <c r="A18" s="17">
        <v>45698</v>
      </c>
      <c r="B18" s="18">
        <v>10</v>
      </c>
      <c r="C18" s="18">
        <v>0</v>
      </c>
      <c r="D18" s="2">
        <f t="shared" si="0"/>
        <v>10</v>
      </c>
      <c r="E18" s="18"/>
      <c r="F18" s="2"/>
      <c r="G18" s="2"/>
      <c r="H18" s="2"/>
      <c r="I18" s="2"/>
      <c r="J18" s="2"/>
      <c r="K18" s="19" t="s">
        <v>2479</v>
      </c>
      <c r="L18" s="106" t="s">
        <v>2477</v>
      </c>
    </row>
    <row r="19" spans="1:12" x14ac:dyDescent="0.25">
      <c r="A19" s="21">
        <v>45700</v>
      </c>
      <c r="B19" s="22">
        <v>0</v>
      </c>
      <c r="C19" s="22">
        <v>4</v>
      </c>
      <c r="D19" s="2">
        <f t="shared" si="0"/>
        <v>-4</v>
      </c>
      <c r="E19" s="22"/>
      <c r="F19" s="23"/>
      <c r="G19" s="23"/>
      <c r="H19" s="23"/>
      <c r="I19" s="23"/>
      <c r="J19" s="23"/>
      <c r="K19" s="19" t="s">
        <v>2480</v>
      </c>
      <c r="L19" s="106" t="s">
        <v>2481</v>
      </c>
    </row>
    <row r="20" spans="1:12" ht="60" x14ac:dyDescent="0.25">
      <c r="A20" s="17">
        <v>45701</v>
      </c>
      <c r="B20" s="18">
        <v>0</v>
      </c>
      <c r="C20" s="18">
        <v>29</v>
      </c>
      <c r="D20" s="2">
        <f t="shared" si="0"/>
        <v>-29</v>
      </c>
      <c r="E20" s="18"/>
      <c r="F20" s="2"/>
      <c r="G20" s="2"/>
      <c r="H20" s="2"/>
      <c r="I20" s="2"/>
      <c r="J20" s="2"/>
      <c r="K20" s="19" t="s">
        <v>2482</v>
      </c>
      <c r="L20" s="106" t="s">
        <v>2483</v>
      </c>
    </row>
    <row r="21" spans="1:12" ht="30" x14ac:dyDescent="0.25">
      <c r="A21" s="17">
        <v>45701</v>
      </c>
      <c r="B21" s="18">
        <v>0</v>
      </c>
      <c r="C21" s="18">
        <v>0</v>
      </c>
      <c r="D21" s="2">
        <f t="shared" si="0"/>
        <v>0</v>
      </c>
      <c r="E21" s="18">
        <v>8</v>
      </c>
      <c r="F21" s="2"/>
      <c r="G21" s="2"/>
      <c r="H21" s="2"/>
      <c r="I21" s="2"/>
      <c r="J21" s="2"/>
      <c r="K21" s="19" t="s">
        <v>107</v>
      </c>
      <c r="L21" s="109" t="s">
        <v>2485</v>
      </c>
    </row>
    <row r="22" spans="1:12" x14ac:dyDescent="0.25">
      <c r="A22" s="17">
        <v>45701</v>
      </c>
      <c r="B22" s="18">
        <v>8</v>
      </c>
      <c r="C22" s="18">
        <v>0</v>
      </c>
      <c r="D22" s="2">
        <f t="shared" si="0"/>
        <v>8</v>
      </c>
      <c r="E22" s="18"/>
      <c r="F22" s="2"/>
      <c r="G22" s="2"/>
      <c r="H22" s="2"/>
      <c r="I22" s="2"/>
      <c r="J22" s="2"/>
      <c r="K22" s="19" t="s">
        <v>2484</v>
      </c>
      <c r="L22" s="106" t="s">
        <v>2486</v>
      </c>
    </row>
    <row r="23" spans="1:12" ht="45" x14ac:dyDescent="0.25">
      <c r="A23" s="17">
        <v>45708</v>
      </c>
      <c r="B23" s="18">
        <v>0</v>
      </c>
      <c r="C23" s="18">
        <v>22</v>
      </c>
      <c r="D23" s="2">
        <f t="shared" si="0"/>
        <v>-22</v>
      </c>
      <c r="E23" s="18"/>
      <c r="F23" s="2"/>
      <c r="G23" s="2"/>
      <c r="H23" s="2"/>
      <c r="I23" s="2"/>
      <c r="J23" s="2"/>
      <c r="K23" s="19" t="s">
        <v>2487</v>
      </c>
      <c r="L23" s="66" t="s">
        <v>2488</v>
      </c>
    </row>
    <row r="24" spans="1:12" ht="30" x14ac:dyDescent="0.25">
      <c r="A24" s="17">
        <v>45708</v>
      </c>
      <c r="B24" s="18">
        <v>0</v>
      </c>
      <c r="C24" s="18">
        <v>0</v>
      </c>
      <c r="D24" s="2">
        <f>B24-C24</f>
        <v>0</v>
      </c>
      <c r="E24" s="18">
        <v>1</v>
      </c>
      <c r="F24" s="2"/>
      <c r="G24" s="2"/>
      <c r="H24" s="2"/>
      <c r="I24" s="2"/>
      <c r="J24" s="2"/>
      <c r="K24" s="19" t="s">
        <v>107</v>
      </c>
      <c r="L24" s="109" t="s">
        <v>2490</v>
      </c>
    </row>
    <row r="25" spans="1:12" x14ac:dyDescent="0.25">
      <c r="A25" s="17">
        <v>45708</v>
      </c>
      <c r="B25" s="18">
        <v>1</v>
      </c>
      <c r="C25" s="18">
        <v>0</v>
      </c>
      <c r="D25" s="2">
        <f t="shared" si="0"/>
        <v>1</v>
      </c>
      <c r="E25" s="18"/>
      <c r="F25" s="2"/>
      <c r="G25" s="2"/>
      <c r="H25" s="2"/>
      <c r="I25" s="2"/>
      <c r="J25" s="2"/>
      <c r="K25" s="19" t="s">
        <v>2491</v>
      </c>
      <c r="L25" s="66" t="s">
        <v>2489</v>
      </c>
    </row>
    <row r="26" spans="1:12" ht="30" x14ac:dyDescent="0.25">
      <c r="A26" s="17">
        <v>45714</v>
      </c>
      <c r="B26" s="18">
        <v>0</v>
      </c>
      <c r="C26" s="18">
        <v>0</v>
      </c>
      <c r="D26" s="2">
        <f t="shared" si="0"/>
        <v>0</v>
      </c>
      <c r="E26" s="18">
        <v>8</v>
      </c>
      <c r="F26" s="2"/>
      <c r="G26" s="2"/>
      <c r="H26" s="2"/>
      <c r="I26" s="2"/>
      <c r="J26" s="2"/>
      <c r="K26" s="19" t="s">
        <v>107</v>
      </c>
      <c r="L26" s="109" t="s">
        <v>2492</v>
      </c>
    </row>
    <row r="27" spans="1:12" ht="30" x14ac:dyDescent="0.25">
      <c r="A27" s="17">
        <v>45714</v>
      </c>
      <c r="B27" s="18">
        <v>0</v>
      </c>
      <c r="C27" s="18">
        <v>0</v>
      </c>
      <c r="D27" s="2">
        <f t="shared" si="0"/>
        <v>0</v>
      </c>
      <c r="E27" s="18">
        <v>23</v>
      </c>
      <c r="F27" s="2"/>
      <c r="G27" s="2"/>
      <c r="H27" s="2"/>
      <c r="I27" s="2"/>
      <c r="J27" s="2"/>
      <c r="K27" s="19" t="s">
        <v>107</v>
      </c>
      <c r="L27" s="109" t="s">
        <v>2493</v>
      </c>
    </row>
    <row r="28" spans="1:12" x14ac:dyDescent="0.25">
      <c r="A28" s="17">
        <v>45714</v>
      </c>
      <c r="B28" s="18">
        <v>8</v>
      </c>
      <c r="C28" s="18">
        <v>0</v>
      </c>
      <c r="D28" s="2">
        <f t="shared" si="0"/>
        <v>8</v>
      </c>
      <c r="E28" s="18"/>
      <c r="F28" s="2"/>
      <c r="G28" s="2"/>
      <c r="H28" s="2"/>
      <c r="I28" s="2"/>
      <c r="J28" s="2"/>
      <c r="K28" s="19" t="s">
        <v>2496</v>
      </c>
      <c r="L28" s="66" t="s">
        <v>2494</v>
      </c>
    </row>
    <row r="29" spans="1:12" ht="45" x14ac:dyDescent="0.25">
      <c r="A29" s="17">
        <v>45716</v>
      </c>
      <c r="B29" s="18">
        <v>23</v>
      </c>
      <c r="C29" s="18">
        <v>0</v>
      </c>
      <c r="D29" s="2">
        <f t="shared" si="0"/>
        <v>23</v>
      </c>
      <c r="E29" s="18"/>
      <c r="F29" s="2"/>
      <c r="G29" s="2"/>
      <c r="H29" s="2"/>
      <c r="I29" s="2"/>
      <c r="J29" s="2"/>
      <c r="K29" s="19" t="s">
        <v>2498</v>
      </c>
      <c r="L29" s="66" t="s">
        <v>2495</v>
      </c>
    </row>
    <row r="30" spans="1:12" ht="45" x14ac:dyDescent="0.25">
      <c r="A30" s="17">
        <v>45715</v>
      </c>
      <c r="B30" s="18">
        <v>0</v>
      </c>
      <c r="C30" s="18">
        <v>21</v>
      </c>
      <c r="D30" s="2">
        <f t="shared" si="0"/>
        <v>-21</v>
      </c>
      <c r="E30" s="18"/>
      <c r="F30" s="2"/>
      <c r="G30" s="2"/>
      <c r="H30" s="2"/>
      <c r="I30" s="2"/>
      <c r="J30" s="2"/>
      <c r="K30" s="19" t="s">
        <v>2500</v>
      </c>
      <c r="L30" s="66" t="s">
        <v>2497</v>
      </c>
    </row>
    <row r="31" spans="1:12" x14ac:dyDescent="0.25">
      <c r="A31" s="17">
        <v>45716</v>
      </c>
      <c r="B31" s="18">
        <v>1</v>
      </c>
      <c r="C31" s="18">
        <v>1</v>
      </c>
      <c r="D31" s="2">
        <f t="shared" si="0"/>
        <v>0</v>
      </c>
      <c r="E31" s="18">
        <v>1</v>
      </c>
      <c r="F31" s="2"/>
      <c r="G31" s="2"/>
      <c r="H31" s="2"/>
      <c r="I31" s="2"/>
      <c r="J31" s="2"/>
      <c r="K31" s="19" t="s">
        <v>2499</v>
      </c>
      <c r="L31" s="66" t="s">
        <v>2463</v>
      </c>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sheetData>
  <conditionalFormatting sqref="K2">
    <cfRule type="cellIs" dxfId="37" priority="1" operator="lessThan">
      <formula>0</formula>
    </cfRule>
    <cfRule type="cellIs" dxfId="3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3" orientation="landscape" r:id="rId1"/>
  <headerFooter>
    <oddFooter>&amp;C&amp;D / &amp;T&amp;RSeite &amp;P von &amp;N</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L44"/>
  <sheetViews>
    <sheetView workbookViewId="0">
      <pane ySplit="6" topLeftCell="A11" activePane="bottomLeft" state="frozen"/>
      <selection pane="bottomLeft" activeCell="K15" sqref="K1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-43</v>
      </c>
      <c r="L2" s="27"/>
    </row>
    <row r="3" spans="1:12" ht="15.75" thickBot="1" x14ac:dyDescent="0.3">
      <c r="A3" s="5"/>
      <c r="B3" s="2"/>
      <c r="C3" s="2"/>
      <c r="D3" s="2"/>
      <c r="E3" s="2"/>
      <c r="F3" s="2">
        <f>'02.25'!F6</f>
        <v>658</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685</v>
      </c>
      <c r="G6" s="30">
        <f>SUM(B:B)</f>
        <v>99</v>
      </c>
      <c r="H6" s="30">
        <f>SUM(C:C)</f>
        <v>72</v>
      </c>
      <c r="I6" s="30"/>
      <c r="J6" s="33">
        <f>SUM(G6:H6)+SUM(E:E)</f>
        <v>270</v>
      </c>
      <c r="K6" s="112"/>
      <c r="L6" s="50">
        <f>J6/K1</f>
        <v>0.42056074766355139</v>
      </c>
    </row>
    <row r="7" spans="1:12" ht="30" x14ac:dyDescent="0.25">
      <c r="A7" s="17">
        <v>45719</v>
      </c>
      <c r="B7" s="18">
        <v>0</v>
      </c>
      <c r="C7" s="18">
        <v>0</v>
      </c>
      <c r="D7" s="2">
        <f t="shared" ref="D7:D44" si="0">B7-C7</f>
        <v>0</v>
      </c>
      <c r="E7" s="18">
        <v>31</v>
      </c>
      <c r="F7" s="2"/>
      <c r="G7" s="2"/>
      <c r="H7" s="2"/>
      <c r="I7" s="2"/>
      <c r="J7" s="2"/>
      <c r="K7" s="19" t="s">
        <v>107</v>
      </c>
      <c r="L7" s="109" t="s">
        <v>2502</v>
      </c>
    </row>
    <row r="8" spans="1:12" ht="60" x14ac:dyDescent="0.25">
      <c r="A8" s="17">
        <v>45719</v>
      </c>
      <c r="B8" s="18">
        <v>31</v>
      </c>
      <c r="C8" s="18">
        <v>0</v>
      </c>
      <c r="D8" s="2">
        <f t="shared" si="0"/>
        <v>31</v>
      </c>
      <c r="E8" s="18"/>
      <c r="F8" s="2"/>
      <c r="G8" s="2"/>
      <c r="H8" s="2"/>
      <c r="I8" s="2"/>
      <c r="J8" s="2"/>
      <c r="K8" s="19" t="s">
        <v>2503</v>
      </c>
      <c r="L8" s="66" t="s">
        <v>2501</v>
      </c>
    </row>
    <row r="9" spans="1:12" x14ac:dyDescent="0.25">
      <c r="A9" s="17">
        <v>45720</v>
      </c>
      <c r="B9" s="18">
        <v>1</v>
      </c>
      <c r="C9" s="18">
        <v>1</v>
      </c>
      <c r="D9" s="2">
        <f t="shared" si="0"/>
        <v>0</v>
      </c>
      <c r="E9" s="18">
        <v>1</v>
      </c>
      <c r="F9" s="2"/>
      <c r="G9" s="2"/>
      <c r="H9" s="2"/>
      <c r="I9" s="2"/>
      <c r="J9" s="2"/>
      <c r="K9" s="19" t="s">
        <v>2504</v>
      </c>
      <c r="L9" s="66" t="s">
        <v>1965</v>
      </c>
    </row>
    <row r="10" spans="1:12" ht="30" x14ac:dyDescent="0.25">
      <c r="A10" s="17">
        <v>45720</v>
      </c>
      <c r="B10" s="18">
        <v>0</v>
      </c>
      <c r="C10" s="18">
        <v>0</v>
      </c>
      <c r="D10" s="2">
        <f t="shared" si="0"/>
        <v>0</v>
      </c>
      <c r="E10" s="18">
        <v>29</v>
      </c>
      <c r="F10" s="2"/>
      <c r="G10" s="2"/>
      <c r="H10" s="2"/>
      <c r="I10" s="2"/>
      <c r="J10" s="2"/>
      <c r="K10" s="19" t="s">
        <v>107</v>
      </c>
      <c r="L10" s="109" t="s">
        <v>2505</v>
      </c>
    </row>
    <row r="11" spans="1:12" ht="60" x14ac:dyDescent="0.25">
      <c r="A11" s="17">
        <v>45721</v>
      </c>
      <c r="B11" s="18">
        <v>29</v>
      </c>
      <c r="C11" s="18">
        <v>0</v>
      </c>
      <c r="D11" s="2">
        <f t="shared" si="0"/>
        <v>29</v>
      </c>
      <c r="E11" s="18"/>
      <c r="F11" s="2"/>
      <c r="G11" s="2"/>
      <c r="H11" s="2"/>
      <c r="I11" s="2"/>
      <c r="J11" s="2"/>
      <c r="K11" s="19" t="s">
        <v>2507</v>
      </c>
      <c r="L11" s="106" t="s">
        <v>2506</v>
      </c>
    </row>
    <row r="12" spans="1:12" ht="45" x14ac:dyDescent="0.25">
      <c r="A12" s="17">
        <v>45722</v>
      </c>
      <c r="B12" s="18">
        <v>0</v>
      </c>
      <c r="C12" s="18">
        <v>22</v>
      </c>
      <c r="D12" s="2">
        <f t="shared" si="0"/>
        <v>-22</v>
      </c>
      <c r="E12" s="18"/>
      <c r="F12" s="2"/>
      <c r="G12" s="2"/>
      <c r="H12" s="2"/>
      <c r="I12" s="2"/>
      <c r="J12" s="2"/>
      <c r="K12" s="19" t="s">
        <v>2508</v>
      </c>
      <c r="L12" s="106" t="s">
        <v>2509</v>
      </c>
    </row>
    <row r="13" spans="1:12" ht="30" x14ac:dyDescent="0.25">
      <c r="A13" s="17">
        <v>45726</v>
      </c>
      <c r="B13" s="18">
        <v>0</v>
      </c>
      <c r="C13" s="18">
        <v>0</v>
      </c>
      <c r="D13" s="2">
        <f t="shared" si="0"/>
        <v>0</v>
      </c>
      <c r="E13" s="18">
        <v>16</v>
      </c>
      <c r="F13" s="2"/>
      <c r="G13" s="2"/>
      <c r="H13" s="2"/>
      <c r="I13" s="2"/>
      <c r="J13" s="2"/>
      <c r="K13" s="19" t="s">
        <v>107</v>
      </c>
      <c r="L13" s="109" t="s">
        <v>2510</v>
      </c>
    </row>
    <row r="14" spans="1:12" ht="30" x14ac:dyDescent="0.25">
      <c r="A14" s="17">
        <v>45726</v>
      </c>
      <c r="B14" s="18">
        <v>16</v>
      </c>
      <c r="C14" s="18">
        <v>0</v>
      </c>
      <c r="D14" s="2">
        <f t="shared" si="0"/>
        <v>16</v>
      </c>
      <c r="E14" s="18"/>
      <c r="F14" s="2"/>
      <c r="G14" s="2"/>
      <c r="H14" s="2"/>
      <c r="I14" s="2"/>
      <c r="J14" s="2"/>
      <c r="K14" s="19" t="s">
        <v>2512</v>
      </c>
      <c r="L14" s="66" t="s">
        <v>2511</v>
      </c>
    </row>
    <row r="15" spans="1:12" x14ac:dyDescent="0.25">
      <c r="A15" s="17">
        <v>45726</v>
      </c>
      <c r="B15" s="18">
        <v>3</v>
      </c>
      <c r="C15" s="18">
        <v>3</v>
      </c>
      <c r="D15" s="2">
        <f t="shared" si="0"/>
        <v>0</v>
      </c>
      <c r="E15" s="18">
        <v>3</v>
      </c>
      <c r="F15" s="2"/>
      <c r="G15" s="2"/>
      <c r="H15" s="2"/>
      <c r="I15" s="2"/>
      <c r="J15" s="2"/>
      <c r="K15" s="19" t="s">
        <v>2513</v>
      </c>
      <c r="L15" s="106" t="s">
        <v>2514</v>
      </c>
    </row>
    <row r="16" spans="1:12" ht="60" x14ac:dyDescent="0.25">
      <c r="A16" s="17">
        <v>45729</v>
      </c>
      <c r="B16" s="18">
        <v>0</v>
      </c>
      <c r="C16" s="18">
        <v>34</v>
      </c>
      <c r="D16" s="2">
        <f t="shared" si="0"/>
        <v>-34</v>
      </c>
      <c r="E16" s="18"/>
      <c r="F16" s="2"/>
      <c r="G16" s="2"/>
      <c r="H16" s="2"/>
      <c r="I16" s="2"/>
      <c r="J16" s="2"/>
      <c r="K16" s="19" t="s">
        <v>2515</v>
      </c>
      <c r="L16" s="106" t="s">
        <v>2516</v>
      </c>
    </row>
    <row r="17" spans="1:12" ht="30" x14ac:dyDescent="0.25">
      <c r="A17" s="17">
        <v>45733</v>
      </c>
      <c r="B17" s="18">
        <v>0</v>
      </c>
      <c r="C17" s="18">
        <v>0</v>
      </c>
      <c r="D17" s="2">
        <f t="shared" si="0"/>
        <v>0</v>
      </c>
      <c r="E17" s="18">
        <v>19</v>
      </c>
      <c r="F17" s="2"/>
      <c r="G17" s="2"/>
      <c r="H17" s="2"/>
      <c r="I17" s="2"/>
      <c r="J17" s="2"/>
      <c r="K17" s="19" t="s">
        <v>107</v>
      </c>
      <c r="L17" s="109" t="s">
        <v>2518</v>
      </c>
    </row>
    <row r="18" spans="1:12" ht="45" x14ac:dyDescent="0.25">
      <c r="A18" s="17">
        <v>45733</v>
      </c>
      <c r="B18" s="18">
        <v>19</v>
      </c>
      <c r="C18" s="18">
        <v>0</v>
      </c>
      <c r="D18" s="2">
        <f t="shared" si="0"/>
        <v>19</v>
      </c>
      <c r="E18" s="18"/>
      <c r="F18" s="2"/>
      <c r="G18" s="2"/>
      <c r="H18" s="2"/>
      <c r="I18" s="2"/>
      <c r="J18" s="2"/>
      <c r="K18" s="19" t="s">
        <v>2519</v>
      </c>
      <c r="L18" s="106" t="s">
        <v>2517</v>
      </c>
    </row>
    <row r="19" spans="1:12" ht="30" x14ac:dyDescent="0.25">
      <c r="A19" s="17">
        <v>45736</v>
      </c>
      <c r="B19" s="18">
        <v>0</v>
      </c>
      <c r="C19" s="18">
        <v>12</v>
      </c>
      <c r="D19" s="2">
        <f t="shared" si="0"/>
        <v>-12</v>
      </c>
      <c r="E19" s="18"/>
      <c r="F19" s="2"/>
      <c r="G19" s="2"/>
      <c r="H19" s="2"/>
      <c r="I19" s="2"/>
      <c r="J19" s="2"/>
      <c r="K19" s="19" t="s">
        <v>2520</v>
      </c>
      <c r="L19" s="66" t="s">
        <v>2521</v>
      </c>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35" priority="1" operator="lessThan">
      <formula>0</formula>
    </cfRule>
    <cfRule type="cellIs" dxfId="3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L42"/>
  <sheetViews>
    <sheetView workbookViewId="0">
      <pane ySplit="6" topLeftCell="A7" activePane="bottomLeft" state="frozen"/>
      <selection pane="bottomLeft" activeCell="K16" sqref="K16"/>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6</v>
      </c>
      <c r="L2" s="27"/>
    </row>
    <row r="3" spans="1:12" ht="15.75" thickBot="1" x14ac:dyDescent="0.3">
      <c r="A3" s="5"/>
      <c r="B3" s="2"/>
      <c r="C3" s="2"/>
      <c r="D3" s="2"/>
      <c r="E3" s="2"/>
      <c r="F3" s="2">
        <f>'03.25'!F6</f>
        <v>685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636</v>
      </c>
      <c r="G6" s="30">
        <f>SUM(B:B)</f>
        <v>56</v>
      </c>
      <c r="H6" s="30">
        <f>SUM(C:C)</f>
        <v>105</v>
      </c>
      <c r="I6" s="30"/>
      <c r="J6" s="33">
        <f>SUM(G6:H6)+SUM(E:E)</f>
        <v>227</v>
      </c>
      <c r="K6" s="112"/>
      <c r="L6" s="50">
        <f>J6/K1</f>
        <v>0.35358255451713394</v>
      </c>
    </row>
    <row r="7" spans="1:12" ht="30" x14ac:dyDescent="0.25">
      <c r="A7" s="17">
        <v>45743</v>
      </c>
      <c r="B7" s="18">
        <v>0</v>
      </c>
      <c r="C7" s="18">
        <v>15</v>
      </c>
      <c r="D7" s="2">
        <f t="shared" ref="D7:D42" si="0">B7-C7</f>
        <v>-15</v>
      </c>
      <c r="E7" s="18"/>
      <c r="F7" s="2"/>
      <c r="G7" s="2"/>
      <c r="H7" s="2"/>
      <c r="I7" s="2"/>
      <c r="J7" s="2"/>
      <c r="K7" s="19" t="s">
        <v>2522</v>
      </c>
      <c r="L7" s="109" t="s">
        <v>2527</v>
      </c>
    </row>
    <row r="8" spans="1:12" ht="30" x14ac:dyDescent="0.25">
      <c r="A8" s="17">
        <v>45743</v>
      </c>
      <c r="B8" s="18">
        <v>1</v>
      </c>
      <c r="C8" s="18">
        <v>0</v>
      </c>
      <c r="D8" s="2">
        <f t="shared" si="0"/>
        <v>1</v>
      </c>
      <c r="E8" s="18"/>
      <c r="F8" s="2"/>
      <c r="G8" s="2"/>
      <c r="H8" s="2"/>
      <c r="I8" s="2"/>
      <c r="J8" s="2"/>
      <c r="K8" s="19" t="s">
        <v>2523</v>
      </c>
      <c r="L8" s="109" t="s">
        <v>2528</v>
      </c>
    </row>
    <row r="9" spans="1:12" ht="60" x14ac:dyDescent="0.25">
      <c r="A9" s="17">
        <v>45749</v>
      </c>
      <c r="B9" s="18">
        <v>0</v>
      </c>
      <c r="C9" s="18">
        <v>32</v>
      </c>
      <c r="D9" s="2">
        <f t="shared" si="0"/>
        <v>-32</v>
      </c>
      <c r="E9" s="18"/>
      <c r="F9" s="2"/>
      <c r="G9" s="2"/>
      <c r="H9" s="2"/>
      <c r="I9" s="2"/>
      <c r="J9" s="2"/>
      <c r="K9" s="19" t="s">
        <v>2524</v>
      </c>
      <c r="L9" s="106" t="s">
        <v>2525</v>
      </c>
    </row>
    <row r="10" spans="1:12" ht="30" x14ac:dyDescent="0.25">
      <c r="A10" s="17">
        <v>45750</v>
      </c>
      <c r="B10" s="18">
        <v>12</v>
      </c>
      <c r="C10" s="18">
        <v>0</v>
      </c>
      <c r="D10" s="2">
        <f t="shared" si="0"/>
        <v>12</v>
      </c>
      <c r="E10" s="18"/>
      <c r="F10" s="2"/>
      <c r="G10" s="2"/>
      <c r="H10" s="2"/>
      <c r="I10" s="2"/>
      <c r="J10" s="2"/>
      <c r="K10" s="19" t="s">
        <v>2526</v>
      </c>
      <c r="L10" s="106" t="s">
        <v>2525</v>
      </c>
    </row>
    <row r="11" spans="1:12" ht="30" x14ac:dyDescent="0.25">
      <c r="A11" s="17">
        <v>45757</v>
      </c>
      <c r="B11" s="18">
        <v>0</v>
      </c>
      <c r="C11" s="18">
        <v>14</v>
      </c>
      <c r="D11" s="2">
        <f t="shared" si="0"/>
        <v>-14</v>
      </c>
      <c r="E11" s="18"/>
      <c r="F11" s="2"/>
      <c r="G11" s="2"/>
      <c r="H11" s="2"/>
      <c r="I11" s="2"/>
      <c r="J11" s="2"/>
      <c r="K11" s="19" t="s">
        <v>2530</v>
      </c>
      <c r="L11" s="66" t="s">
        <v>2529</v>
      </c>
    </row>
    <row r="12" spans="1:12" x14ac:dyDescent="0.25">
      <c r="A12" s="17">
        <v>45757</v>
      </c>
      <c r="B12" s="18">
        <v>0</v>
      </c>
      <c r="C12" s="18">
        <v>7</v>
      </c>
      <c r="D12" s="2">
        <f t="shared" si="0"/>
        <v>-7</v>
      </c>
      <c r="E12" s="18"/>
      <c r="F12" s="2"/>
      <c r="G12" s="2"/>
      <c r="H12" s="2"/>
      <c r="I12" s="2"/>
      <c r="J12" s="2"/>
      <c r="K12" s="19" t="s">
        <v>2531</v>
      </c>
      <c r="L12" s="66" t="s">
        <v>2532</v>
      </c>
    </row>
    <row r="13" spans="1:12" x14ac:dyDescent="0.25">
      <c r="A13" s="17">
        <v>45757</v>
      </c>
      <c r="B13" s="18">
        <v>9</v>
      </c>
      <c r="C13" s="18">
        <v>0</v>
      </c>
      <c r="D13" s="2">
        <f t="shared" si="0"/>
        <v>9</v>
      </c>
      <c r="E13" s="18"/>
      <c r="F13" s="2"/>
      <c r="G13" s="2"/>
      <c r="H13" s="2"/>
      <c r="I13" s="2"/>
      <c r="J13" s="2"/>
      <c r="K13" s="19" t="s">
        <v>2533</v>
      </c>
      <c r="L13" s="106" t="s">
        <v>2532</v>
      </c>
    </row>
    <row r="14" spans="1:12" ht="30" x14ac:dyDescent="0.25">
      <c r="A14" s="17">
        <v>45761</v>
      </c>
      <c r="B14" s="18">
        <v>0</v>
      </c>
      <c r="C14" s="18">
        <v>0</v>
      </c>
      <c r="D14" s="2">
        <f t="shared" si="0"/>
        <v>0</v>
      </c>
      <c r="E14" s="18">
        <v>26</v>
      </c>
      <c r="F14" s="2"/>
      <c r="G14" s="2"/>
      <c r="H14" s="2"/>
      <c r="I14" s="2"/>
      <c r="J14" s="2"/>
      <c r="K14" s="19" t="s">
        <v>107</v>
      </c>
      <c r="L14" s="109" t="s">
        <v>2534</v>
      </c>
    </row>
    <row r="15" spans="1:12" ht="30" x14ac:dyDescent="0.25">
      <c r="A15" s="17">
        <v>45762</v>
      </c>
      <c r="B15" s="18">
        <v>13</v>
      </c>
      <c r="C15" s="18">
        <v>0</v>
      </c>
      <c r="D15" s="2">
        <f t="shared" si="0"/>
        <v>13</v>
      </c>
      <c r="E15" s="18"/>
      <c r="F15" s="2"/>
      <c r="G15" s="2"/>
      <c r="H15" s="2"/>
      <c r="I15" s="2"/>
      <c r="J15" s="2"/>
      <c r="K15" s="19" t="s">
        <v>2539</v>
      </c>
      <c r="L15" s="106" t="s">
        <v>2535</v>
      </c>
    </row>
    <row r="16" spans="1:12" x14ac:dyDescent="0.25">
      <c r="A16" s="17">
        <v>45762</v>
      </c>
      <c r="B16" s="18">
        <v>2</v>
      </c>
      <c r="C16" s="18">
        <v>2</v>
      </c>
      <c r="D16" s="2">
        <f t="shared" si="0"/>
        <v>0</v>
      </c>
      <c r="E16" s="18">
        <v>2</v>
      </c>
      <c r="F16" s="2"/>
      <c r="G16" s="2"/>
      <c r="H16" s="2"/>
      <c r="I16" s="2"/>
      <c r="J16" s="2"/>
      <c r="K16" s="19" t="s">
        <v>2536</v>
      </c>
      <c r="L16" s="106" t="s">
        <v>2537</v>
      </c>
    </row>
    <row r="17" spans="1:12" ht="30" x14ac:dyDescent="0.25">
      <c r="A17" s="17">
        <v>45764</v>
      </c>
      <c r="B17" s="18">
        <v>0</v>
      </c>
      <c r="C17" s="18">
        <v>14</v>
      </c>
      <c r="D17" s="2">
        <f t="shared" si="0"/>
        <v>-14</v>
      </c>
      <c r="E17" s="18"/>
      <c r="F17" s="2"/>
      <c r="G17" s="2"/>
      <c r="H17" s="2"/>
      <c r="I17" s="2"/>
      <c r="J17" s="2"/>
      <c r="K17" s="19" t="s">
        <v>2538</v>
      </c>
      <c r="L17" s="66" t="s">
        <v>2537</v>
      </c>
    </row>
    <row r="18" spans="1:12" ht="30" x14ac:dyDescent="0.25">
      <c r="A18" s="17">
        <v>45771</v>
      </c>
      <c r="B18" s="18">
        <v>0</v>
      </c>
      <c r="C18" s="18">
        <v>12</v>
      </c>
      <c r="D18" s="2">
        <f t="shared" si="0"/>
        <v>-12</v>
      </c>
      <c r="E18" s="18"/>
      <c r="F18" s="2"/>
      <c r="G18" s="2"/>
      <c r="H18" s="2"/>
      <c r="I18" s="2"/>
      <c r="J18" s="2"/>
      <c r="K18" s="19" t="s">
        <v>2540</v>
      </c>
      <c r="L18" s="106" t="s">
        <v>2541</v>
      </c>
    </row>
    <row r="19" spans="1:12" ht="30" x14ac:dyDescent="0.25">
      <c r="A19" s="21">
        <v>45776</v>
      </c>
      <c r="B19" s="22">
        <v>0</v>
      </c>
      <c r="C19" s="22">
        <v>0</v>
      </c>
      <c r="D19" s="2">
        <f t="shared" si="0"/>
        <v>0</v>
      </c>
      <c r="E19" s="22">
        <v>38</v>
      </c>
      <c r="F19" s="23"/>
      <c r="G19" s="23"/>
      <c r="H19" s="23"/>
      <c r="I19" s="23"/>
      <c r="J19" s="23"/>
      <c r="K19" s="19" t="s">
        <v>107</v>
      </c>
      <c r="L19" s="109" t="s">
        <v>2542</v>
      </c>
    </row>
    <row r="20" spans="1:12" ht="45" x14ac:dyDescent="0.25">
      <c r="A20" s="17">
        <v>45776</v>
      </c>
      <c r="B20" s="18">
        <v>19</v>
      </c>
      <c r="C20" s="18">
        <v>0</v>
      </c>
      <c r="D20" s="2">
        <f t="shared" si="0"/>
        <v>19</v>
      </c>
      <c r="E20" s="18"/>
      <c r="F20" s="2"/>
      <c r="G20" s="2"/>
      <c r="H20" s="2"/>
      <c r="I20" s="2"/>
      <c r="J20" s="2"/>
      <c r="K20" s="19" t="s">
        <v>2544</v>
      </c>
      <c r="L20" s="106" t="s">
        <v>2543</v>
      </c>
    </row>
    <row r="21" spans="1:12" x14ac:dyDescent="0.25">
      <c r="A21" s="17">
        <v>45777</v>
      </c>
      <c r="B21" s="18">
        <v>0</v>
      </c>
      <c r="C21" s="18">
        <v>9</v>
      </c>
      <c r="D21" s="2">
        <f t="shared" si="0"/>
        <v>-9</v>
      </c>
      <c r="E21" s="18"/>
      <c r="F21" s="2"/>
      <c r="G21" s="2"/>
      <c r="H21" s="2"/>
      <c r="I21" s="2"/>
      <c r="J21" s="2"/>
      <c r="K21" s="19" t="s">
        <v>2545</v>
      </c>
      <c r="L21" s="106" t="s">
        <v>2546</v>
      </c>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sheetData>
  <conditionalFormatting sqref="K2">
    <cfRule type="cellIs" dxfId="33" priority="1" operator="lessThan">
      <formula>0</formula>
    </cfRule>
    <cfRule type="cellIs" dxfId="3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L44"/>
  <sheetViews>
    <sheetView workbookViewId="0">
      <pane ySplit="6" topLeftCell="A7" activePane="bottomLeft" state="frozen"/>
      <selection pane="bottomLeft" activeCell="K12" sqref="K12"/>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32</v>
      </c>
      <c r="L2" s="27"/>
    </row>
    <row r="3" spans="1:12" ht="15.75" thickBot="1" x14ac:dyDescent="0.3">
      <c r="A3" s="5"/>
      <c r="B3" s="2"/>
      <c r="C3" s="2"/>
      <c r="D3" s="2"/>
      <c r="E3" s="2"/>
      <c r="F3" s="2">
        <f>'04.25'!F6</f>
        <v>636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610</v>
      </c>
      <c r="G6" s="30">
        <f>SUM(B:B)</f>
        <v>31</v>
      </c>
      <c r="H6" s="30">
        <f>SUM(C:C)</f>
        <v>57</v>
      </c>
      <c r="I6" s="30"/>
      <c r="J6" s="33">
        <f>SUM(G6:H6)+SUM(E:E)</f>
        <v>136</v>
      </c>
      <c r="K6" s="112"/>
      <c r="L6" s="50">
        <f>J6/K1</f>
        <v>0.21183800623052959</v>
      </c>
    </row>
    <row r="7" spans="1:12" ht="30" x14ac:dyDescent="0.25">
      <c r="A7" s="17">
        <v>45785</v>
      </c>
      <c r="B7" s="18">
        <v>0</v>
      </c>
      <c r="C7" s="18">
        <v>0</v>
      </c>
      <c r="D7" s="2">
        <f t="shared" ref="D7:D44" si="0">B7-C7</f>
        <v>0</v>
      </c>
      <c r="E7" s="18">
        <v>16</v>
      </c>
      <c r="F7" s="2"/>
      <c r="G7" s="2"/>
      <c r="H7" s="2"/>
      <c r="I7" s="2"/>
      <c r="J7" s="2"/>
      <c r="K7" s="19" t="s">
        <v>107</v>
      </c>
      <c r="L7" s="109" t="s">
        <v>2548</v>
      </c>
    </row>
    <row r="8" spans="1:12" x14ac:dyDescent="0.25">
      <c r="A8" s="17">
        <v>45792</v>
      </c>
      <c r="B8" s="18">
        <v>8</v>
      </c>
      <c r="C8" s="18">
        <v>0</v>
      </c>
      <c r="D8" s="2">
        <f t="shared" si="0"/>
        <v>8</v>
      </c>
      <c r="E8" s="18"/>
      <c r="F8" s="2"/>
      <c r="G8" s="2"/>
      <c r="H8" s="2"/>
      <c r="I8" s="2"/>
      <c r="J8" s="2"/>
      <c r="K8" s="19" t="s">
        <v>2547</v>
      </c>
      <c r="L8" s="66" t="s">
        <v>2549</v>
      </c>
    </row>
    <row r="9" spans="1:12" ht="45" x14ac:dyDescent="0.25">
      <c r="A9" s="17">
        <v>45792</v>
      </c>
      <c r="B9" s="18">
        <v>0</v>
      </c>
      <c r="C9" s="18">
        <v>27</v>
      </c>
      <c r="D9" s="2">
        <f t="shared" si="0"/>
        <v>-27</v>
      </c>
      <c r="E9" s="18"/>
      <c r="F9" s="2"/>
      <c r="G9" s="2"/>
      <c r="H9" s="2"/>
      <c r="I9" s="2"/>
      <c r="J9" s="2"/>
      <c r="K9" s="19" t="s">
        <v>2550</v>
      </c>
      <c r="L9" s="66" t="s">
        <v>2551</v>
      </c>
    </row>
    <row r="10" spans="1:12" x14ac:dyDescent="0.25">
      <c r="A10" s="17">
        <v>45792</v>
      </c>
      <c r="B10" s="18">
        <v>8</v>
      </c>
      <c r="C10" s="18">
        <v>0</v>
      </c>
      <c r="D10" s="2">
        <f t="shared" si="0"/>
        <v>8</v>
      </c>
      <c r="E10" s="18"/>
      <c r="F10" s="2"/>
      <c r="G10" s="2"/>
      <c r="H10" s="2"/>
      <c r="I10" s="2"/>
      <c r="J10" s="2"/>
      <c r="K10" s="19" t="s">
        <v>2552</v>
      </c>
      <c r="L10" s="66" t="s">
        <v>2551</v>
      </c>
    </row>
    <row r="11" spans="1:12" ht="30" x14ac:dyDescent="0.25">
      <c r="A11" s="17">
        <v>45796</v>
      </c>
      <c r="B11" s="18">
        <v>0</v>
      </c>
      <c r="C11" s="18">
        <v>0</v>
      </c>
      <c r="D11" s="2">
        <f t="shared" si="0"/>
        <v>0</v>
      </c>
      <c r="E11" s="18">
        <v>20</v>
      </c>
      <c r="F11" s="2"/>
      <c r="G11" s="2"/>
      <c r="H11" s="2"/>
      <c r="I11" s="2"/>
      <c r="J11" s="2"/>
      <c r="K11" s="19" t="s">
        <v>107</v>
      </c>
      <c r="L11" s="109" t="s">
        <v>2555</v>
      </c>
    </row>
    <row r="12" spans="1:12" ht="30" x14ac:dyDescent="0.25">
      <c r="A12" s="17">
        <v>45796</v>
      </c>
      <c r="B12" s="18">
        <v>10</v>
      </c>
      <c r="C12" s="18">
        <v>0</v>
      </c>
      <c r="D12" s="2">
        <f t="shared" si="0"/>
        <v>10</v>
      </c>
      <c r="E12" s="18"/>
      <c r="F12" s="2"/>
      <c r="G12" s="2"/>
      <c r="H12" s="2"/>
      <c r="I12" s="2"/>
      <c r="J12" s="2"/>
      <c r="K12" s="19" t="s">
        <v>2553</v>
      </c>
      <c r="L12" s="106" t="s">
        <v>2554</v>
      </c>
    </row>
    <row r="13" spans="1:12" ht="30" x14ac:dyDescent="0.25">
      <c r="A13" s="17">
        <v>45799</v>
      </c>
      <c r="B13" s="18">
        <v>0</v>
      </c>
      <c r="C13" s="18">
        <v>14</v>
      </c>
      <c r="D13" s="2">
        <f t="shared" si="0"/>
        <v>-14</v>
      </c>
      <c r="E13" s="18"/>
      <c r="F13" s="2"/>
      <c r="G13" s="2"/>
      <c r="H13" s="2"/>
      <c r="I13" s="2"/>
      <c r="J13" s="2"/>
      <c r="K13" s="19" t="s">
        <v>2556</v>
      </c>
      <c r="L13" s="66" t="s">
        <v>2557</v>
      </c>
    </row>
    <row r="14" spans="1:12" ht="30" x14ac:dyDescent="0.25">
      <c r="A14" s="17">
        <v>45800</v>
      </c>
      <c r="B14" s="18">
        <v>0</v>
      </c>
      <c r="C14" s="18">
        <v>0</v>
      </c>
      <c r="D14" s="2">
        <f t="shared" si="0"/>
        <v>0</v>
      </c>
      <c r="E14" s="18">
        <v>10</v>
      </c>
      <c r="F14" s="2"/>
      <c r="G14" s="2"/>
      <c r="H14" s="2"/>
      <c r="I14" s="2"/>
      <c r="J14" s="2"/>
      <c r="K14" s="19" t="s">
        <v>107</v>
      </c>
      <c r="L14" s="109" t="s">
        <v>2558</v>
      </c>
    </row>
    <row r="15" spans="1:12" x14ac:dyDescent="0.25">
      <c r="A15" s="17">
        <v>45803</v>
      </c>
      <c r="B15" s="18">
        <v>5</v>
      </c>
      <c r="C15" s="18">
        <v>0</v>
      </c>
      <c r="D15" s="2">
        <f t="shared" si="0"/>
        <v>5</v>
      </c>
      <c r="E15" s="18"/>
      <c r="F15" s="2"/>
      <c r="G15" s="2"/>
      <c r="H15" s="2"/>
      <c r="I15" s="2"/>
      <c r="J15" s="2"/>
      <c r="K15" s="19" t="s">
        <v>2560</v>
      </c>
      <c r="L15" s="106" t="s">
        <v>2559</v>
      </c>
    </row>
    <row r="16" spans="1:12" ht="30" x14ac:dyDescent="0.25">
      <c r="A16" s="17">
        <v>45805</v>
      </c>
      <c r="B16" s="18">
        <v>0</v>
      </c>
      <c r="C16" s="18">
        <v>16</v>
      </c>
      <c r="D16" s="2">
        <f t="shared" si="0"/>
        <v>-16</v>
      </c>
      <c r="E16" s="18"/>
      <c r="F16" s="2"/>
      <c r="G16" s="2"/>
      <c r="H16" s="2"/>
      <c r="I16" s="2"/>
      <c r="J16" s="2"/>
      <c r="K16" s="19" t="s">
        <v>2561</v>
      </c>
      <c r="L16" s="106" t="s">
        <v>2562</v>
      </c>
    </row>
    <row r="17" spans="1:12" x14ac:dyDescent="0.25">
      <c r="A17" s="17">
        <v>45805</v>
      </c>
      <c r="B17" s="18">
        <v>0</v>
      </c>
      <c r="C17" s="18">
        <v>0</v>
      </c>
      <c r="D17" s="2">
        <f t="shared" si="0"/>
        <v>0</v>
      </c>
      <c r="E17" s="18">
        <v>2</v>
      </c>
      <c r="F17" s="2"/>
      <c r="G17" s="2"/>
      <c r="H17" s="2"/>
      <c r="I17" s="2"/>
      <c r="J17" s="2"/>
      <c r="K17" s="19" t="s">
        <v>2563</v>
      </c>
      <c r="L17" s="106" t="s">
        <v>2562</v>
      </c>
    </row>
    <row r="18" spans="1:12" x14ac:dyDescent="0.25">
      <c r="A18" s="17"/>
      <c r="B18" s="18"/>
      <c r="C18" s="18"/>
      <c r="D18" s="2">
        <f t="shared" si="0"/>
        <v>0</v>
      </c>
      <c r="E18" s="18"/>
      <c r="F18" s="2"/>
      <c r="G18" s="2"/>
      <c r="H18" s="2"/>
      <c r="I18" s="2"/>
      <c r="J18" s="2"/>
      <c r="K18" s="19"/>
      <c r="L18" s="106"/>
    </row>
    <row r="19" spans="1:12" x14ac:dyDescent="0.25">
      <c r="A19" s="17"/>
      <c r="B19" s="18"/>
      <c r="C19" s="18"/>
      <c r="D19" s="2">
        <f t="shared" si="0"/>
        <v>0</v>
      </c>
      <c r="E19" s="18"/>
      <c r="F19" s="2"/>
      <c r="G19" s="2"/>
      <c r="H19" s="2"/>
      <c r="I19" s="2"/>
      <c r="J19" s="2"/>
      <c r="K19" s="19"/>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31" priority="1" operator="lessThan">
      <formula>0</formula>
    </cfRule>
    <cfRule type="cellIs" dxfId="3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L44"/>
  <sheetViews>
    <sheetView workbookViewId="0">
      <pane ySplit="6" topLeftCell="A7" activePane="bottomLeft" state="frozen"/>
      <selection pane="bottomLeft" activeCell="G16" sqref="G16"/>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27</v>
      </c>
      <c r="L2" s="27"/>
    </row>
    <row r="3" spans="1:12" ht="15.75" thickBot="1" x14ac:dyDescent="0.3">
      <c r="A3" s="5"/>
      <c r="B3" s="2"/>
      <c r="C3" s="2"/>
      <c r="D3" s="2"/>
      <c r="E3" s="2"/>
      <c r="F3" s="2">
        <f>'05.25'!F6</f>
        <v>610</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615</v>
      </c>
      <c r="G6" s="30">
        <f>SUM(B:B)</f>
        <v>58</v>
      </c>
      <c r="H6" s="30">
        <f>SUM(C:C)</f>
        <v>53</v>
      </c>
      <c r="I6" s="30"/>
      <c r="J6" s="33">
        <f>SUM(G6:H6)+SUM(E:E)</f>
        <v>224</v>
      </c>
      <c r="K6" s="112"/>
      <c r="L6" s="50">
        <f>J6/K1</f>
        <v>0.34890965732087226</v>
      </c>
    </row>
    <row r="7" spans="1:12" ht="30" x14ac:dyDescent="0.25">
      <c r="A7" s="17">
        <v>45811</v>
      </c>
      <c r="B7" s="18">
        <v>0</v>
      </c>
      <c r="C7" s="18">
        <v>0</v>
      </c>
      <c r="D7" s="2">
        <f t="shared" ref="D7:D44" si="0">B7-C7</f>
        <v>0</v>
      </c>
      <c r="E7" s="18">
        <v>32</v>
      </c>
      <c r="F7" s="2"/>
      <c r="G7" s="2"/>
      <c r="H7" s="2"/>
      <c r="I7" s="2"/>
      <c r="J7" s="2"/>
      <c r="K7" s="19" t="s">
        <v>107</v>
      </c>
      <c r="L7" s="109" t="s">
        <v>2564</v>
      </c>
    </row>
    <row r="8" spans="1:12" ht="30" x14ac:dyDescent="0.25">
      <c r="A8" s="17">
        <v>45811</v>
      </c>
      <c r="B8" s="18">
        <v>16</v>
      </c>
      <c r="C8" s="18">
        <v>0</v>
      </c>
      <c r="D8" s="2">
        <f t="shared" si="0"/>
        <v>16</v>
      </c>
      <c r="E8" s="18"/>
      <c r="F8" s="2"/>
      <c r="G8" s="2"/>
      <c r="H8" s="2"/>
      <c r="I8" s="2"/>
      <c r="J8" s="2"/>
      <c r="K8" s="19" t="s">
        <v>2566</v>
      </c>
      <c r="L8" s="66" t="s">
        <v>2565</v>
      </c>
    </row>
    <row r="9" spans="1:12" ht="30" x14ac:dyDescent="0.25">
      <c r="A9" s="17">
        <v>45813</v>
      </c>
      <c r="B9" s="18">
        <v>0</v>
      </c>
      <c r="C9" s="18">
        <v>17</v>
      </c>
      <c r="D9" s="2">
        <f t="shared" si="0"/>
        <v>-17</v>
      </c>
      <c r="E9" s="18"/>
      <c r="F9" s="2"/>
      <c r="G9" s="2"/>
      <c r="H9" s="2"/>
      <c r="I9" s="2"/>
      <c r="J9" s="2"/>
      <c r="K9" s="19" t="s">
        <v>2567</v>
      </c>
      <c r="L9" s="66" t="s">
        <v>2568</v>
      </c>
    </row>
    <row r="10" spans="1:12" ht="30" x14ac:dyDescent="0.25">
      <c r="A10" s="17">
        <v>45824</v>
      </c>
      <c r="B10" s="18">
        <v>0</v>
      </c>
      <c r="C10" s="18">
        <v>0</v>
      </c>
      <c r="D10" s="2">
        <f t="shared" si="0"/>
        <v>0</v>
      </c>
      <c r="E10" s="18">
        <v>42</v>
      </c>
      <c r="F10" s="2"/>
      <c r="G10" s="2"/>
      <c r="H10" s="2"/>
      <c r="I10" s="2"/>
      <c r="J10" s="2"/>
      <c r="K10" s="19" t="s">
        <v>107</v>
      </c>
      <c r="L10" s="109" t="s">
        <v>2569</v>
      </c>
    </row>
    <row r="11" spans="1:12" ht="45" x14ac:dyDescent="0.25">
      <c r="A11" s="17">
        <v>45825</v>
      </c>
      <c r="B11" s="18">
        <v>21</v>
      </c>
      <c r="C11" s="18">
        <v>0</v>
      </c>
      <c r="D11" s="2">
        <f t="shared" si="0"/>
        <v>21</v>
      </c>
      <c r="E11" s="18"/>
      <c r="F11" s="2"/>
      <c r="G11" s="2"/>
      <c r="H11" s="2"/>
      <c r="I11" s="2"/>
      <c r="J11" s="2"/>
      <c r="K11" s="19" t="s">
        <v>2571</v>
      </c>
      <c r="L11" s="106" t="s">
        <v>2576</v>
      </c>
    </row>
    <row r="12" spans="1:12" x14ac:dyDescent="0.25">
      <c r="A12" s="17">
        <v>45824</v>
      </c>
      <c r="B12" s="18">
        <v>3</v>
      </c>
      <c r="C12" s="18">
        <v>3</v>
      </c>
      <c r="D12" s="2">
        <f t="shared" si="0"/>
        <v>0</v>
      </c>
      <c r="E12" s="18">
        <v>3</v>
      </c>
      <c r="F12" s="2"/>
      <c r="G12" s="2"/>
      <c r="H12" s="2"/>
      <c r="I12" s="2"/>
      <c r="J12" s="2"/>
      <c r="K12" s="19" t="s">
        <v>2570</v>
      </c>
      <c r="L12" s="106" t="s">
        <v>2575</v>
      </c>
    </row>
    <row r="13" spans="1:12" ht="30" x14ac:dyDescent="0.25">
      <c r="A13" s="17">
        <v>45826</v>
      </c>
      <c r="B13" s="18">
        <v>0</v>
      </c>
      <c r="C13" s="18">
        <v>0</v>
      </c>
      <c r="D13" s="2">
        <f t="shared" si="0"/>
        <v>0</v>
      </c>
      <c r="E13" s="18">
        <v>20</v>
      </c>
      <c r="F13" s="2"/>
      <c r="G13" s="2"/>
      <c r="H13" s="2"/>
      <c r="I13" s="2"/>
      <c r="J13" s="2"/>
      <c r="K13" s="19" t="s">
        <v>107</v>
      </c>
      <c r="L13" s="109" t="s">
        <v>2572</v>
      </c>
    </row>
    <row r="14" spans="1:12" ht="30" x14ac:dyDescent="0.25">
      <c r="A14" s="17">
        <v>45826</v>
      </c>
      <c r="B14" s="18">
        <v>10</v>
      </c>
      <c r="C14" s="18">
        <v>0</v>
      </c>
      <c r="D14" s="2">
        <f t="shared" si="0"/>
        <v>10</v>
      </c>
      <c r="E14" s="18"/>
      <c r="F14" s="2"/>
      <c r="G14" s="2"/>
      <c r="H14" s="2"/>
      <c r="I14" s="2"/>
      <c r="J14" s="2"/>
      <c r="K14" s="19" t="s">
        <v>2574</v>
      </c>
      <c r="L14" s="66" t="s">
        <v>2573</v>
      </c>
    </row>
    <row r="15" spans="1:12" ht="30" x14ac:dyDescent="0.25">
      <c r="A15" s="17">
        <v>45827</v>
      </c>
      <c r="B15" s="18">
        <v>0</v>
      </c>
      <c r="C15" s="18">
        <v>15</v>
      </c>
      <c r="D15" s="2">
        <f t="shared" si="0"/>
        <v>-15</v>
      </c>
      <c r="E15" s="18"/>
      <c r="F15" s="2"/>
      <c r="G15" s="2"/>
      <c r="H15" s="2"/>
      <c r="I15" s="2"/>
      <c r="J15" s="2"/>
      <c r="K15" s="19" t="s">
        <v>2577</v>
      </c>
      <c r="L15" s="106" t="s">
        <v>2578</v>
      </c>
    </row>
    <row r="16" spans="1:12" ht="30" x14ac:dyDescent="0.25">
      <c r="A16" s="17">
        <v>45834</v>
      </c>
      <c r="B16" s="18">
        <v>0</v>
      </c>
      <c r="C16" s="18">
        <v>18</v>
      </c>
      <c r="D16" s="2">
        <f t="shared" si="0"/>
        <v>-18</v>
      </c>
      <c r="E16" s="18"/>
      <c r="F16" s="2"/>
      <c r="G16" s="2"/>
      <c r="H16" s="2"/>
      <c r="I16" s="2"/>
      <c r="J16" s="2"/>
      <c r="K16" s="19" t="s">
        <v>2579</v>
      </c>
      <c r="L16" s="106" t="s">
        <v>2580</v>
      </c>
    </row>
    <row r="17" spans="1:12" ht="30" x14ac:dyDescent="0.25">
      <c r="A17" s="17">
        <v>45835</v>
      </c>
      <c r="B17" s="18">
        <v>0</v>
      </c>
      <c r="C17" s="18">
        <v>0</v>
      </c>
      <c r="D17" s="2">
        <f t="shared" si="0"/>
        <v>0</v>
      </c>
      <c r="E17" s="18">
        <v>16</v>
      </c>
      <c r="F17" s="2"/>
      <c r="G17" s="2"/>
      <c r="H17" s="2"/>
      <c r="I17" s="2"/>
      <c r="J17" s="2"/>
      <c r="K17" s="19" t="s">
        <v>107</v>
      </c>
      <c r="L17" s="109" t="s">
        <v>2582</v>
      </c>
    </row>
    <row r="18" spans="1:12" x14ac:dyDescent="0.25">
      <c r="A18" s="17">
        <v>45835</v>
      </c>
      <c r="B18" s="18">
        <v>8</v>
      </c>
      <c r="C18" s="18">
        <v>0</v>
      </c>
      <c r="D18" s="2">
        <f t="shared" si="0"/>
        <v>8</v>
      </c>
      <c r="E18" s="18"/>
      <c r="F18" s="2"/>
      <c r="G18" s="2"/>
      <c r="H18" s="2"/>
      <c r="I18" s="2"/>
      <c r="J18" s="2"/>
      <c r="K18" s="19" t="s">
        <v>2583</v>
      </c>
      <c r="L18" s="106" t="s">
        <v>2581</v>
      </c>
    </row>
    <row r="19" spans="1:12" x14ac:dyDescent="0.25">
      <c r="A19" s="17"/>
      <c r="B19" s="18"/>
      <c r="C19" s="18"/>
      <c r="D19" s="2">
        <f t="shared" si="0"/>
        <v>0</v>
      </c>
      <c r="E19" s="18"/>
      <c r="F19" s="2"/>
      <c r="G19" s="2"/>
      <c r="H19" s="2"/>
      <c r="I19" s="2"/>
      <c r="J19" s="2"/>
      <c r="K19" s="19"/>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29" priority="1" operator="lessThan">
      <formula>0</formula>
    </cfRule>
    <cfRule type="cellIs" dxfId="2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1"/>
  <headerFooter>
    <oddFooter>&amp;C&amp;D / &amp;T&amp;RSeite &amp;P von &amp;N</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L42"/>
  <sheetViews>
    <sheetView workbookViewId="0">
      <pane ySplit="6" topLeftCell="A7" activePane="bottomLeft" state="frozen"/>
      <selection pane="bottomLeft" activeCell="K12" sqref="K12"/>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89</v>
      </c>
      <c r="L2" s="27"/>
    </row>
    <row r="3" spans="1:12" ht="15.75" thickBot="1" x14ac:dyDescent="0.3">
      <c r="A3" s="5"/>
      <c r="B3" s="2"/>
      <c r="C3" s="2"/>
      <c r="D3" s="2"/>
      <c r="E3" s="2"/>
      <c r="F3" s="2">
        <f>'06.25'!F6</f>
        <v>615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553</v>
      </c>
      <c r="G6" s="30">
        <f>SUM(B:B)</f>
        <v>53</v>
      </c>
      <c r="H6" s="30">
        <f>SUM(C:C)</f>
        <v>115</v>
      </c>
      <c r="I6" s="30"/>
      <c r="J6" s="33">
        <f>SUM(G6:H6)+SUM(E:E)</f>
        <v>196</v>
      </c>
      <c r="K6" s="112"/>
      <c r="L6" s="50">
        <f>J6/K1</f>
        <v>0.30529595015576322</v>
      </c>
    </row>
    <row r="7" spans="1:12" ht="60" x14ac:dyDescent="0.25">
      <c r="A7" s="17">
        <v>45841</v>
      </c>
      <c r="B7" s="18">
        <v>0</v>
      </c>
      <c r="C7" s="18">
        <v>29</v>
      </c>
      <c r="D7" s="2">
        <f t="shared" ref="D7:D42" si="0">B7-C7</f>
        <v>-29</v>
      </c>
      <c r="E7" s="18"/>
      <c r="F7" s="2"/>
      <c r="G7" s="2"/>
      <c r="H7" s="2"/>
      <c r="I7" s="2"/>
      <c r="J7" s="2"/>
      <c r="K7" s="19" t="s">
        <v>2584</v>
      </c>
      <c r="L7" s="66" t="s">
        <v>2585</v>
      </c>
    </row>
    <row r="8" spans="1:12" ht="30" x14ac:dyDescent="0.25">
      <c r="A8" s="17">
        <v>45841</v>
      </c>
      <c r="B8" s="18">
        <v>16</v>
      </c>
      <c r="C8" s="18">
        <v>0</v>
      </c>
      <c r="D8" s="2">
        <f t="shared" si="0"/>
        <v>16</v>
      </c>
      <c r="E8" s="18"/>
      <c r="F8" s="2"/>
      <c r="G8" s="2"/>
      <c r="H8" s="2"/>
      <c r="I8" s="2"/>
      <c r="J8" s="2"/>
      <c r="K8" s="19" t="s">
        <v>2586</v>
      </c>
      <c r="L8" s="66" t="s">
        <v>2585</v>
      </c>
    </row>
    <row r="9" spans="1:12" x14ac:dyDescent="0.25">
      <c r="A9" s="17">
        <v>45847</v>
      </c>
      <c r="B9" s="18">
        <v>0</v>
      </c>
      <c r="C9" s="18">
        <v>1</v>
      </c>
      <c r="D9" s="2">
        <f t="shared" si="0"/>
        <v>-1</v>
      </c>
      <c r="E9" s="18"/>
      <c r="F9" s="2"/>
      <c r="G9" s="2"/>
      <c r="H9" s="2"/>
      <c r="I9" s="2"/>
      <c r="J9" s="2"/>
      <c r="K9" s="19">
        <v>634253</v>
      </c>
      <c r="L9" s="106" t="s">
        <v>2587</v>
      </c>
    </row>
    <row r="10" spans="1:12" ht="30" x14ac:dyDescent="0.25">
      <c r="A10" s="17">
        <v>45848</v>
      </c>
      <c r="B10" s="18">
        <v>0</v>
      </c>
      <c r="C10" s="18">
        <v>16</v>
      </c>
      <c r="D10" s="2">
        <f t="shared" si="0"/>
        <v>-16</v>
      </c>
      <c r="E10" s="18"/>
      <c r="F10" s="2"/>
      <c r="G10" s="2"/>
      <c r="H10" s="2"/>
      <c r="I10" s="2"/>
      <c r="J10" s="2"/>
      <c r="K10" s="19" t="s">
        <v>2588</v>
      </c>
      <c r="L10" s="106" t="s">
        <v>2589</v>
      </c>
    </row>
    <row r="11" spans="1:12" x14ac:dyDescent="0.25">
      <c r="A11" s="17">
        <v>45847</v>
      </c>
      <c r="B11" s="18">
        <v>0</v>
      </c>
      <c r="C11" s="18">
        <v>2</v>
      </c>
      <c r="D11" s="2">
        <f t="shared" si="0"/>
        <v>-2</v>
      </c>
      <c r="E11" s="18"/>
      <c r="F11" s="2"/>
      <c r="G11" s="2"/>
      <c r="H11" s="2"/>
      <c r="I11" s="2"/>
      <c r="J11" s="2"/>
      <c r="K11" s="19" t="s">
        <v>2590</v>
      </c>
      <c r="L11" s="66" t="s">
        <v>2591</v>
      </c>
    </row>
    <row r="12" spans="1:12" ht="30" x14ac:dyDescent="0.25">
      <c r="A12" s="17">
        <v>45855</v>
      </c>
      <c r="B12" s="18">
        <v>0</v>
      </c>
      <c r="C12" s="18">
        <v>17</v>
      </c>
      <c r="D12" s="2">
        <f t="shared" si="0"/>
        <v>-17</v>
      </c>
      <c r="E12" s="18"/>
      <c r="F12" s="2"/>
      <c r="G12" s="2"/>
      <c r="H12" s="2"/>
      <c r="I12" s="2"/>
      <c r="J12" s="2"/>
      <c r="K12" s="19" t="s">
        <v>2592</v>
      </c>
      <c r="L12" s="66" t="s">
        <v>2593</v>
      </c>
    </row>
    <row r="13" spans="1:12" ht="60" x14ac:dyDescent="0.25">
      <c r="A13" s="17">
        <v>45862</v>
      </c>
      <c r="B13" s="18">
        <v>0</v>
      </c>
      <c r="C13" s="18">
        <v>29</v>
      </c>
      <c r="D13" s="2">
        <f t="shared" si="0"/>
        <v>-29</v>
      </c>
      <c r="E13" s="18"/>
      <c r="F13" s="2"/>
      <c r="G13" s="2"/>
      <c r="H13" s="2"/>
      <c r="I13" s="2"/>
      <c r="J13" s="2"/>
      <c r="K13" s="19" t="s">
        <v>2596</v>
      </c>
      <c r="L13" s="106" t="s">
        <v>2603</v>
      </c>
    </row>
    <row r="14" spans="1:12" ht="30" x14ac:dyDescent="0.25">
      <c r="A14" s="17">
        <v>45862</v>
      </c>
      <c r="B14" s="18">
        <v>4</v>
      </c>
      <c r="C14" s="18">
        <v>4</v>
      </c>
      <c r="D14" s="2">
        <f t="shared" si="0"/>
        <v>0</v>
      </c>
      <c r="E14" s="18">
        <v>4</v>
      </c>
      <c r="F14" s="2"/>
      <c r="G14" s="2"/>
      <c r="H14" s="2"/>
      <c r="I14" s="2"/>
      <c r="J14" s="2"/>
      <c r="K14" s="19" t="s">
        <v>2594</v>
      </c>
      <c r="L14" s="106" t="s">
        <v>2595</v>
      </c>
    </row>
    <row r="15" spans="1:12" ht="30" x14ac:dyDescent="0.25">
      <c r="A15" s="17">
        <v>45863</v>
      </c>
      <c r="B15" s="18">
        <v>0</v>
      </c>
      <c r="C15" s="18">
        <v>0</v>
      </c>
      <c r="D15" s="2">
        <f t="shared" si="0"/>
        <v>0</v>
      </c>
      <c r="E15" s="18">
        <v>22</v>
      </c>
      <c r="F15" s="2"/>
      <c r="G15" s="2"/>
      <c r="H15" s="2"/>
      <c r="I15" s="2"/>
      <c r="J15" s="2"/>
      <c r="K15" s="19" t="s">
        <v>107</v>
      </c>
      <c r="L15" s="109" t="s">
        <v>2597</v>
      </c>
    </row>
    <row r="16" spans="1:12" ht="30" x14ac:dyDescent="0.25">
      <c r="A16" s="17">
        <v>45869</v>
      </c>
      <c r="B16" s="18">
        <v>11</v>
      </c>
      <c r="C16" s="18">
        <v>0</v>
      </c>
      <c r="D16" s="2">
        <f t="shared" si="0"/>
        <v>11</v>
      </c>
      <c r="E16" s="18"/>
      <c r="F16" s="2"/>
      <c r="G16" s="2"/>
      <c r="H16" s="2"/>
      <c r="I16" s="2"/>
      <c r="J16" s="2"/>
      <c r="K16" s="19" t="s">
        <v>2602</v>
      </c>
      <c r="L16" s="106" t="s">
        <v>2601</v>
      </c>
    </row>
    <row r="17" spans="1:12" x14ac:dyDescent="0.25">
      <c r="A17" s="17">
        <v>45863</v>
      </c>
      <c r="B17" s="18">
        <v>2</v>
      </c>
      <c r="C17" s="18">
        <v>2</v>
      </c>
      <c r="D17" s="2">
        <f t="shared" si="0"/>
        <v>0</v>
      </c>
      <c r="E17" s="18">
        <v>2</v>
      </c>
      <c r="F17" s="2"/>
      <c r="G17" s="2"/>
      <c r="H17" s="2"/>
      <c r="I17" s="2"/>
      <c r="J17" s="2"/>
      <c r="K17" s="19" t="s">
        <v>2598</v>
      </c>
      <c r="L17" s="66" t="s">
        <v>2098</v>
      </c>
    </row>
    <row r="18" spans="1:12" ht="30" x14ac:dyDescent="0.25">
      <c r="A18" s="17">
        <v>45869</v>
      </c>
      <c r="B18" s="18">
        <v>0</v>
      </c>
      <c r="C18" s="18">
        <v>15</v>
      </c>
      <c r="D18" s="2">
        <f t="shared" si="0"/>
        <v>-15</v>
      </c>
      <c r="E18" s="18"/>
      <c r="F18" s="2"/>
      <c r="G18" s="2"/>
      <c r="H18" s="2"/>
      <c r="I18" s="2"/>
      <c r="J18" s="2"/>
      <c r="K18" s="19" t="s">
        <v>2600</v>
      </c>
      <c r="L18" s="106" t="s">
        <v>2599</v>
      </c>
    </row>
    <row r="19" spans="1:12" ht="45" x14ac:dyDescent="0.25">
      <c r="A19" s="21">
        <v>45869</v>
      </c>
      <c r="B19" s="22">
        <v>20</v>
      </c>
      <c r="C19" s="22">
        <v>0</v>
      </c>
      <c r="D19" s="2">
        <f t="shared" si="0"/>
        <v>20</v>
      </c>
      <c r="E19" s="22"/>
      <c r="F19" s="23"/>
      <c r="G19" s="23"/>
      <c r="H19" s="23"/>
      <c r="I19" s="23"/>
      <c r="J19" s="23"/>
      <c r="K19" s="19" t="s">
        <v>2604</v>
      </c>
      <c r="L19" s="106" t="s">
        <v>2599</v>
      </c>
    </row>
    <row r="20" spans="1:12" x14ac:dyDescent="0.25">
      <c r="A20" s="17"/>
      <c r="B20" s="18"/>
      <c r="C20" s="18"/>
      <c r="D20" s="2">
        <f t="shared" si="0"/>
        <v>0</v>
      </c>
      <c r="E20" s="18"/>
      <c r="F20" s="2"/>
      <c r="G20" s="2"/>
      <c r="H20" s="2"/>
      <c r="I20" s="2"/>
      <c r="J20" s="2"/>
      <c r="K20" s="19"/>
      <c r="L20" s="106"/>
    </row>
    <row r="21" spans="1:12" x14ac:dyDescent="0.25">
      <c r="A21" s="17"/>
      <c r="B21" s="18"/>
      <c r="C21" s="18"/>
      <c r="D21" s="2">
        <f t="shared" si="0"/>
        <v>0</v>
      </c>
      <c r="E21" s="18"/>
      <c r="F21" s="2"/>
      <c r="G21" s="2"/>
      <c r="H21" s="2"/>
      <c r="I21" s="2"/>
      <c r="J21" s="2"/>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sheetData>
  <conditionalFormatting sqref="K2">
    <cfRule type="cellIs" dxfId="27" priority="1" operator="lessThan">
      <formula>0</formula>
    </cfRule>
    <cfRule type="cellIs" dxfId="2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L44"/>
  <sheetViews>
    <sheetView workbookViewId="0">
      <pane ySplit="6" topLeftCell="A10" activePane="bottomLeft" state="frozen"/>
      <selection pane="bottomLeft" activeCell="I23" sqref="I23"/>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84</v>
      </c>
      <c r="L2" s="27"/>
    </row>
    <row r="3" spans="1:12" ht="15.75" thickBot="1" x14ac:dyDescent="0.3">
      <c r="A3" s="5"/>
      <c r="B3" s="2"/>
      <c r="C3" s="2"/>
      <c r="D3" s="2"/>
      <c r="E3" s="2"/>
      <c r="F3" s="2">
        <f>'07.25'!F6</f>
        <v>553</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558</v>
      </c>
      <c r="G6" s="30">
        <f>SUM(B:B)</f>
        <v>84</v>
      </c>
      <c r="H6" s="30">
        <f>SUM(C:C)</f>
        <v>79</v>
      </c>
      <c r="I6" s="30"/>
      <c r="J6" s="33">
        <f>SUM(G6:H6)+SUM(E:E)</f>
        <v>321</v>
      </c>
      <c r="K6" s="112"/>
      <c r="L6" s="50">
        <f>J6/K1</f>
        <v>0.5</v>
      </c>
    </row>
    <row r="7" spans="1:12" x14ac:dyDescent="0.25">
      <c r="A7" s="17">
        <v>45870</v>
      </c>
      <c r="B7" s="18">
        <v>0</v>
      </c>
      <c r="C7" s="18">
        <v>0</v>
      </c>
      <c r="D7" s="2">
        <f t="shared" ref="D7:D44" si="0">B7-C7</f>
        <v>0</v>
      </c>
      <c r="E7" s="18">
        <v>44</v>
      </c>
      <c r="F7" s="2"/>
      <c r="G7" s="2"/>
      <c r="H7" s="2"/>
      <c r="I7" s="2"/>
      <c r="J7" s="2"/>
      <c r="K7" s="19" t="s">
        <v>107</v>
      </c>
      <c r="L7" s="109" t="s">
        <v>2605</v>
      </c>
    </row>
    <row r="8" spans="1:12" x14ac:dyDescent="0.25">
      <c r="A8" s="17">
        <v>45870</v>
      </c>
      <c r="B8" s="18">
        <v>2</v>
      </c>
      <c r="C8" s="18">
        <v>2</v>
      </c>
      <c r="D8" s="2">
        <f t="shared" si="0"/>
        <v>0</v>
      </c>
      <c r="E8" s="18">
        <v>2</v>
      </c>
      <c r="F8" s="2"/>
      <c r="G8" s="2"/>
      <c r="H8" s="2"/>
      <c r="I8" s="2"/>
      <c r="J8" s="2"/>
      <c r="K8" s="19" t="s">
        <v>2606</v>
      </c>
      <c r="L8" s="66" t="s">
        <v>2098</v>
      </c>
    </row>
    <row r="9" spans="1:12" ht="45" x14ac:dyDescent="0.25">
      <c r="A9" s="17">
        <v>45873</v>
      </c>
      <c r="B9" s="18">
        <v>22</v>
      </c>
      <c r="C9" s="18">
        <v>0</v>
      </c>
      <c r="D9" s="2">
        <f t="shared" si="0"/>
        <v>22</v>
      </c>
      <c r="E9" s="18"/>
      <c r="F9" s="2"/>
      <c r="G9" s="2"/>
      <c r="H9" s="2"/>
      <c r="I9" s="2"/>
      <c r="J9" s="2"/>
      <c r="K9" s="19" t="s">
        <v>2608</v>
      </c>
      <c r="L9" s="66" t="s">
        <v>2607</v>
      </c>
    </row>
    <row r="10" spans="1:12" x14ac:dyDescent="0.25">
      <c r="A10" s="17">
        <v>45876</v>
      </c>
      <c r="B10" s="18">
        <v>0</v>
      </c>
      <c r="C10" s="18">
        <v>2</v>
      </c>
      <c r="D10" s="2">
        <f t="shared" si="0"/>
        <v>-2</v>
      </c>
      <c r="E10" s="18"/>
      <c r="F10" s="2"/>
      <c r="G10" s="2"/>
      <c r="H10" s="2"/>
      <c r="I10" s="2"/>
      <c r="J10" s="2"/>
      <c r="K10" s="19" t="s">
        <v>2609</v>
      </c>
      <c r="L10" s="66" t="s">
        <v>2610</v>
      </c>
    </row>
    <row r="11" spans="1:12" ht="30" x14ac:dyDescent="0.25">
      <c r="A11" s="17">
        <v>45877</v>
      </c>
      <c r="B11" s="18">
        <v>0</v>
      </c>
      <c r="C11" s="18">
        <v>12</v>
      </c>
      <c r="D11" s="2">
        <f t="shared" si="0"/>
        <v>-12</v>
      </c>
      <c r="E11" s="18"/>
      <c r="F11" s="2"/>
      <c r="G11" s="2"/>
      <c r="H11" s="2"/>
      <c r="I11" s="2"/>
      <c r="J11" s="2"/>
      <c r="K11" s="19" t="s">
        <v>2611</v>
      </c>
      <c r="L11" s="106" t="s">
        <v>2612</v>
      </c>
    </row>
    <row r="12" spans="1:12" x14ac:dyDescent="0.25">
      <c r="A12" s="17">
        <v>45880</v>
      </c>
      <c r="B12" s="18">
        <v>0</v>
      </c>
      <c r="C12" s="18">
        <v>0</v>
      </c>
      <c r="D12" s="2">
        <f t="shared" si="0"/>
        <v>0</v>
      </c>
      <c r="E12" s="18">
        <v>20</v>
      </c>
      <c r="F12" s="2"/>
      <c r="G12" s="2"/>
      <c r="H12" s="2"/>
      <c r="I12" s="2"/>
      <c r="J12" s="2"/>
      <c r="K12" s="19" t="s">
        <v>107</v>
      </c>
      <c r="L12" s="109" t="s">
        <v>2613</v>
      </c>
    </row>
    <row r="13" spans="1:12" x14ac:dyDescent="0.25">
      <c r="A13" s="17">
        <v>45880</v>
      </c>
      <c r="B13" s="18">
        <v>2</v>
      </c>
      <c r="C13" s="18">
        <v>2</v>
      </c>
      <c r="D13" s="2">
        <f t="shared" si="0"/>
        <v>0</v>
      </c>
      <c r="E13" s="18">
        <v>2</v>
      </c>
      <c r="F13" s="2"/>
      <c r="G13" s="2"/>
      <c r="H13" s="2"/>
      <c r="I13" s="2"/>
      <c r="J13" s="2"/>
      <c r="K13" s="19" t="s">
        <v>2614</v>
      </c>
      <c r="L13" s="66" t="s">
        <v>2098</v>
      </c>
    </row>
    <row r="14" spans="1:12" ht="30" x14ac:dyDescent="0.25">
      <c r="A14" s="17">
        <v>45882</v>
      </c>
      <c r="B14" s="18">
        <v>10</v>
      </c>
      <c r="C14" s="18">
        <v>0</v>
      </c>
      <c r="D14" s="2">
        <f>B14-C14</f>
        <v>10</v>
      </c>
      <c r="E14" s="18"/>
      <c r="F14" s="2"/>
      <c r="G14" s="2"/>
      <c r="H14" s="2"/>
      <c r="I14" s="2"/>
      <c r="J14" s="2"/>
      <c r="K14" s="19" t="s">
        <v>2615</v>
      </c>
      <c r="L14" s="66" t="s">
        <v>2616</v>
      </c>
    </row>
    <row r="15" spans="1:12" ht="30" x14ac:dyDescent="0.25">
      <c r="A15" s="17">
        <v>45883</v>
      </c>
      <c r="B15" s="18">
        <v>0</v>
      </c>
      <c r="C15" s="18">
        <v>14</v>
      </c>
      <c r="D15" s="2">
        <f t="shared" si="0"/>
        <v>-14</v>
      </c>
      <c r="E15" s="18"/>
      <c r="F15" s="2"/>
      <c r="G15" s="2"/>
      <c r="H15" s="2"/>
      <c r="I15" s="2"/>
      <c r="J15" s="2"/>
      <c r="K15" s="19" t="s">
        <v>2617</v>
      </c>
      <c r="L15" s="106" t="s">
        <v>2618</v>
      </c>
    </row>
    <row r="16" spans="1:12" x14ac:dyDescent="0.25">
      <c r="A16" s="17">
        <v>45883</v>
      </c>
      <c r="B16" s="18">
        <v>3</v>
      </c>
      <c r="C16" s="18">
        <v>0</v>
      </c>
      <c r="D16" s="2">
        <f t="shared" si="0"/>
        <v>3</v>
      </c>
      <c r="E16" s="18"/>
      <c r="F16" s="2"/>
      <c r="G16" s="2"/>
      <c r="H16" s="2"/>
      <c r="I16" s="2"/>
      <c r="J16" s="2"/>
      <c r="K16" s="19" t="s">
        <v>2619</v>
      </c>
      <c r="L16" s="106" t="s">
        <v>2618</v>
      </c>
    </row>
    <row r="17" spans="1:12" x14ac:dyDescent="0.25">
      <c r="A17" s="17">
        <v>45884</v>
      </c>
      <c r="B17" s="18">
        <v>0</v>
      </c>
      <c r="C17" s="18">
        <v>2</v>
      </c>
      <c r="D17" s="2">
        <f t="shared" si="0"/>
        <v>-2</v>
      </c>
      <c r="E17" s="18"/>
      <c r="F17" s="2"/>
      <c r="G17" s="2"/>
      <c r="H17" s="2"/>
      <c r="I17" s="2"/>
      <c r="J17" s="2"/>
      <c r="K17" s="19" t="s">
        <v>2620</v>
      </c>
      <c r="L17" s="106" t="s">
        <v>2621</v>
      </c>
    </row>
    <row r="18" spans="1:12" ht="30" x14ac:dyDescent="0.25">
      <c r="A18" s="17">
        <v>45890</v>
      </c>
      <c r="B18" s="18">
        <v>0</v>
      </c>
      <c r="C18" s="18">
        <v>15</v>
      </c>
      <c r="D18" s="2">
        <f t="shared" si="0"/>
        <v>-15</v>
      </c>
      <c r="E18" s="18"/>
      <c r="F18" s="2"/>
      <c r="G18" s="2"/>
      <c r="H18" s="2"/>
      <c r="I18" s="2"/>
      <c r="J18" s="2"/>
      <c r="K18" s="19" t="s">
        <v>2622</v>
      </c>
      <c r="L18" s="106" t="s">
        <v>2623</v>
      </c>
    </row>
    <row r="19" spans="1:12" x14ac:dyDescent="0.25">
      <c r="A19" s="17">
        <v>45895</v>
      </c>
      <c r="B19" s="18">
        <v>0</v>
      </c>
      <c r="C19" s="18">
        <v>0</v>
      </c>
      <c r="D19" s="2">
        <f t="shared" si="0"/>
        <v>0</v>
      </c>
      <c r="E19" s="18">
        <v>50</v>
      </c>
      <c r="F19" s="2"/>
      <c r="G19" s="2"/>
      <c r="H19" s="2"/>
      <c r="I19" s="2"/>
      <c r="J19" s="2"/>
      <c r="K19" s="19" t="s">
        <v>107</v>
      </c>
      <c r="L19" s="109" t="s">
        <v>2624</v>
      </c>
    </row>
    <row r="20" spans="1:12" ht="45" x14ac:dyDescent="0.25">
      <c r="A20" s="17">
        <v>45895</v>
      </c>
      <c r="B20" s="18">
        <v>25</v>
      </c>
      <c r="C20" s="18">
        <v>0</v>
      </c>
      <c r="D20" s="2">
        <f t="shared" si="0"/>
        <v>25</v>
      </c>
      <c r="E20" s="18"/>
      <c r="F20" s="2"/>
      <c r="G20" s="2"/>
      <c r="H20" s="2"/>
      <c r="I20" s="2"/>
      <c r="J20" s="2"/>
      <c r="K20" s="19" t="s">
        <v>2625</v>
      </c>
      <c r="L20" s="107" t="s">
        <v>2626</v>
      </c>
    </row>
    <row r="21" spans="1:12" ht="30" x14ac:dyDescent="0.25">
      <c r="A21" s="21">
        <v>45897</v>
      </c>
      <c r="B21" s="22">
        <v>0</v>
      </c>
      <c r="C21" s="22">
        <v>16</v>
      </c>
      <c r="D21" s="2">
        <f t="shared" si="0"/>
        <v>-16</v>
      </c>
      <c r="E21" s="22"/>
      <c r="F21" s="23"/>
      <c r="G21" s="23"/>
      <c r="H21" s="23"/>
      <c r="I21" s="23"/>
      <c r="J21" s="23"/>
      <c r="K21" s="19" t="s">
        <v>2627</v>
      </c>
      <c r="L21" s="106" t="s">
        <v>2633</v>
      </c>
    </row>
    <row r="22" spans="1:12" x14ac:dyDescent="0.25">
      <c r="A22" s="17">
        <v>45897</v>
      </c>
      <c r="B22" s="18">
        <v>0</v>
      </c>
      <c r="C22" s="18">
        <v>0</v>
      </c>
      <c r="D22" s="2">
        <f t="shared" si="0"/>
        <v>0</v>
      </c>
      <c r="E22" s="18">
        <v>40</v>
      </c>
      <c r="F22" s="2"/>
      <c r="G22" s="2"/>
      <c r="H22" s="2"/>
      <c r="I22" s="2"/>
      <c r="J22" s="2"/>
      <c r="K22" s="19" t="s">
        <v>107</v>
      </c>
      <c r="L22" s="109" t="s">
        <v>2628</v>
      </c>
    </row>
    <row r="23" spans="1:12" ht="45" x14ac:dyDescent="0.25">
      <c r="A23" s="17">
        <v>45898</v>
      </c>
      <c r="B23" s="18">
        <v>20</v>
      </c>
      <c r="C23" s="18">
        <v>0</v>
      </c>
      <c r="D23" s="2">
        <f t="shared" si="0"/>
        <v>20</v>
      </c>
      <c r="E23" s="18"/>
      <c r="F23" s="2"/>
      <c r="G23" s="2"/>
      <c r="H23" s="2"/>
      <c r="I23" s="2"/>
      <c r="J23" s="2"/>
      <c r="K23" s="19" t="s">
        <v>2630</v>
      </c>
      <c r="L23" s="106" t="s">
        <v>2629</v>
      </c>
    </row>
    <row r="24" spans="1:12" ht="30" x14ac:dyDescent="0.25">
      <c r="A24" s="17">
        <v>45898</v>
      </c>
      <c r="B24" s="18">
        <v>0</v>
      </c>
      <c r="C24" s="18">
        <v>14</v>
      </c>
      <c r="D24" s="2">
        <f t="shared" si="0"/>
        <v>-14</v>
      </c>
      <c r="E24" s="18"/>
      <c r="F24" s="2"/>
      <c r="G24" s="2"/>
      <c r="H24" s="2"/>
      <c r="I24" s="2"/>
      <c r="J24" s="2"/>
      <c r="K24" s="19" t="s">
        <v>2631</v>
      </c>
      <c r="L24" s="106" t="s">
        <v>2632</v>
      </c>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25" priority="1" operator="lessThan">
      <formula>0</formula>
    </cfRule>
    <cfRule type="cellIs" dxfId="2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L44"/>
  <sheetViews>
    <sheetView workbookViewId="0">
      <pane ySplit="6" topLeftCell="A7" activePane="bottomLeft" state="frozen"/>
      <selection pane="bottomLeft" activeCell="K10" sqref="K10"/>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36</v>
      </c>
      <c r="L2" s="27"/>
    </row>
    <row r="3" spans="1:12" ht="15.75" thickBot="1" x14ac:dyDescent="0.3">
      <c r="A3" s="5"/>
      <c r="B3" s="2"/>
      <c r="C3" s="2"/>
      <c r="D3" s="2"/>
      <c r="E3" s="2"/>
      <c r="F3" s="2">
        <f>'08.25'!F6</f>
        <v>558</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606</v>
      </c>
      <c r="G6" s="30">
        <f>SUM(B:B)</f>
        <v>93</v>
      </c>
      <c r="H6" s="30">
        <f>SUM(C:C)</f>
        <v>45</v>
      </c>
      <c r="I6" s="30"/>
      <c r="J6" s="33">
        <f>SUM(G6:H6)+SUM(E:E)</f>
        <v>264</v>
      </c>
      <c r="K6" s="112"/>
      <c r="L6" s="50">
        <f>J6/K1</f>
        <v>0.41121495327102803</v>
      </c>
    </row>
    <row r="7" spans="1:12" x14ac:dyDescent="0.25">
      <c r="A7" s="17">
        <v>45904</v>
      </c>
      <c r="B7" s="18">
        <v>2</v>
      </c>
      <c r="C7" s="18">
        <v>2</v>
      </c>
      <c r="D7" s="2">
        <f t="shared" ref="D7:D44" si="0">B7-C7</f>
        <v>0</v>
      </c>
      <c r="E7" s="18">
        <v>2</v>
      </c>
      <c r="F7" s="2"/>
      <c r="G7" s="2"/>
      <c r="H7" s="2"/>
      <c r="I7" s="2"/>
      <c r="J7" s="2"/>
      <c r="K7" s="19" t="s">
        <v>2634</v>
      </c>
      <c r="L7" s="66" t="s">
        <v>2635</v>
      </c>
    </row>
    <row r="8" spans="1:12" ht="30" x14ac:dyDescent="0.25">
      <c r="A8" s="17">
        <v>45904</v>
      </c>
      <c r="B8" s="18">
        <v>0</v>
      </c>
      <c r="C8" s="18">
        <v>11</v>
      </c>
      <c r="D8" s="2">
        <f t="shared" si="0"/>
        <v>-11</v>
      </c>
      <c r="E8" s="18"/>
      <c r="F8" s="2"/>
      <c r="G8" s="2"/>
      <c r="H8" s="2"/>
      <c r="I8" s="2"/>
      <c r="J8" s="2"/>
      <c r="K8" s="19" t="s">
        <v>2636</v>
      </c>
      <c r="L8" s="66" t="s">
        <v>2637</v>
      </c>
    </row>
    <row r="9" spans="1:12" x14ac:dyDescent="0.25">
      <c r="A9" s="17">
        <v>45911</v>
      </c>
      <c r="B9" s="18">
        <v>0</v>
      </c>
      <c r="C9" s="18">
        <v>0</v>
      </c>
      <c r="D9" s="2">
        <f t="shared" si="0"/>
        <v>0</v>
      </c>
      <c r="E9" s="18">
        <v>28</v>
      </c>
      <c r="F9" s="2"/>
      <c r="G9" s="2"/>
      <c r="H9" s="2"/>
      <c r="I9" s="2"/>
      <c r="J9" s="2"/>
      <c r="K9" s="19" t="s">
        <v>107</v>
      </c>
      <c r="L9" s="109" t="s">
        <v>2638</v>
      </c>
    </row>
    <row r="10" spans="1:12" ht="30" x14ac:dyDescent="0.25">
      <c r="A10" s="17">
        <v>45911</v>
      </c>
      <c r="B10" s="18">
        <v>14</v>
      </c>
      <c r="C10" s="18">
        <v>0</v>
      </c>
      <c r="D10" s="2">
        <f t="shared" si="0"/>
        <v>14</v>
      </c>
      <c r="E10" s="18"/>
      <c r="F10" s="2"/>
      <c r="G10" s="2"/>
      <c r="H10" s="2"/>
      <c r="I10" s="2"/>
      <c r="J10" s="2"/>
      <c r="K10" s="19" t="s">
        <v>2639</v>
      </c>
      <c r="L10" s="109" t="s">
        <v>2640</v>
      </c>
    </row>
    <row r="11" spans="1:12" ht="30" x14ac:dyDescent="0.25">
      <c r="A11" s="17">
        <v>45911</v>
      </c>
      <c r="B11" s="18">
        <v>0</v>
      </c>
      <c r="C11" s="18">
        <v>13</v>
      </c>
      <c r="D11" s="2">
        <f t="shared" si="0"/>
        <v>-13</v>
      </c>
      <c r="E11" s="18"/>
      <c r="F11" s="2"/>
      <c r="G11" s="2"/>
      <c r="H11" s="2"/>
      <c r="I11" s="2"/>
      <c r="J11" s="2"/>
      <c r="K11" s="19" t="s">
        <v>2641</v>
      </c>
      <c r="L11" s="106" t="s">
        <v>2642</v>
      </c>
    </row>
    <row r="12" spans="1:12" ht="45" x14ac:dyDescent="0.25">
      <c r="A12" s="17">
        <v>45911</v>
      </c>
      <c r="B12" s="18">
        <v>26</v>
      </c>
      <c r="C12" s="18">
        <v>0</v>
      </c>
      <c r="D12" s="2">
        <f t="shared" si="0"/>
        <v>26</v>
      </c>
      <c r="E12" s="18"/>
      <c r="F12" s="2"/>
      <c r="G12" s="2"/>
      <c r="H12" s="2"/>
      <c r="I12" s="2"/>
      <c r="J12" s="2"/>
      <c r="K12" s="19" t="s">
        <v>2643</v>
      </c>
      <c r="L12" s="106" t="s">
        <v>2642</v>
      </c>
    </row>
    <row r="13" spans="1:12" ht="45" x14ac:dyDescent="0.25">
      <c r="A13" s="17">
        <v>45918</v>
      </c>
      <c r="B13" s="18">
        <v>0</v>
      </c>
      <c r="C13" s="18">
        <v>0</v>
      </c>
      <c r="D13" s="2">
        <f t="shared" si="0"/>
        <v>0</v>
      </c>
      <c r="E13" s="18">
        <v>10</v>
      </c>
      <c r="F13" s="2"/>
      <c r="G13" s="2"/>
      <c r="H13" s="2"/>
      <c r="I13" s="2"/>
      <c r="J13" s="2"/>
      <c r="K13" s="19" t="s">
        <v>2644</v>
      </c>
      <c r="L13" s="66" t="s">
        <v>2645</v>
      </c>
    </row>
    <row r="14" spans="1:12" x14ac:dyDescent="0.25">
      <c r="A14" s="17">
        <v>45919</v>
      </c>
      <c r="B14" s="18">
        <v>0</v>
      </c>
      <c r="C14" s="18">
        <v>0</v>
      </c>
      <c r="D14" s="2">
        <f t="shared" si="0"/>
        <v>0</v>
      </c>
      <c r="E14" s="18">
        <v>68</v>
      </c>
      <c r="F14" s="2"/>
      <c r="G14" s="2"/>
      <c r="H14" s="2"/>
      <c r="I14" s="2"/>
      <c r="J14" s="2"/>
      <c r="K14" s="19" t="s">
        <v>107</v>
      </c>
      <c r="L14" s="109" t="s">
        <v>2646</v>
      </c>
    </row>
    <row r="15" spans="1:12" ht="60" x14ac:dyDescent="0.25">
      <c r="A15" s="17">
        <v>45919</v>
      </c>
      <c r="B15" s="18">
        <v>34</v>
      </c>
      <c r="C15" s="18">
        <v>0</v>
      </c>
      <c r="D15" s="2">
        <f t="shared" si="0"/>
        <v>34</v>
      </c>
      <c r="E15" s="18"/>
      <c r="F15" s="2"/>
      <c r="G15" s="2"/>
      <c r="H15" s="2"/>
      <c r="I15" s="2"/>
      <c r="J15" s="2"/>
      <c r="K15" s="19" t="s">
        <v>2648</v>
      </c>
      <c r="L15" s="106" t="s">
        <v>2647</v>
      </c>
    </row>
    <row r="16" spans="1:12" x14ac:dyDescent="0.25">
      <c r="A16" s="17">
        <v>45922</v>
      </c>
      <c r="B16" s="18">
        <v>0</v>
      </c>
      <c r="C16" s="18">
        <v>0</v>
      </c>
      <c r="D16" s="2">
        <f t="shared" si="0"/>
        <v>0</v>
      </c>
      <c r="E16" s="18">
        <v>12</v>
      </c>
      <c r="F16" s="2"/>
      <c r="G16" s="2"/>
      <c r="H16" s="2"/>
      <c r="I16" s="2"/>
      <c r="J16" s="2"/>
      <c r="K16" s="19" t="s">
        <v>107</v>
      </c>
      <c r="L16" s="109" t="s">
        <v>2649</v>
      </c>
    </row>
    <row r="17" spans="1:12" x14ac:dyDescent="0.25">
      <c r="A17" s="17">
        <v>45923</v>
      </c>
      <c r="B17" s="18">
        <v>6</v>
      </c>
      <c r="C17" s="18">
        <v>0</v>
      </c>
      <c r="D17" s="2">
        <f t="shared" si="0"/>
        <v>6</v>
      </c>
      <c r="E17" s="18"/>
      <c r="F17" s="2"/>
      <c r="G17" s="2"/>
      <c r="H17" s="2"/>
      <c r="I17" s="2"/>
      <c r="J17" s="2"/>
      <c r="K17" s="19" t="s">
        <v>2650</v>
      </c>
      <c r="L17" s="106" t="s">
        <v>2651</v>
      </c>
    </row>
    <row r="18" spans="1:12" ht="30" x14ac:dyDescent="0.25">
      <c r="A18" s="17">
        <v>45925</v>
      </c>
      <c r="B18" s="18">
        <v>0</v>
      </c>
      <c r="C18" s="18">
        <v>17</v>
      </c>
      <c r="D18" s="2">
        <f t="shared" si="0"/>
        <v>-17</v>
      </c>
      <c r="E18" s="18"/>
      <c r="F18" s="2"/>
      <c r="G18" s="2"/>
      <c r="H18" s="2"/>
      <c r="I18" s="2"/>
      <c r="J18" s="2"/>
      <c r="K18" s="19" t="s">
        <v>2652</v>
      </c>
      <c r="L18" s="106" t="s">
        <v>2653</v>
      </c>
    </row>
    <row r="19" spans="1:12" x14ac:dyDescent="0.25">
      <c r="A19" s="17">
        <v>45925</v>
      </c>
      <c r="B19" s="18">
        <v>4</v>
      </c>
      <c r="C19" s="18">
        <v>0</v>
      </c>
      <c r="D19" s="2">
        <f t="shared" si="0"/>
        <v>4</v>
      </c>
      <c r="E19" s="18"/>
      <c r="F19" s="2"/>
      <c r="G19" s="2"/>
      <c r="H19" s="2"/>
      <c r="I19" s="2"/>
      <c r="J19" s="2"/>
      <c r="K19" s="19" t="s">
        <v>2654</v>
      </c>
      <c r="L19" s="66" t="s">
        <v>2653</v>
      </c>
    </row>
    <row r="20" spans="1:12" x14ac:dyDescent="0.25">
      <c r="A20" s="17">
        <v>45929</v>
      </c>
      <c r="B20" s="18">
        <v>0</v>
      </c>
      <c r="C20" s="18">
        <v>2</v>
      </c>
      <c r="D20" s="2">
        <f t="shared" si="0"/>
        <v>-2</v>
      </c>
      <c r="E20" s="18"/>
      <c r="F20" s="2"/>
      <c r="G20" s="2"/>
      <c r="H20" s="2"/>
      <c r="I20" s="2"/>
      <c r="J20" s="2"/>
      <c r="K20" s="19" t="s">
        <v>2655</v>
      </c>
      <c r="L20" s="106" t="s">
        <v>2656</v>
      </c>
    </row>
    <row r="21" spans="1:12" x14ac:dyDescent="0.25">
      <c r="A21" s="21">
        <v>45929</v>
      </c>
      <c r="B21" s="22">
        <v>4</v>
      </c>
      <c r="C21" s="22">
        <v>0</v>
      </c>
      <c r="D21" s="2">
        <f t="shared" si="0"/>
        <v>4</v>
      </c>
      <c r="E21" s="22"/>
      <c r="F21" s="23"/>
      <c r="G21" s="23"/>
      <c r="H21" s="23"/>
      <c r="I21" s="23"/>
      <c r="J21" s="23"/>
      <c r="K21" s="19" t="s">
        <v>2657</v>
      </c>
      <c r="L21" s="106" t="s">
        <v>2656</v>
      </c>
    </row>
    <row r="22" spans="1:12" x14ac:dyDescent="0.25">
      <c r="A22" s="17">
        <v>45929</v>
      </c>
      <c r="B22" s="18">
        <v>0</v>
      </c>
      <c r="C22" s="18">
        <v>0</v>
      </c>
      <c r="D22" s="2">
        <f t="shared" si="0"/>
        <v>0</v>
      </c>
      <c r="E22" s="18">
        <v>6</v>
      </c>
      <c r="F22" s="2"/>
      <c r="G22" s="2"/>
      <c r="H22" s="2"/>
      <c r="I22" s="2"/>
      <c r="J22" s="2"/>
      <c r="K22" s="19" t="s">
        <v>107</v>
      </c>
      <c r="L22" s="109" t="s">
        <v>2658</v>
      </c>
    </row>
    <row r="23" spans="1:12" x14ac:dyDescent="0.25">
      <c r="A23" s="17">
        <v>45929</v>
      </c>
      <c r="B23" s="18">
        <v>3</v>
      </c>
      <c r="C23" s="18">
        <v>0</v>
      </c>
      <c r="D23" s="2">
        <f t="shared" si="0"/>
        <v>3</v>
      </c>
      <c r="E23" s="18"/>
      <c r="F23" s="2"/>
      <c r="G23" s="2"/>
      <c r="H23" s="2"/>
      <c r="I23" s="2"/>
      <c r="J23" s="2"/>
      <c r="K23" s="19" t="s">
        <v>2660</v>
      </c>
      <c r="L23" s="106" t="s">
        <v>2659</v>
      </c>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23" priority="1" operator="lessThan">
      <formula>0</formula>
    </cfRule>
    <cfRule type="cellIs" dxfId="2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L44"/>
  <sheetViews>
    <sheetView workbookViewId="0">
      <pane ySplit="6" topLeftCell="A28" activePane="bottomLeft" state="frozen"/>
      <selection pane="bottomLeft" activeCell="J41" sqref="J41"/>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-27</v>
      </c>
      <c r="L2" s="27"/>
    </row>
    <row r="3" spans="1:12" ht="15.75" thickBot="1" x14ac:dyDescent="0.3">
      <c r="A3" s="5"/>
      <c r="B3" s="2"/>
      <c r="C3" s="2"/>
      <c r="D3" s="2"/>
      <c r="E3" s="2"/>
      <c r="F3" s="2">
        <f>'09.25'!F6</f>
        <v>606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669</v>
      </c>
      <c r="G6" s="30">
        <f>SUM(B:B)</f>
        <v>181</v>
      </c>
      <c r="H6" s="30">
        <f>SUM(C:C)</f>
        <v>118</v>
      </c>
      <c r="I6" s="30"/>
      <c r="J6" s="33">
        <f>SUM(G6:H6)+SUM(E:E)</f>
        <v>637</v>
      </c>
      <c r="K6" s="112"/>
      <c r="L6" s="50">
        <f>J6/K1</f>
        <v>0.99221183800623058</v>
      </c>
    </row>
    <row r="7" spans="1:12" ht="30" x14ac:dyDescent="0.25">
      <c r="A7" s="17">
        <v>45932</v>
      </c>
      <c r="B7" s="18">
        <v>0</v>
      </c>
      <c r="C7" s="18">
        <v>17</v>
      </c>
      <c r="D7" s="2">
        <f t="shared" ref="D7:D44" si="0">B7-C7</f>
        <v>-17</v>
      </c>
      <c r="E7" s="18"/>
      <c r="F7" s="2"/>
      <c r="G7" s="2"/>
      <c r="H7" s="2"/>
      <c r="I7" s="2"/>
      <c r="J7" s="2"/>
      <c r="K7" s="19" t="s">
        <v>2661</v>
      </c>
      <c r="L7" s="106" t="s">
        <v>2662</v>
      </c>
    </row>
    <row r="8" spans="1:12" x14ac:dyDescent="0.25">
      <c r="A8" s="17">
        <v>45932</v>
      </c>
      <c r="B8" s="18">
        <v>2</v>
      </c>
      <c r="C8" s="18">
        <v>0</v>
      </c>
      <c r="D8" s="2">
        <f t="shared" si="0"/>
        <v>2</v>
      </c>
      <c r="E8" s="18"/>
      <c r="F8" s="2"/>
      <c r="G8" s="2"/>
      <c r="H8" s="2"/>
      <c r="I8" s="2"/>
      <c r="J8" s="2"/>
      <c r="K8" s="19" t="s">
        <v>2663</v>
      </c>
      <c r="L8" s="66" t="s">
        <v>2662</v>
      </c>
    </row>
    <row r="9" spans="1:12" x14ac:dyDescent="0.25">
      <c r="A9" s="17">
        <v>45936</v>
      </c>
      <c r="B9" s="18">
        <v>0</v>
      </c>
      <c r="C9" s="18">
        <v>0</v>
      </c>
      <c r="D9" s="2">
        <f t="shared" si="0"/>
        <v>0</v>
      </c>
      <c r="E9" s="18">
        <v>46</v>
      </c>
      <c r="F9" s="2"/>
      <c r="G9" s="2"/>
      <c r="H9" s="2"/>
      <c r="I9" s="2"/>
      <c r="J9" s="2"/>
      <c r="K9" s="19" t="s">
        <v>107</v>
      </c>
      <c r="L9" s="109" t="s">
        <v>2664</v>
      </c>
    </row>
    <row r="10" spans="1:12" ht="45" x14ac:dyDescent="0.25">
      <c r="A10" s="17">
        <v>45936</v>
      </c>
      <c r="B10" s="18">
        <v>23</v>
      </c>
      <c r="C10" s="18">
        <v>0</v>
      </c>
      <c r="D10" s="2">
        <f t="shared" si="0"/>
        <v>23</v>
      </c>
      <c r="E10" s="18"/>
      <c r="F10" s="2"/>
      <c r="G10" s="2"/>
      <c r="H10" s="2"/>
      <c r="I10" s="2"/>
      <c r="J10" s="2"/>
      <c r="K10" s="19" t="s">
        <v>2666</v>
      </c>
      <c r="L10" s="109" t="s">
        <v>2664</v>
      </c>
    </row>
    <row r="11" spans="1:12" x14ac:dyDescent="0.25">
      <c r="A11" s="17">
        <v>45932</v>
      </c>
      <c r="B11" s="18">
        <v>1</v>
      </c>
      <c r="C11" s="18">
        <v>1</v>
      </c>
      <c r="D11" s="2">
        <f t="shared" si="0"/>
        <v>0</v>
      </c>
      <c r="E11" s="18">
        <v>1</v>
      </c>
      <c r="F11" s="2"/>
      <c r="G11" s="2"/>
      <c r="H11" s="2"/>
      <c r="I11" s="2"/>
      <c r="J11" s="2"/>
      <c r="K11" s="19" t="s">
        <v>2665</v>
      </c>
      <c r="L11" s="106" t="s">
        <v>2098</v>
      </c>
    </row>
    <row r="12" spans="1:12" ht="30" x14ac:dyDescent="0.25">
      <c r="A12" s="17">
        <v>45939</v>
      </c>
      <c r="B12" s="18">
        <v>0</v>
      </c>
      <c r="C12" s="18">
        <v>15</v>
      </c>
      <c r="D12" s="2">
        <f t="shared" si="0"/>
        <v>-15</v>
      </c>
      <c r="E12" s="18"/>
      <c r="F12" s="2"/>
      <c r="G12" s="2"/>
      <c r="H12" s="2"/>
      <c r="I12" s="2"/>
      <c r="J12" s="2"/>
      <c r="K12" s="19" t="s">
        <v>2667</v>
      </c>
      <c r="L12" s="106" t="s">
        <v>2670</v>
      </c>
    </row>
    <row r="13" spans="1:12" x14ac:dyDescent="0.25">
      <c r="A13" s="17">
        <v>45939</v>
      </c>
      <c r="B13" s="18">
        <v>0</v>
      </c>
      <c r="C13" s="18">
        <v>0</v>
      </c>
      <c r="D13" s="2">
        <f t="shared" si="0"/>
        <v>0</v>
      </c>
      <c r="E13" s="18">
        <f>2*16</f>
        <v>32</v>
      </c>
      <c r="F13" s="2"/>
      <c r="G13" s="2"/>
      <c r="H13" s="2"/>
      <c r="I13" s="2"/>
      <c r="J13" s="2"/>
      <c r="K13" s="19" t="s">
        <v>107</v>
      </c>
      <c r="L13" s="109" t="s">
        <v>2668</v>
      </c>
    </row>
    <row r="14" spans="1:12" x14ac:dyDescent="0.25">
      <c r="A14" s="17">
        <v>45939</v>
      </c>
      <c r="B14" s="18">
        <v>0</v>
      </c>
      <c r="C14" s="18">
        <v>0</v>
      </c>
      <c r="D14" s="2">
        <f t="shared" si="0"/>
        <v>0</v>
      </c>
      <c r="E14" s="18">
        <v>2</v>
      </c>
      <c r="F14" s="2"/>
      <c r="G14" s="2"/>
      <c r="H14" s="2"/>
      <c r="I14" s="2"/>
      <c r="J14" s="2"/>
      <c r="K14" s="19" t="s">
        <v>2669</v>
      </c>
      <c r="L14" s="66" t="s">
        <v>2098</v>
      </c>
    </row>
    <row r="15" spans="1:12" ht="30" x14ac:dyDescent="0.25">
      <c r="A15" s="17">
        <v>45939</v>
      </c>
      <c r="B15" s="18">
        <v>16</v>
      </c>
      <c r="C15" s="18">
        <v>0</v>
      </c>
      <c r="D15" s="2">
        <f t="shared" si="0"/>
        <v>16</v>
      </c>
      <c r="E15" s="18"/>
      <c r="F15" s="2"/>
      <c r="G15" s="2"/>
      <c r="H15" s="2"/>
      <c r="I15" s="2"/>
      <c r="J15" s="2"/>
      <c r="K15" s="19" t="s">
        <v>2675</v>
      </c>
      <c r="L15" s="106" t="s">
        <v>2671</v>
      </c>
    </row>
    <row r="16" spans="1:12" x14ac:dyDescent="0.25">
      <c r="A16" s="17">
        <v>45940</v>
      </c>
      <c r="B16" s="18">
        <v>3</v>
      </c>
      <c r="C16" s="18">
        <v>3</v>
      </c>
      <c r="D16" s="2">
        <f t="shared" si="0"/>
        <v>0</v>
      </c>
      <c r="E16" s="18">
        <v>9</v>
      </c>
      <c r="F16" s="2"/>
      <c r="G16" s="2"/>
      <c r="H16" s="2"/>
      <c r="I16" s="2"/>
      <c r="J16" s="2"/>
      <c r="K16" s="19" t="s">
        <v>2672</v>
      </c>
      <c r="L16" s="106" t="s">
        <v>2098</v>
      </c>
    </row>
    <row r="17" spans="1:12" x14ac:dyDescent="0.25">
      <c r="A17" s="17">
        <v>45943</v>
      </c>
      <c r="B17" s="18">
        <v>0</v>
      </c>
      <c r="C17" s="18">
        <v>0</v>
      </c>
      <c r="D17" s="2">
        <f t="shared" si="0"/>
        <v>0</v>
      </c>
      <c r="E17" s="18">
        <f>2*26</f>
        <v>52</v>
      </c>
      <c r="F17" s="2"/>
      <c r="G17" s="2"/>
      <c r="H17" s="2"/>
      <c r="I17" s="2"/>
      <c r="J17" s="2"/>
      <c r="K17" s="19" t="s">
        <v>107</v>
      </c>
      <c r="L17" s="109" t="s">
        <v>2673</v>
      </c>
    </row>
    <row r="18" spans="1:12" ht="45" x14ac:dyDescent="0.25">
      <c r="A18" s="17">
        <v>45943</v>
      </c>
      <c r="B18" s="18">
        <v>26</v>
      </c>
      <c r="C18" s="18">
        <v>0</v>
      </c>
      <c r="D18" s="2">
        <f t="shared" si="0"/>
        <v>26</v>
      </c>
      <c r="E18" s="18"/>
      <c r="F18" s="2"/>
      <c r="G18" s="2"/>
      <c r="H18" s="2"/>
      <c r="I18" s="2"/>
      <c r="J18" s="2"/>
      <c r="K18" s="19" t="s">
        <v>2676</v>
      </c>
      <c r="L18" s="106" t="s">
        <v>2674</v>
      </c>
    </row>
    <row r="19" spans="1:12" x14ac:dyDescent="0.25">
      <c r="A19" s="17">
        <v>45945</v>
      </c>
      <c r="B19" s="18">
        <v>0</v>
      </c>
      <c r="C19" s="18">
        <v>0</v>
      </c>
      <c r="D19" s="2">
        <f t="shared" si="0"/>
        <v>0</v>
      </c>
      <c r="E19" s="18">
        <v>40</v>
      </c>
      <c r="F19" s="2"/>
      <c r="G19" s="2"/>
      <c r="H19" s="2"/>
      <c r="I19" s="2"/>
      <c r="J19" s="2"/>
      <c r="K19" s="19" t="s">
        <v>107</v>
      </c>
      <c r="L19" s="109" t="s">
        <v>2677</v>
      </c>
    </row>
    <row r="20" spans="1:12" ht="31.5" customHeight="1" x14ac:dyDescent="0.25">
      <c r="A20" s="17">
        <v>45946</v>
      </c>
      <c r="B20" s="18">
        <v>20</v>
      </c>
      <c r="C20" s="18">
        <v>0</v>
      </c>
      <c r="D20" s="2">
        <f t="shared" si="0"/>
        <v>20</v>
      </c>
      <c r="E20" s="18"/>
      <c r="F20" s="2"/>
      <c r="G20" s="2"/>
      <c r="H20" s="2"/>
      <c r="I20" s="2"/>
      <c r="J20" s="2"/>
      <c r="K20" s="19" t="s">
        <v>2687</v>
      </c>
      <c r="L20" s="107" t="s">
        <v>2680</v>
      </c>
    </row>
    <row r="21" spans="1:12" x14ac:dyDescent="0.25">
      <c r="A21" s="21">
        <v>45945</v>
      </c>
      <c r="B21" s="22">
        <v>1</v>
      </c>
      <c r="C21" s="22">
        <v>1</v>
      </c>
      <c r="D21" s="2">
        <f t="shared" si="0"/>
        <v>0</v>
      </c>
      <c r="E21" s="22">
        <v>1</v>
      </c>
      <c r="F21" s="23"/>
      <c r="G21" s="23"/>
      <c r="H21" s="23"/>
      <c r="I21" s="23"/>
      <c r="J21" s="23"/>
      <c r="K21" s="19" t="s">
        <v>2678</v>
      </c>
      <c r="L21" s="106" t="s">
        <v>2679</v>
      </c>
    </row>
    <row r="22" spans="1:12" x14ac:dyDescent="0.25">
      <c r="A22" s="17">
        <v>45945</v>
      </c>
      <c r="B22" s="18">
        <v>0</v>
      </c>
      <c r="C22" s="18">
        <v>1</v>
      </c>
      <c r="D22" s="2">
        <f t="shared" si="0"/>
        <v>-1</v>
      </c>
      <c r="E22" s="18"/>
      <c r="F22" s="2"/>
      <c r="G22" s="2"/>
      <c r="H22" s="2"/>
      <c r="I22" s="2"/>
      <c r="J22" s="2"/>
      <c r="K22" s="19">
        <v>644169</v>
      </c>
      <c r="L22" s="106" t="s">
        <v>2679</v>
      </c>
    </row>
    <row r="23" spans="1:12" x14ac:dyDescent="0.25">
      <c r="A23" s="17">
        <v>45946</v>
      </c>
      <c r="B23" s="18">
        <v>0</v>
      </c>
      <c r="C23" s="18">
        <v>0</v>
      </c>
      <c r="D23" s="2">
        <f t="shared" si="0"/>
        <v>0</v>
      </c>
      <c r="E23" s="18">
        <f>2*19</f>
        <v>38</v>
      </c>
      <c r="F23" s="2"/>
      <c r="G23" s="2"/>
      <c r="H23" s="2"/>
      <c r="I23" s="2"/>
      <c r="J23" s="2"/>
      <c r="K23" s="19" t="s">
        <v>107</v>
      </c>
      <c r="L23" s="109" t="s">
        <v>2681</v>
      </c>
    </row>
    <row r="24" spans="1:12" ht="32.25" customHeight="1" x14ac:dyDescent="0.25">
      <c r="A24" s="17">
        <v>45946</v>
      </c>
      <c r="B24" s="18">
        <v>19</v>
      </c>
      <c r="C24" s="18">
        <v>0</v>
      </c>
      <c r="D24" s="2">
        <f t="shared" si="0"/>
        <v>19</v>
      </c>
      <c r="E24" s="18"/>
      <c r="F24" s="2"/>
      <c r="G24" s="2"/>
      <c r="H24" s="2"/>
      <c r="I24" s="2"/>
      <c r="J24" s="2"/>
      <c r="K24" s="19" t="s">
        <v>2688</v>
      </c>
      <c r="L24" s="107" t="s">
        <v>2682</v>
      </c>
    </row>
    <row r="25" spans="1:12" x14ac:dyDescent="0.25">
      <c r="A25" s="17">
        <v>45946</v>
      </c>
      <c r="B25" s="18">
        <v>1</v>
      </c>
      <c r="C25" s="18">
        <v>1</v>
      </c>
      <c r="D25" s="2">
        <f t="shared" si="0"/>
        <v>0</v>
      </c>
      <c r="E25" s="18">
        <v>1</v>
      </c>
      <c r="F25" s="2"/>
      <c r="G25" s="2"/>
      <c r="H25" s="2"/>
      <c r="I25" s="2"/>
      <c r="J25" s="2"/>
      <c r="K25" s="19" t="s">
        <v>2683</v>
      </c>
      <c r="L25" s="106" t="s">
        <v>2098</v>
      </c>
    </row>
    <row r="26" spans="1:12" ht="30" x14ac:dyDescent="0.25">
      <c r="A26" s="17">
        <v>45946</v>
      </c>
      <c r="B26" s="18">
        <v>0</v>
      </c>
      <c r="C26" s="18">
        <v>17</v>
      </c>
      <c r="D26" s="2">
        <f t="shared" si="0"/>
        <v>-17</v>
      </c>
      <c r="E26" s="18"/>
      <c r="F26" s="2"/>
      <c r="G26" s="2"/>
      <c r="H26" s="2"/>
      <c r="I26" s="2"/>
      <c r="J26" s="2"/>
      <c r="K26" s="19" t="s">
        <v>2684</v>
      </c>
      <c r="L26" s="106" t="s">
        <v>2685</v>
      </c>
    </row>
    <row r="27" spans="1:12" x14ac:dyDescent="0.25">
      <c r="A27" s="17">
        <v>45946</v>
      </c>
      <c r="B27" s="18">
        <v>5</v>
      </c>
      <c r="C27" s="18">
        <v>0</v>
      </c>
      <c r="D27" s="2">
        <f t="shared" si="0"/>
        <v>5</v>
      </c>
      <c r="E27" s="18"/>
      <c r="F27" s="2"/>
      <c r="G27" s="2"/>
      <c r="H27" s="2"/>
      <c r="I27" s="2"/>
      <c r="J27" s="2"/>
      <c r="K27" s="19" t="s">
        <v>2686</v>
      </c>
      <c r="L27" s="66" t="s">
        <v>2685</v>
      </c>
    </row>
    <row r="28" spans="1:12" x14ac:dyDescent="0.25">
      <c r="A28" s="17">
        <v>45947</v>
      </c>
      <c r="B28" s="18">
        <v>0</v>
      </c>
      <c r="C28" s="18">
        <v>0</v>
      </c>
      <c r="D28" s="2">
        <f t="shared" si="0"/>
        <v>0</v>
      </c>
      <c r="E28" s="18">
        <v>8</v>
      </c>
      <c r="F28" s="2"/>
      <c r="G28" s="2"/>
      <c r="H28" s="2"/>
      <c r="I28" s="2"/>
      <c r="J28" s="2"/>
      <c r="K28" s="19" t="s">
        <v>107</v>
      </c>
      <c r="L28" s="109" t="s">
        <v>2689</v>
      </c>
    </row>
    <row r="29" spans="1:12" x14ac:dyDescent="0.25">
      <c r="A29" s="17">
        <v>45947</v>
      </c>
      <c r="B29" s="18">
        <v>4</v>
      </c>
      <c r="C29" s="18">
        <v>0</v>
      </c>
      <c r="D29" s="2">
        <f t="shared" si="0"/>
        <v>4</v>
      </c>
      <c r="E29" s="18"/>
      <c r="F29" s="2"/>
      <c r="G29" s="2"/>
      <c r="H29" s="2"/>
      <c r="I29" s="2"/>
      <c r="J29" s="2"/>
      <c r="K29" s="19" t="s">
        <v>2694</v>
      </c>
      <c r="L29" s="66" t="s">
        <v>2690</v>
      </c>
    </row>
    <row r="30" spans="1:12" x14ac:dyDescent="0.25">
      <c r="A30" s="17">
        <v>45947</v>
      </c>
      <c r="B30" s="18">
        <v>1</v>
      </c>
      <c r="C30" s="18">
        <v>1</v>
      </c>
      <c r="D30" s="2">
        <f t="shared" si="0"/>
        <v>0</v>
      </c>
      <c r="E30" s="18">
        <v>1</v>
      </c>
      <c r="F30" s="2"/>
      <c r="G30" s="2"/>
      <c r="H30" s="2"/>
      <c r="I30" s="2"/>
      <c r="J30" s="2"/>
      <c r="K30" s="19" t="s">
        <v>2691</v>
      </c>
      <c r="L30" s="106" t="s">
        <v>2098</v>
      </c>
    </row>
    <row r="31" spans="1:12" x14ac:dyDescent="0.25">
      <c r="A31" s="17">
        <v>45950</v>
      </c>
      <c r="B31" s="18">
        <v>0</v>
      </c>
      <c r="C31" s="18">
        <v>0</v>
      </c>
      <c r="D31" s="2">
        <f t="shared" si="0"/>
        <v>0</v>
      </c>
      <c r="E31" s="18">
        <v>16</v>
      </c>
      <c r="F31" s="2"/>
      <c r="G31" s="2"/>
      <c r="H31" s="2"/>
      <c r="I31" s="2"/>
      <c r="J31" s="2"/>
      <c r="K31" s="19" t="s">
        <v>107</v>
      </c>
      <c r="L31" s="109" t="s">
        <v>2692</v>
      </c>
    </row>
    <row r="32" spans="1:12" ht="30" x14ac:dyDescent="0.25">
      <c r="A32" s="17">
        <v>45950</v>
      </c>
      <c r="B32" s="18">
        <v>8</v>
      </c>
      <c r="C32" s="18">
        <v>0</v>
      </c>
      <c r="D32" s="2">
        <f t="shared" si="0"/>
        <v>8</v>
      </c>
      <c r="E32" s="18"/>
      <c r="F32" s="2"/>
      <c r="G32" s="2"/>
      <c r="H32" s="2"/>
      <c r="I32" s="2"/>
      <c r="J32" s="2"/>
      <c r="K32" s="19" t="s">
        <v>2695</v>
      </c>
      <c r="L32" s="109" t="s">
        <v>2696</v>
      </c>
    </row>
    <row r="33" spans="1:12" x14ac:dyDescent="0.25">
      <c r="A33" s="17">
        <v>45950</v>
      </c>
      <c r="B33" s="18">
        <v>8</v>
      </c>
      <c r="C33" s="18">
        <v>8</v>
      </c>
      <c r="D33" s="2">
        <f t="shared" si="0"/>
        <v>0</v>
      </c>
      <c r="E33" s="18">
        <v>8</v>
      </c>
      <c r="F33" s="2"/>
      <c r="G33" s="2"/>
      <c r="H33" s="2"/>
      <c r="I33" s="2"/>
      <c r="J33" s="2"/>
      <c r="K33" s="19" t="s">
        <v>2693</v>
      </c>
      <c r="L33" s="106" t="s">
        <v>1965</v>
      </c>
    </row>
    <row r="34" spans="1:12" x14ac:dyDescent="0.25">
      <c r="A34" s="17">
        <v>45952</v>
      </c>
      <c r="B34" s="18">
        <v>0</v>
      </c>
      <c r="C34" s="18">
        <v>0</v>
      </c>
      <c r="D34" s="2">
        <f t="shared" si="0"/>
        <v>0</v>
      </c>
      <c r="E34" s="18">
        <v>16</v>
      </c>
      <c r="F34" s="2"/>
      <c r="G34" s="2"/>
      <c r="H34" s="2"/>
      <c r="I34" s="2"/>
      <c r="J34" s="2"/>
      <c r="K34" s="19" t="s">
        <v>107</v>
      </c>
      <c r="L34" s="109" t="s">
        <v>2697</v>
      </c>
    </row>
    <row r="35" spans="1:12" ht="30" x14ac:dyDescent="0.25">
      <c r="A35" s="17">
        <v>45952</v>
      </c>
      <c r="B35" s="18">
        <v>8</v>
      </c>
      <c r="C35" s="18">
        <v>0</v>
      </c>
      <c r="D35" s="2">
        <f t="shared" si="0"/>
        <v>8</v>
      </c>
      <c r="E35" s="18"/>
      <c r="F35" s="2"/>
      <c r="G35" s="2"/>
      <c r="H35" s="2"/>
      <c r="I35" s="2"/>
      <c r="J35" s="2"/>
      <c r="K35" s="19" t="s">
        <v>2698</v>
      </c>
      <c r="L35" s="109" t="s">
        <v>2699</v>
      </c>
    </row>
    <row r="36" spans="1:12" x14ac:dyDescent="0.25">
      <c r="A36" s="17">
        <v>45952</v>
      </c>
      <c r="B36" s="18">
        <v>1</v>
      </c>
      <c r="C36" s="18">
        <v>1</v>
      </c>
      <c r="D36" s="2">
        <f t="shared" si="0"/>
        <v>0</v>
      </c>
      <c r="E36" s="18">
        <v>1</v>
      </c>
      <c r="F36" s="2"/>
      <c r="G36" s="2"/>
      <c r="H36" s="2"/>
      <c r="I36" s="2"/>
      <c r="J36" s="2"/>
      <c r="K36" s="19" t="s">
        <v>2700</v>
      </c>
      <c r="L36" s="106" t="s">
        <v>1965</v>
      </c>
    </row>
    <row r="37" spans="1:12" ht="60" x14ac:dyDescent="0.25">
      <c r="A37" s="17">
        <v>45953</v>
      </c>
      <c r="B37" s="18">
        <v>0</v>
      </c>
      <c r="C37" s="18">
        <v>32</v>
      </c>
      <c r="D37" s="2">
        <f t="shared" si="0"/>
        <v>-32</v>
      </c>
      <c r="E37" s="18"/>
      <c r="F37" s="2"/>
      <c r="G37" s="2"/>
      <c r="H37" s="2"/>
      <c r="I37" s="2"/>
      <c r="J37" s="2"/>
      <c r="K37" s="19" t="s">
        <v>2701</v>
      </c>
      <c r="L37" s="109" t="s">
        <v>2702</v>
      </c>
    </row>
    <row r="38" spans="1:12" x14ac:dyDescent="0.25">
      <c r="A38" s="17">
        <v>45957</v>
      </c>
      <c r="B38" s="18">
        <v>1</v>
      </c>
      <c r="C38" s="18">
        <v>1</v>
      </c>
      <c r="D38" s="2">
        <f t="shared" si="0"/>
        <v>0</v>
      </c>
      <c r="E38" s="18"/>
      <c r="F38" s="2"/>
      <c r="G38" s="2"/>
      <c r="H38" s="2"/>
      <c r="I38" s="2"/>
      <c r="J38" s="2"/>
      <c r="K38" s="19" t="s">
        <v>2703</v>
      </c>
      <c r="L38" s="66" t="s">
        <v>2704</v>
      </c>
    </row>
    <row r="39" spans="1:12" x14ac:dyDescent="0.25">
      <c r="A39" s="17">
        <v>45957</v>
      </c>
      <c r="B39" s="18">
        <v>0</v>
      </c>
      <c r="C39" s="18">
        <v>0</v>
      </c>
      <c r="D39" s="2">
        <f t="shared" si="0"/>
        <v>0</v>
      </c>
      <c r="E39" s="18">
        <v>40</v>
      </c>
      <c r="F39" s="2"/>
      <c r="G39" s="2"/>
      <c r="H39" s="2"/>
      <c r="I39" s="2"/>
      <c r="J39" s="2"/>
      <c r="K39" s="19" t="s">
        <v>107</v>
      </c>
      <c r="L39" s="109" t="s">
        <v>2705</v>
      </c>
    </row>
    <row r="40" spans="1:12" ht="33" customHeight="1" x14ac:dyDescent="0.25">
      <c r="A40" s="17">
        <v>45957</v>
      </c>
      <c r="B40" s="18">
        <v>20</v>
      </c>
      <c r="C40" s="18">
        <v>0</v>
      </c>
      <c r="D40" s="2">
        <f t="shared" si="0"/>
        <v>20</v>
      </c>
      <c r="E40" s="18"/>
      <c r="F40" s="2"/>
      <c r="G40" s="2"/>
      <c r="H40" s="2"/>
      <c r="I40" s="2"/>
      <c r="J40" s="2"/>
      <c r="K40" s="19" t="s">
        <v>2708</v>
      </c>
      <c r="L40" s="109" t="s">
        <v>2706</v>
      </c>
    </row>
    <row r="41" spans="1:12" x14ac:dyDescent="0.25">
      <c r="A41" s="17">
        <v>45957</v>
      </c>
      <c r="B41" s="18">
        <v>0</v>
      </c>
      <c r="C41" s="18">
        <v>1</v>
      </c>
      <c r="D41" s="2">
        <f t="shared" si="0"/>
        <v>-1</v>
      </c>
      <c r="E41" s="18"/>
      <c r="F41" s="2"/>
      <c r="G41" s="2"/>
      <c r="H41" s="2"/>
      <c r="I41" s="2"/>
      <c r="J41" s="2"/>
      <c r="K41" s="19">
        <v>644156</v>
      </c>
      <c r="L41" s="66" t="s">
        <v>2707</v>
      </c>
    </row>
    <row r="42" spans="1:12" x14ac:dyDescent="0.25">
      <c r="A42" s="17">
        <v>45958</v>
      </c>
      <c r="B42" s="18">
        <v>0</v>
      </c>
      <c r="C42" s="18">
        <v>0</v>
      </c>
      <c r="D42" s="2">
        <f t="shared" si="0"/>
        <v>0</v>
      </c>
      <c r="E42" s="18">
        <f>2*13</f>
        <v>26</v>
      </c>
      <c r="F42" s="2"/>
      <c r="G42" s="2"/>
      <c r="H42" s="2"/>
      <c r="I42" s="2"/>
      <c r="J42" s="2"/>
      <c r="K42" s="19" t="s">
        <v>107</v>
      </c>
      <c r="L42" s="109" t="s">
        <v>2709</v>
      </c>
    </row>
    <row r="43" spans="1:12" ht="30" x14ac:dyDescent="0.25">
      <c r="A43" s="17">
        <v>45958</v>
      </c>
      <c r="B43" s="18">
        <v>13</v>
      </c>
      <c r="C43" s="18">
        <v>0</v>
      </c>
      <c r="D43" s="2">
        <f t="shared" si="0"/>
        <v>13</v>
      </c>
      <c r="E43" s="18"/>
      <c r="F43" s="2"/>
      <c r="G43" s="2"/>
      <c r="H43" s="2"/>
      <c r="I43" s="2"/>
      <c r="J43" s="2"/>
      <c r="K43" s="19" t="s">
        <v>2717</v>
      </c>
      <c r="L43" s="109" t="s">
        <v>2710</v>
      </c>
    </row>
    <row r="44" spans="1:12" ht="30" x14ac:dyDescent="0.25">
      <c r="A44" s="17">
        <v>45959</v>
      </c>
      <c r="B44" s="18">
        <v>0</v>
      </c>
      <c r="C44" s="18">
        <v>18</v>
      </c>
      <c r="D44" s="2">
        <f t="shared" si="0"/>
        <v>-18</v>
      </c>
      <c r="E44" s="18"/>
      <c r="F44" s="2"/>
      <c r="G44" s="2"/>
      <c r="H44" s="2"/>
      <c r="I44" s="2"/>
      <c r="J44" s="2"/>
      <c r="K44" s="19" t="s">
        <v>2712</v>
      </c>
      <c r="L44" s="66" t="s">
        <v>2711</v>
      </c>
    </row>
  </sheetData>
  <conditionalFormatting sqref="K2">
    <cfRule type="cellIs" dxfId="21" priority="1" operator="lessThan">
      <formula>0</formula>
    </cfRule>
    <cfRule type="cellIs" dxfId="2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1" orientation="landscape" r:id="rId1"/>
  <headerFooter>
    <oddFooter>&amp;C&amp;D / &amp;T&amp;RSeite &amp;P von &amp;N</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L45"/>
  <sheetViews>
    <sheetView workbookViewId="0">
      <pane ySplit="6" topLeftCell="A23" activePane="bottomLeft" state="frozen"/>
      <selection pane="bottomLeft" activeCell="K27" sqref="K27"/>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-53</v>
      </c>
      <c r="L2" s="27"/>
    </row>
    <row r="3" spans="1:12" ht="15.75" thickBot="1" x14ac:dyDescent="0.3">
      <c r="A3" s="5"/>
      <c r="B3" s="2"/>
      <c r="C3" s="2"/>
      <c r="D3" s="2"/>
      <c r="E3" s="2"/>
      <c r="F3" s="2">
        <f>'10.25'!F6</f>
        <v>669</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695</v>
      </c>
      <c r="G6" s="30">
        <f>SUM(B:B)</f>
        <v>134</v>
      </c>
      <c r="H6" s="30">
        <f>SUM(C:C)</f>
        <v>108</v>
      </c>
      <c r="I6" s="30"/>
      <c r="J6" s="33">
        <f>SUM(G6:H6)+SUM(E:E)</f>
        <v>485</v>
      </c>
      <c r="K6" s="112"/>
      <c r="L6" s="50">
        <f>J6/K1</f>
        <v>0.75545171339563866</v>
      </c>
    </row>
    <row r="7" spans="1:12" ht="30" x14ac:dyDescent="0.25">
      <c r="A7" s="17">
        <v>45960</v>
      </c>
      <c r="B7" s="18">
        <v>0</v>
      </c>
      <c r="C7" s="18">
        <v>0</v>
      </c>
      <c r="D7" s="2">
        <f t="shared" ref="D7:D45" si="0">B7-C7</f>
        <v>0</v>
      </c>
      <c r="E7" s="18">
        <v>14</v>
      </c>
      <c r="F7" s="2"/>
      <c r="G7" s="2"/>
      <c r="H7" s="2"/>
      <c r="I7" s="2"/>
      <c r="J7" s="2"/>
      <c r="K7" s="19" t="s">
        <v>107</v>
      </c>
      <c r="L7" s="109" t="s">
        <v>2714</v>
      </c>
    </row>
    <row r="8" spans="1:12" x14ac:dyDescent="0.25">
      <c r="A8" s="17">
        <v>45964</v>
      </c>
      <c r="B8" s="18">
        <v>7</v>
      </c>
      <c r="C8" s="18">
        <v>0</v>
      </c>
      <c r="D8" s="2">
        <f t="shared" si="0"/>
        <v>7</v>
      </c>
      <c r="E8" s="18"/>
      <c r="F8" s="2"/>
      <c r="G8" s="2"/>
      <c r="H8" s="2"/>
      <c r="I8" s="2"/>
      <c r="J8" s="2"/>
      <c r="K8" s="19" t="s">
        <v>2720</v>
      </c>
      <c r="L8" s="66" t="s">
        <v>2713</v>
      </c>
    </row>
    <row r="9" spans="1:12" ht="30" x14ac:dyDescent="0.25">
      <c r="A9" s="17">
        <v>45960</v>
      </c>
      <c r="B9" s="18">
        <v>0</v>
      </c>
      <c r="C9" s="18">
        <v>0</v>
      </c>
      <c r="D9" s="2">
        <f t="shared" si="0"/>
        <v>0</v>
      </c>
      <c r="E9" s="18">
        <v>20</v>
      </c>
      <c r="F9" s="2"/>
      <c r="G9" s="2"/>
      <c r="H9" s="2"/>
      <c r="I9" s="2"/>
      <c r="J9" s="2"/>
      <c r="K9" s="19" t="s">
        <v>107</v>
      </c>
      <c r="L9" s="109" t="s">
        <v>2715</v>
      </c>
    </row>
    <row r="10" spans="1:12" ht="18" customHeight="1" x14ac:dyDescent="0.25">
      <c r="A10" s="17">
        <v>45960</v>
      </c>
      <c r="B10" s="18">
        <v>10</v>
      </c>
      <c r="C10" s="18">
        <v>0</v>
      </c>
      <c r="D10" s="2">
        <f t="shared" si="0"/>
        <v>10</v>
      </c>
      <c r="E10" s="18"/>
      <c r="F10" s="2"/>
      <c r="G10" s="2"/>
      <c r="H10" s="2"/>
      <c r="I10" s="2"/>
      <c r="J10" s="2"/>
      <c r="K10" s="19" t="s">
        <v>2727</v>
      </c>
      <c r="L10" s="109" t="s">
        <v>2716</v>
      </c>
    </row>
    <row r="11" spans="1:12" ht="30" x14ac:dyDescent="0.25">
      <c r="A11" s="17">
        <v>45960</v>
      </c>
      <c r="B11" s="18">
        <v>2</v>
      </c>
      <c r="C11" s="18">
        <v>2</v>
      </c>
      <c r="D11" s="2">
        <f t="shared" si="0"/>
        <v>0</v>
      </c>
      <c r="E11" s="18">
        <v>2</v>
      </c>
      <c r="F11" s="2"/>
      <c r="G11" s="2"/>
      <c r="H11" s="2"/>
      <c r="I11" s="2"/>
      <c r="J11" s="2"/>
      <c r="K11" s="19" t="s">
        <v>2723</v>
      </c>
      <c r="L11" s="106" t="s">
        <v>2098</v>
      </c>
    </row>
    <row r="12" spans="1:12" ht="30" x14ac:dyDescent="0.25">
      <c r="A12" s="17">
        <v>45964</v>
      </c>
      <c r="B12" s="18">
        <v>0</v>
      </c>
      <c r="C12" s="18">
        <v>0</v>
      </c>
      <c r="D12" s="2">
        <f t="shared" si="0"/>
        <v>0</v>
      </c>
      <c r="E12" s="18">
        <v>20</v>
      </c>
      <c r="F12" s="2"/>
      <c r="G12" s="2"/>
      <c r="H12" s="2"/>
      <c r="I12" s="2"/>
      <c r="J12" s="2"/>
      <c r="K12" s="19" t="s">
        <v>107</v>
      </c>
      <c r="L12" s="109" t="s">
        <v>2718</v>
      </c>
    </row>
    <row r="13" spans="1:12" ht="15" customHeight="1" x14ac:dyDescent="0.25">
      <c r="A13" s="17">
        <v>45964</v>
      </c>
      <c r="B13" s="18">
        <v>10</v>
      </c>
      <c r="C13" s="18">
        <v>0</v>
      </c>
      <c r="D13" s="2">
        <f t="shared" si="0"/>
        <v>10</v>
      </c>
      <c r="E13" s="18"/>
      <c r="F13" s="2"/>
      <c r="G13" s="2"/>
      <c r="H13" s="2"/>
      <c r="I13" s="2"/>
      <c r="J13" s="2"/>
      <c r="K13" s="19" t="s">
        <v>2728</v>
      </c>
      <c r="L13" s="66" t="s">
        <v>2719</v>
      </c>
    </row>
    <row r="14" spans="1:12" x14ac:dyDescent="0.25">
      <c r="A14" s="17">
        <v>45964</v>
      </c>
      <c r="B14" s="18">
        <v>0</v>
      </c>
      <c r="C14" s="18">
        <v>3</v>
      </c>
      <c r="D14" s="2">
        <f t="shared" ref="D14" si="1">B14-C14</f>
        <v>-3</v>
      </c>
      <c r="E14" s="18"/>
      <c r="F14" s="2"/>
      <c r="G14" s="2"/>
      <c r="H14" s="2"/>
      <c r="I14" s="2"/>
      <c r="J14" s="2"/>
      <c r="K14" s="19" t="s">
        <v>2725</v>
      </c>
      <c r="L14" s="66" t="s">
        <v>2726</v>
      </c>
    </row>
    <row r="15" spans="1:12" ht="30" x14ac:dyDescent="0.25">
      <c r="A15" s="17">
        <v>45965</v>
      </c>
      <c r="B15" s="18">
        <v>0</v>
      </c>
      <c r="C15" s="18">
        <v>0</v>
      </c>
      <c r="D15" s="2">
        <f t="shared" si="0"/>
        <v>0</v>
      </c>
      <c r="E15" s="18">
        <v>30</v>
      </c>
      <c r="F15" s="2"/>
      <c r="G15" s="2"/>
      <c r="H15" s="2"/>
      <c r="I15" s="2"/>
      <c r="J15" s="2"/>
      <c r="K15" s="19" t="s">
        <v>107</v>
      </c>
      <c r="L15" s="109" t="s">
        <v>2721</v>
      </c>
    </row>
    <row r="16" spans="1:12" ht="30" x14ac:dyDescent="0.25">
      <c r="A16" s="17">
        <v>45967</v>
      </c>
      <c r="B16" s="18">
        <v>15</v>
      </c>
      <c r="C16" s="18">
        <v>0</v>
      </c>
      <c r="D16" s="2">
        <f t="shared" si="0"/>
        <v>15</v>
      </c>
      <c r="E16" s="18"/>
      <c r="F16" s="2"/>
      <c r="G16" s="2"/>
      <c r="H16" s="2"/>
      <c r="I16" s="2"/>
      <c r="J16" s="2"/>
      <c r="K16" s="19" t="s">
        <v>2731</v>
      </c>
      <c r="L16" s="106" t="s">
        <v>2722</v>
      </c>
    </row>
    <row r="17" spans="1:12" ht="30" x14ac:dyDescent="0.25">
      <c r="A17" s="17">
        <v>45965</v>
      </c>
      <c r="B17" s="18">
        <v>3</v>
      </c>
      <c r="C17" s="18">
        <v>3</v>
      </c>
      <c r="D17" s="2">
        <f t="shared" si="0"/>
        <v>0</v>
      </c>
      <c r="E17" s="18">
        <v>3</v>
      </c>
      <c r="F17" s="2"/>
      <c r="G17" s="2"/>
      <c r="H17" s="2"/>
      <c r="I17" s="2"/>
      <c r="J17" s="2"/>
      <c r="K17" s="19" t="s">
        <v>2724</v>
      </c>
      <c r="L17" s="106" t="s">
        <v>2098</v>
      </c>
    </row>
    <row r="18" spans="1:12" ht="45" x14ac:dyDescent="0.25">
      <c r="A18" s="17">
        <v>45968</v>
      </c>
      <c r="B18" s="18">
        <v>0</v>
      </c>
      <c r="C18" s="18">
        <v>25</v>
      </c>
      <c r="D18" s="2">
        <f t="shared" si="0"/>
        <v>-25</v>
      </c>
      <c r="E18" s="18"/>
      <c r="F18" s="2"/>
      <c r="G18" s="2"/>
      <c r="H18" s="2"/>
      <c r="I18" s="2"/>
      <c r="J18" s="2"/>
      <c r="K18" s="19" t="s">
        <v>2730</v>
      </c>
      <c r="L18" s="106" t="s">
        <v>2729</v>
      </c>
    </row>
    <row r="19" spans="1:12" ht="30" x14ac:dyDescent="0.25">
      <c r="A19" s="17">
        <v>45974</v>
      </c>
      <c r="B19" s="18">
        <v>0</v>
      </c>
      <c r="C19" s="18">
        <v>0</v>
      </c>
      <c r="D19" s="2">
        <f t="shared" si="0"/>
        <v>0</v>
      </c>
      <c r="E19" s="18">
        <f>2*29</f>
        <v>58</v>
      </c>
      <c r="F19" s="2"/>
      <c r="G19" s="2"/>
      <c r="H19" s="2"/>
      <c r="I19" s="2"/>
      <c r="J19" s="2"/>
      <c r="K19" s="19" t="s">
        <v>107</v>
      </c>
      <c r="L19" s="109" t="s">
        <v>2736</v>
      </c>
    </row>
    <row r="20" spans="1:12" ht="60" x14ac:dyDescent="0.25">
      <c r="A20" s="17">
        <v>45974</v>
      </c>
      <c r="B20" s="18">
        <v>29</v>
      </c>
      <c r="C20" s="18">
        <v>0</v>
      </c>
      <c r="D20" s="2">
        <f t="shared" si="0"/>
        <v>29</v>
      </c>
      <c r="E20" s="18"/>
      <c r="F20" s="2"/>
      <c r="G20" s="2"/>
      <c r="H20" s="2"/>
      <c r="I20" s="2"/>
      <c r="J20" s="2"/>
      <c r="K20" s="19" t="s">
        <v>2737</v>
      </c>
      <c r="L20" s="66" t="s">
        <v>2732</v>
      </c>
    </row>
    <row r="21" spans="1:12" ht="30" x14ac:dyDescent="0.25">
      <c r="A21" s="17">
        <v>45974</v>
      </c>
      <c r="B21" s="18">
        <v>4</v>
      </c>
      <c r="C21" s="18">
        <v>4</v>
      </c>
      <c r="D21" s="2">
        <f t="shared" si="0"/>
        <v>0</v>
      </c>
      <c r="E21" s="18">
        <v>4</v>
      </c>
      <c r="F21" s="2"/>
      <c r="G21" s="2"/>
      <c r="H21" s="2"/>
      <c r="I21" s="2"/>
      <c r="J21" s="2"/>
      <c r="K21" s="19" t="s">
        <v>2733</v>
      </c>
      <c r="L21" s="106" t="s">
        <v>2746</v>
      </c>
    </row>
    <row r="22" spans="1:12" ht="45" x14ac:dyDescent="0.25">
      <c r="A22" s="21">
        <v>45974</v>
      </c>
      <c r="B22" s="22">
        <v>0</v>
      </c>
      <c r="C22" s="22">
        <v>27</v>
      </c>
      <c r="D22" s="2">
        <f t="shared" si="0"/>
        <v>-27</v>
      </c>
      <c r="E22" s="22"/>
      <c r="F22" s="23"/>
      <c r="G22" s="23"/>
      <c r="H22" s="23"/>
      <c r="I22" s="23"/>
      <c r="J22" s="23"/>
      <c r="K22" s="19" t="s">
        <v>2735</v>
      </c>
      <c r="L22" s="106" t="s">
        <v>2734</v>
      </c>
    </row>
    <row r="23" spans="1:12" ht="30" x14ac:dyDescent="0.25">
      <c r="A23" s="17">
        <v>45981</v>
      </c>
      <c r="B23" s="18">
        <v>0</v>
      </c>
      <c r="C23" s="18">
        <v>17</v>
      </c>
      <c r="D23" s="2">
        <f t="shared" si="0"/>
        <v>-17</v>
      </c>
      <c r="E23" s="18"/>
      <c r="F23" s="2"/>
      <c r="G23" s="2"/>
      <c r="H23" s="2"/>
      <c r="I23" s="2"/>
      <c r="J23" s="2"/>
      <c r="K23" s="19" t="s">
        <v>2738</v>
      </c>
      <c r="L23" s="106" t="s">
        <v>2739</v>
      </c>
    </row>
    <row r="24" spans="1:12" x14ac:dyDescent="0.25">
      <c r="A24" s="17">
        <v>45981</v>
      </c>
      <c r="B24" s="18">
        <v>4</v>
      </c>
      <c r="C24" s="18">
        <v>0</v>
      </c>
      <c r="D24" s="2">
        <f t="shared" si="0"/>
        <v>4</v>
      </c>
      <c r="E24" s="18"/>
      <c r="F24" s="2"/>
      <c r="G24" s="2"/>
      <c r="H24" s="2"/>
      <c r="I24" s="2"/>
      <c r="J24" s="2"/>
      <c r="K24" s="19" t="s">
        <v>2740</v>
      </c>
      <c r="L24" s="106" t="s">
        <v>2739</v>
      </c>
    </row>
    <row r="25" spans="1:12" x14ac:dyDescent="0.25">
      <c r="A25" s="17">
        <v>45981</v>
      </c>
      <c r="B25" s="18">
        <v>1</v>
      </c>
      <c r="C25" s="18">
        <v>1</v>
      </c>
      <c r="D25" s="2">
        <f t="shared" si="0"/>
        <v>0</v>
      </c>
      <c r="E25" s="18">
        <v>1</v>
      </c>
      <c r="F25" s="2"/>
      <c r="G25" s="2"/>
      <c r="H25" s="2"/>
      <c r="I25" s="2"/>
      <c r="J25" s="2"/>
      <c r="K25" s="19" t="s">
        <v>2741</v>
      </c>
      <c r="L25" s="106" t="s">
        <v>2739</v>
      </c>
    </row>
    <row r="26" spans="1:12" ht="30" x14ac:dyDescent="0.25">
      <c r="A26" s="17">
        <v>45982</v>
      </c>
      <c r="B26" s="18">
        <v>0</v>
      </c>
      <c r="C26" s="18">
        <v>0</v>
      </c>
      <c r="D26" s="2">
        <f t="shared" si="0"/>
        <v>0</v>
      </c>
      <c r="E26" s="18">
        <f>26*2</f>
        <v>52</v>
      </c>
      <c r="F26" s="2"/>
      <c r="G26" s="2"/>
      <c r="H26" s="2"/>
      <c r="I26" s="2"/>
      <c r="J26" s="2"/>
      <c r="K26" s="19" t="s">
        <v>107</v>
      </c>
      <c r="L26" s="109" t="s">
        <v>2742</v>
      </c>
    </row>
    <row r="27" spans="1:12" ht="45" x14ac:dyDescent="0.25">
      <c r="A27" s="17">
        <v>45982</v>
      </c>
      <c r="B27" s="18">
        <v>26</v>
      </c>
      <c r="C27" s="18">
        <v>0</v>
      </c>
      <c r="D27" s="2">
        <f t="shared" si="0"/>
        <v>26</v>
      </c>
      <c r="E27" s="18"/>
      <c r="F27" s="2"/>
      <c r="G27" s="2"/>
      <c r="H27" s="2"/>
      <c r="I27" s="2"/>
      <c r="J27" s="2"/>
      <c r="K27" s="19" t="s">
        <v>2750</v>
      </c>
      <c r="L27" s="106" t="s">
        <v>2743</v>
      </c>
    </row>
    <row r="28" spans="1:12" ht="30" x14ac:dyDescent="0.25">
      <c r="A28" s="17">
        <v>45982</v>
      </c>
      <c r="B28" s="18">
        <v>4</v>
      </c>
      <c r="C28" s="18">
        <v>4</v>
      </c>
      <c r="D28" s="2">
        <f t="shared" si="0"/>
        <v>0</v>
      </c>
      <c r="E28" s="18">
        <v>4</v>
      </c>
      <c r="F28" s="2"/>
      <c r="G28" s="2"/>
      <c r="H28" s="2"/>
      <c r="I28" s="2"/>
      <c r="J28" s="2"/>
      <c r="K28" s="19" t="s">
        <v>2744</v>
      </c>
      <c r="L28" s="66" t="s">
        <v>2745</v>
      </c>
    </row>
    <row r="29" spans="1:12" ht="30" x14ac:dyDescent="0.25">
      <c r="A29" s="17">
        <v>45985</v>
      </c>
      <c r="B29" s="18">
        <v>0</v>
      </c>
      <c r="C29" s="18">
        <v>0</v>
      </c>
      <c r="D29" s="2">
        <f t="shared" si="0"/>
        <v>0</v>
      </c>
      <c r="E29" s="18">
        <f>2*16</f>
        <v>32</v>
      </c>
      <c r="F29" s="2"/>
      <c r="G29" s="2"/>
      <c r="H29" s="2"/>
      <c r="I29" s="2"/>
      <c r="J29" s="2"/>
      <c r="K29" s="19" t="s">
        <v>107</v>
      </c>
      <c r="L29" s="109" t="s">
        <v>2748</v>
      </c>
    </row>
    <row r="30" spans="1:12" ht="30" x14ac:dyDescent="0.25">
      <c r="A30" s="17">
        <v>45985</v>
      </c>
      <c r="B30" s="18">
        <v>16</v>
      </c>
      <c r="C30" s="18">
        <v>0</v>
      </c>
      <c r="D30" s="2">
        <f t="shared" si="0"/>
        <v>16</v>
      </c>
      <c r="E30" s="18"/>
      <c r="F30" s="2"/>
      <c r="G30" s="2"/>
      <c r="H30" s="2"/>
      <c r="I30" s="2"/>
      <c r="J30" s="2"/>
      <c r="K30" s="19" t="s">
        <v>2751</v>
      </c>
      <c r="L30" s="66" t="s">
        <v>2749</v>
      </c>
    </row>
    <row r="31" spans="1:12" x14ac:dyDescent="0.25">
      <c r="A31" s="17">
        <v>45985</v>
      </c>
      <c r="B31" s="18">
        <v>2</v>
      </c>
      <c r="C31" s="18">
        <v>2</v>
      </c>
      <c r="D31" s="2">
        <f t="shared" si="0"/>
        <v>0</v>
      </c>
      <c r="E31" s="18">
        <v>2</v>
      </c>
      <c r="F31" s="2"/>
      <c r="G31" s="2"/>
      <c r="H31" s="2"/>
      <c r="I31" s="2"/>
      <c r="J31" s="2"/>
      <c r="K31" s="19" t="s">
        <v>2752</v>
      </c>
      <c r="L31" s="66" t="s">
        <v>1965</v>
      </c>
    </row>
    <row r="32" spans="1:12" x14ac:dyDescent="0.25">
      <c r="A32" s="17">
        <v>45986</v>
      </c>
      <c r="B32" s="18">
        <v>1</v>
      </c>
      <c r="C32" s="18">
        <v>1</v>
      </c>
      <c r="D32" s="2">
        <f t="shared" si="0"/>
        <v>0</v>
      </c>
      <c r="E32" s="18">
        <v>1</v>
      </c>
      <c r="F32" s="2"/>
      <c r="G32" s="2"/>
      <c r="H32" s="2"/>
      <c r="I32" s="2"/>
      <c r="J32" s="2"/>
      <c r="K32" s="19" t="s">
        <v>2753</v>
      </c>
      <c r="L32" s="66" t="s">
        <v>1965</v>
      </c>
    </row>
    <row r="33" spans="1:12" x14ac:dyDescent="0.25">
      <c r="A33" s="17">
        <v>45987</v>
      </c>
      <c r="B33" s="18">
        <v>0</v>
      </c>
      <c r="C33" s="18">
        <v>2</v>
      </c>
      <c r="D33" s="2">
        <f t="shared" si="0"/>
        <v>-2</v>
      </c>
      <c r="E33" s="18"/>
      <c r="F33" s="2"/>
      <c r="G33" s="2"/>
      <c r="H33" s="2"/>
      <c r="I33" s="2"/>
      <c r="J33" s="2"/>
      <c r="K33" s="19" t="s">
        <v>2754</v>
      </c>
      <c r="L33" s="66" t="s">
        <v>2755</v>
      </c>
    </row>
    <row r="34" spans="1:12" ht="30" x14ac:dyDescent="0.25">
      <c r="A34" s="17">
        <v>45988</v>
      </c>
      <c r="B34" s="18">
        <v>0</v>
      </c>
      <c r="C34" s="18">
        <v>17</v>
      </c>
      <c r="D34" s="2">
        <f t="shared" si="0"/>
        <v>-17</v>
      </c>
      <c r="E34" s="18"/>
      <c r="F34" s="2"/>
      <c r="G34" s="2"/>
      <c r="H34" s="2"/>
      <c r="I34" s="2"/>
      <c r="J34" s="2"/>
      <c r="K34" s="19" t="s">
        <v>2756</v>
      </c>
      <c r="L34" s="66" t="s">
        <v>2757</v>
      </c>
    </row>
    <row r="35" spans="1:12" x14ac:dyDescent="0.25">
      <c r="A35" s="17"/>
      <c r="B35" s="18"/>
      <c r="C35" s="18"/>
      <c r="D35" s="2">
        <f t="shared" si="0"/>
        <v>0</v>
      </c>
      <c r="E35" s="18"/>
      <c r="F35" s="2"/>
      <c r="G35" s="2"/>
      <c r="H35" s="2"/>
      <c r="I35" s="2"/>
      <c r="J35" s="2"/>
      <c r="K35" s="19"/>
    </row>
    <row r="36" spans="1:12" x14ac:dyDescent="0.25">
      <c r="A36" s="17"/>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row>
    <row r="45" spans="1:12" x14ac:dyDescent="0.25">
      <c r="A45" s="17"/>
      <c r="B45" s="18"/>
      <c r="C45" s="18"/>
      <c r="D45" s="2">
        <f t="shared" si="0"/>
        <v>0</v>
      </c>
      <c r="E45" s="18"/>
      <c r="F45" s="2"/>
      <c r="G45" s="2"/>
      <c r="H45" s="2"/>
      <c r="I45" s="2"/>
      <c r="J45" s="2"/>
      <c r="K45" s="19"/>
    </row>
  </sheetData>
  <conditionalFormatting sqref="K2">
    <cfRule type="cellIs" dxfId="19" priority="1" operator="lessThan">
      <formula>0</formula>
    </cfRule>
    <cfRule type="cellIs" dxfId="1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fitToHeight="0" orientation="landscape" r:id="rId1"/>
  <headerFooter>
    <oddFooter>&amp;C&amp;D / &amp;T&amp;RSeite &amp;P von &amp;N</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L44"/>
  <sheetViews>
    <sheetView workbookViewId="0">
      <pane ySplit="6" topLeftCell="A11" activePane="bottomLeft" state="frozen"/>
      <selection pane="bottomLeft" activeCell="K14" sqref="K1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-35</v>
      </c>
      <c r="L2" s="27"/>
    </row>
    <row r="3" spans="1:12" ht="15.75" thickBot="1" x14ac:dyDescent="0.3">
      <c r="A3" s="5"/>
      <c r="B3" s="2"/>
      <c r="C3" s="2"/>
      <c r="D3" s="2"/>
      <c r="E3" s="2"/>
      <c r="F3" s="2">
        <f>'11.25'!F6</f>
        <v>695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677</v>
      </c>
      <c r="G6" s="30">
        <f>SUM(B:B)</f>
        <v>52</v>
      </c>
      <c r="H6" s="30">
        <f>SUM(C:C)</f>
        <v>70</v>
      </c>
      <c r="I6" s="30"/>
      <c r="J6" s="33">
        <f>SUM(G6:H6)+SUM(E:E)</f>
        <v>534</v>
      </c>
      <c r="K6" s="112"/>
      <c r="L6" s="50">
        <f>J6/K1</f>
        <v>0.83177570093457942</v>
      </c>
    </row>
    <row r="7" spans="1:12" ht="30" x14ac:dyDescent="0.25">
      <c r="A7" s="17">
        <v>45992</v>
      </c>
      <c r="B7" s="18">
        <v>0</v>
      </c>
      <c r="C7" s="18">
        <v>0</v>
      </c>
      <c r="D7" s="2">
        <f t="shared" ref="D7:D44" si="0">B7-C7</f>
        <v>0</v>
      </c>
      <c r="E7" s="18">
        <f>2*27</f>
        <v>54</v>
      </c>
      <c r="F7" s="2"/>
      <c r="G7" s="2"/>
      <c r="H7" s="2"/>
      <c r="I7" s="2"/>
      <c r="J7" s="2"/>
      <c r="K7" s="19" t="s">
        <v>107</v>
      </c>
      <c r="L7" s="109" t="s">
        <v>2758</v>
      </c>
    </row>
    <row r="8" spans="1:12" ht="45" x14ac:dyDescent="0.25">
      <c r="A8" s="17">
        <v>45992</v>
      </c>
      <c r="B8" s="18">
        <v>27</v>
      </c>
      <c r="C8" s="18">
        <v>0</v>
      </c>
      <c r="D8" s="2">
        <f t="shared" si="0"/>
        <v>27</v>
      </c>
      <c r="E8" s="18"/>
      <c r="F8" s="2"/>
      <c r="G8" s="2"/>
      <c r="H8" s="2"/>
      <c r="I8" s="2"/>
      <c r="J8" s="2"/>
      <c r="K8" s="19" t="s">
        <v>2759</v>
      </c>
      <c r="L8" s="66" t="s">
        <v>2760</v>
      </c>
    </row>
    <row r="9" spans="1:12" ht="30" x14ac:dyDescent="0.25">
      <c r="A9" s="17">
        <v>45995</v>
      </c>
      <c r="B9" s="18">
        <v>0</v>
      </c>
      <c r="C9" s="18">
        <v>17</v>
      </c>
      <c r="D9" s="2">
        <f t="shared" si="0"/>
        <v>-17</v>
      </c>
      <c r="E9" s="18"/>
      <c r="F9" s="2"/>
      <c r="G9" s="2"/>
      <c r="H9" s="2"/>
      <c r="I9" s="2"/>
      <c r="J9" s="2"/>
      <c r="K9" s="19" t="s">
        <v>2761</v>
      </c>
      <c r="L9" s="66" t="s">
        <v>2762</v>
      </c>
    </row>
    <row r="10" spans="1:12" x14ac:dyDescent="0.25">
      <c r="A10" s="17">
        <v>45995</v>
      </c>
      <c r="B10" s="18">
        <v>6</v>
      </c>
      <c r="C10" s="18">
        <v>0</v>
      </c>
      <c r="D10" s="2">
        <f t="shared" si="0"/>
        <v>6</v>
      </c>
      <c r="E10" s="18"/>
      <c r="F10" s="2"/>
      <c r="G10" s="2"/>
      <c r="H10" s="2"/>
      <c r="I10" s="2"/>
      <c r="J10" s="2"/>
      <c r="K10" s="19" t="s">
        <v>2763</v>
      </c>
      <c r="L10" s="66" t="s">
        <v>2762</v>
      </c>
    </row>
    <row r="11" spans="1:12" ht="30" x14ac:dyDescent="0.25">
      <c r="A11" s="17">
        <v>45995</v>
      </c>
      <c r="B11" s="18">
        <v>0</v>
      </c>
      <c r="C11" s="18">
        <v>0</v>
      </c>
      <c r="D11" s="2">
        <f t="shared" si="0"/>
        <v>0</v>
      </c>
      <c r="E11" s="18">
        <v>10</v>
      </c>
      <c r="F11" s="2"/>
      <c r="G11" s="2"/>
      <c r="H11" s="2"/>
      <c r="I11" s="2"/>
      <c r="J11" s="2"/>
      <c r="K11" s="19" t="s">
        <v>2764</v>
      </c>
      <c r="L11" s="106" t="s">
        <v>2765</v>
      </c>
    </row>
    <row r="12" spans="1:12" ht="30" x14ac:dyDescent="0.25">
      <c r="A12" s="17">
        <v>45996</v>
      </c>
      <c r="B12" s="18">
        <v>0</v>
      </c>
      <c r="C12" s="18">
        <v>10</v>
      </c>
      <c r="D12" s="2">
        <f t="shared" si="0"/>
        <v>-10</v>
      </c>
      <c r="E12" s="18"/>
      <c r="F12" s="2"/>
      <c r="G12" s="2"/>
      <c r="H12" s="2"/>
      <c r="I12" s="2"/>
      <c r="J12" s="2"/>
      <c r="K12" s="19" t="s">
        <v>2764</v>
      </c>
      <c r="L12" s="106" t="s">
        <v>2766</v>
      </c>
    </row>
    <row r="13" spans="1:12" x14ac:dyDescent="0.25">
      <c r="A13" s="17">
        <v>45999</v>
      </c>
      <c r="B13" s="18">
        <v>0</v>
      </c>
      <c r="C13" s="18">
        <v>2</v>
      </c>
      <c r="D13" s="2">
        <f t="shared" si="0"/>
        <v>-2</v>
      </c>
      <c r="E13" s="18"/>
      <c r="F13" s="2"/>
      <c r="G13" s="2"/>
      <c r="H13" s="2"/>
      <c r="I13" s="2"/>
      <c r="J13" s="2"/>
      <c r="K13" s="19" t="s">
        <v>2767</v>
      </c>
      <c r="L13" s="66" t="s">
        <v>2768</v>
      </c>
    </row>
    <row r="14" spans="1:12" ht="30" x14ac:dyDescent="0.25">
      <c r="A14" s="17">
        <v>46002</v>
      </c>
      <c r="B14" s="18">
        <v>0</v>
      </c>
      <c r="C14" s="18">
        <v>17</v>
      </c>
      <c r="D14" s="2">
        <f t="shared" si="0"/>
        <v>-17</v>
      </c>
      <c r="E14" s="18"/>
      <c r="F14" s="2"/>
      <c r="G14" s="2"/>
      <c r="H14" s="2"/>
      <c r="I14" s="2"/>
      <c r="J14" s="2"/>
      <c r="K14" s="19" t="s">
        <v>2769</v>
      </c>
      <c r="L14" s="66" t="s">
        <v>2770</v>
      </c>
    </row>
    <row r="15" spans="1:12" x14ac:dyDescent="0.25">
      <c r="A15" s="17">
        <v>46002</v>
      </c>
      <c r="B15" s="18">
        <v>0</v>
      </c>
      <c r="C15" s="18">
        <v>2</v>
      </c>
      <c r="D15" s="2">
        <f t="shared" si="0"/>
        <v>-2</v>
      </c>
      <c r="E15" s="18"/>
      <c r="F15" s="2"/>
      <c r="G15" s="2"/>
      <c r="H15" s="2"/>
      <c r="I15" s="2"/>
      <c r="J15" s="2"/>
      <c r="K15" s="19" t="s">
        <v>2771</v>
      </c>
      <c r="L15" s="106" t="s">
        <v>2772</v>
      </c>
    </row>
    <row r="16" spans="1:12" ht="30" x14ac:dyDescent="0.25">
      <c r="A16" s="17">
        <v>46009</v>
      </c>
      <c r="B16" s="18">
        <v>0</v>
      </c>
      <c r="C16" s="18">
        <v>0</v>
      </c>
      <c r="D16" s="2">
        <f t="shared" si="0"/>
        <v>0</v>
      </c>
      <c r="E16" s="18">
        <f>19*2</f>
        <v>38</v>
      </c>
      <c r="F16" s="2"/>
      <c r="G16" s="2"/>
      <c r="H16" s="2"/>
      <c r="I16" s="2"/>
      <c r="J16" s="2"/>
      <c r="K16" s="19" t="s">
        <v>107</v>
      </c>
      <c r="L16" s="109" t="s">
        <v>2773</v>
      </c>
    </row>
    <row r="17" spans="1:12" ht="45" x14ac:dyDescent="0.25">
      <c r="A17" s="17">
        <v>46009</v>
      </c>
      <c r="B17" s="18">
        <v>19</v>
      </c>
      <c r="C17" s="18">
        <v>0</v>
      </c>
      <c r="D17" s="2">
        <f t="shared" si="0"/>
        <v>19</v>
      </c>
      <c r="E17" s="18"/>
      <c r="F17" s="2"/>
      <c r="G17" s="2"/>
      <c r="H17" s="2"/>
      <c r="I17" s="2"/>
      <c r="J17" s="2"/>
      <c r="K17" s="19" t="s">
        <v>2774</v>
      </c>
      <c r="L17" s="106" t="s">
        <v>2775</v>
      </c>
    </row>
    <row r="18" spans="1:12" ht="45" x14ac:dyDescent="0.25">
      <c r="A18" s="17">
        <v>46009</v>
      </c>
      <c r="B18" s="18">
        <v>0</v>
      </c>
      <c r="C18" s="18">
        <v>22</v>
      </c>
      <c r="D18" s="2">
        <f t="shared" si="0"/>
        <v>-22</v>
      </c>
      <c r="E18" s="18"/>
      <c r="F18" s="2"/>
      <c r="G18" s="2"/>
      <c r="H18" s="2"/>
      <c r="I18" s="2"/>
      <c r="J18" s="2"/>
      <c r="K18" s="19" t="s">
        <v>2776</v>
      </c>
      <c r="L18" s="106" t="s">
        <v>2777</v>
      </c>
    </row>
    <row r="19" spans="1:12" ht="30" x14ac:dyDescent="0.25">
      <c r="A19" s="17">
        <v>46010</v>
      </c>
      <c r="B19" s="18">
        <v>0</v>
      </c>
      <c r="C19" s="18">
        <v>0</v>
      </c>
      <c r="D19" s="2">
        <f t="shared" si="0"/>
        <v>0</v>
      </c>
      <c r="E19" s="18">
        <v>310</v>
      </c>
      <c r="F19" s="2"/>
      <c r="G19" s="2"/>
      <c r="H19" s="2"/>
      <c r="I19" s="2"/>
      <c r="J19" s="2"/>
      <c r="K19" s="19" t="s">
        <v>2778</v>
      </c>
      <c r="L19" s="109" t="s">
        <v>2779</v>
      </c>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phoneticPr fontId="15" type="noConversion"/>
  <conditionalFormatting sqref="K2">
    <cfRule type="cellIs" dxfId="17" priority="1" operator="lessThan">
      <formula>0</formula>
    </cfRule>
    <cfRule type="cellIs" dxfId="1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1"/>
  <headerFooter>
    <oddFooter>&amp;C&amp;D / &amp;T&amp;RSeite &amp;P von &amp;N</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L47"/>
  <sheetViews>
    <sheetView workbookViewId="0">
      <pane ySplit="6" topLeftCell="A24" activePane="bottomLeft" state="frozen"/>
      <selection pane="bottomLeft" activeCell="J35" sqref="J3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-110</v>
      </c>
      <c r="L2" s="27"/>
    </row>
    <row r="3" spans="1:12" ht="15.75" thickBot="1" x14ac:dyDescent="0.3">
      <c r="A3" s="5"/>
      <c r="B3" s="2"/>
      <c r="C3" s="2"/>
      <c r="D3" s="2"/>
      <c r="E3" s="2"/>
      <c r="F3" s="2">
        <f>'12.25'!F6</f>
        <v>677</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752</v>
      </c>
      <c r="G6" s="30">
        <f>SUM(B:B)</f>
        <v>163</v>
      </c>
      <c r="H6" s="30">
        <f>SUM(C:C)</f>
        <v>88</v>
      </c>
      <c r="I6" s="30"/>
      <c r="J6" s="33">
        <f>SUM(G6:H6)+SUM(E:E)</f>
        <v>548</v>
      </c>
      <c r="K6" s="112"/>
      <c r="L6" s="50">
        <f>J6/K1</f>
        <v>0.85358255451713394</v>
      </c>
    </row>
    <row r="7" spans="1:12" x14ac:dyDescent="0.25">
      <c r="A7" s="17">
        <v>46028</v>
      </c>
      <c r="B7" s="18">
        <v>0</v>
      </c>
      <c r="C7" s="18">
        <v>1</v>
      </c>
      <c r="D7" s="2">
        <f t="shared" ref="D7:D44" si="0">B7-C7</f>
        <v>-1</v>
      </c>
      <c r="E7" s="18"/>
      <c r="F7" s="2"/>
      <c r="G7" s="2"/>
      <c r="H7" s="2"/>
      <c r="I7" s="2"/>
      <c r="J7" s="2"/>
      <c r="K7" s="19">
        <v>597788</v>
      </c>
      <c r="L7" s="115" t="s">
        <v>2780</v>
      </c>
    </row>
    <row r="8" spans="1:12" ht="30" x14ac:dyDescent="0.25">
      <c r="A8" s="17">
        <v>46030</v>
      </c>
      <c r="B8" s="18">
        <v>0</v>
      </c>
      <c r="C8" s="18">
        <v>17</v>
      </c>
      <c r="D8" s="2">
        <f t="shared" si="0"/>
        <v>-17</v>
      </c>
      <c r="E8" s="18"/>
      <c r="F8" s="2"/>
      <c r="G8" s="2"/>
      <c r="H8" s="2"/>
      <c r="I8" s="2"/>
      <c r="J8" s="2"/>
      <c r="K8" s="19" t="s">
        <v>2781</v>
      </c>
      <c r="L8" s="116" t="s">
        <v>2782</v>
      </c>
    </row>
    <row r="9" spans="1:12" ht="30" x14ac:dyDescent="0.25">
      <c r="A9" s="17">
        <v>46034</v>
      </c>
      <c r="B9" s="18">
        <v>0</v>
      </c>
      <c r="C9" s="18">
        <v>0</v>
      </c>
      <c r="D9" s="2">
        <f t="shared" si="0"/>
        <v>0</v>
      </c>
      <c r="E9" s="18">
        <v>70</v>
      </c>
      <c r="F9" s="2"/>
      <c r="G9" s="2"/>
      <c r="H9" s="2"/>
      <c r="I9" s="2"/>
      <c r="J9" s="2"/>
      <c r="K9" s="19" t="s">
        <v>107</v>
      </c>
      <c r="L9" s="109" t="s">
        <v>2786</v>
      </c>
    </row>
    <row r="10" spans="1:12" ht="60" x14ac:dyDescent="0.25">
      <c r="A10" s="17">
        <v>46034</v>
      </c>
      <c r="B10" s="18">
        <v>35</v>
      </c>
      <c r="C10" s="18">
        <v>0</v>
      </c>
      <c r="D10" s="2">
        <f t="shared" si="0"/>
        <v>35</v>
      </c>
      <c r="E10" s="18"/>
      <c r="F10" s="2"/>
      <c r="G10" s="2"/>
      <c r="H10" s="2"/>
      <c r="I10" s="2"/>
      <c r="J10" s="2"/>
      <c r="K10" s="19" t="s">
        <v>2784</v>
      </c>
      <c r="L10" s="109" t="s">
        <v>2783</v>
      </c>
    </row>
    <row r="11" spans="1:12" ht="30" x14ac:dyDescent="0.25">
      <c r="A11" s="17">
        <v>46037</v>
      </c>
      <c r="B11" s="18">
        <v>0</v>
      </c>
      <c r="C11" s="18">
        <v>0</v>
      </c>
      <c r="D11" s="2">
        <f t="shared" si="0"/>
        <v>0</v>
      </c>
      <c r="E11" s="18">
        <v>24</v>
      </c>
      <c r="F11" s="2"/>
      <c r="G11" s="2"/>
      <c r="H11" s="2"/>
      <c r="I11" s="2"/>
      <c r="J11" s="2"/>
      <c r="K11" s="19" t="s">
        <v>107</v>
      </c>
      <c r="L11" s="109" t="s">
        <v>2785</v>
      </c>
    </row>
    <row r="12" spans="1:12" ht="30" x14ac:dyDescent="0.25">
      <c r="A12" s="17">
        <v>46037</v>
      </c>
      <c r="B12" s="18">
        <v>12</v>
      </c>
      <c r="C12" s="18">
        <v>0</v>
      </c>
      <c r="D12" s="2">
        <f t="shared" si="0"/>
        <v>12</v>
      </c>
      <c r="E12" s="18"/>
      <c r="F12" s="2"/>
      <c r="G12" s="2"/>
      <c r="H12" s="2"/>
      <c r="I12" s="2"/>
      <c r="J12" s="2"/>
      <c r="K12" s="19" t="s">
        <v>2793</v>
      </c>
      <c r="L12" s="115" t="s">
        <v>2787</v>
      </c>
    </row>
    <row r="13" spans="1:12" ht="30" x14ac:dyDescent="0.25">
      <c r="A13" s="17">
        <v>46037</v>
      </c>
      <c r="B13" s="18">
        <v>0</v>
      </c>
      <c r="C13" s="18">
        <v>17</v>
      </c>
      <c r="D13" s="2">
        <f t="shared" si="0"/>
        <v>-17</v>
      </c>
      <c r="E13" s="18"/>
      <c r="F13" s="2"/>
      <c r="G13" s="2"/>
      <c r="H13" s="2"/>
      <c r="I13" s="2"/>
      <c r="J13" s="2"/>
      <c r="K13" s="19" t="s">
        <v>2788</v>
      </c>
      <c r="L13" s="116" t="s">
        <v>2789</v>
      </c>
    </row>
    <row r="14" spans="1:12" ht="30" x14ac:dyDescent="0.25">
      <c r="A14" s="17">
        <v>46037</v>
      </c>
      <c r="B14" s="18">
        <v>11</v>
      </c>
      <c r="C14" s="18">
        <v>0</v>
      </c>
      <c r="D14" s="2">
        <f t="shared" si="0"/>
        <v>11</v>
      </c>
      <c r="E14" s="18"/>
      <c r="F14" s="2"/>
      <c r="G14" s="2"/>
      <c r="H14" s="2"/>
      <c r="I14" s="2"/>
      <c r="J14" s="2"/>
      <c r="K14" s="19" t="s">
        <v>2790</v>
      </c>
      <c r="L14" s="117" t="s">
        <v>2794</v>
      </c>
    </row>
    <row r="15" spans="1:12" x14ac:dyDescent="0.25">
      <c r="A15" s="17">
        <v>46038</v>
      </c>
      <c r="B15" s="18">
        <v>0</v>
      </c>
      <c r="C15" s="18">
        <v>4</v>
      </c>
      <c r="D15" s="2">
        <f t="shared" si="0"/>
        <v>-4</v>
      </c>
      <c r="E15" s="18"/>
      <c r="F15" s="2"/>
      <c r="G15" s="2"/>
      <c r="H15" s="2"/>
      <c r="I15" s="2"/>
      <c r="J15" s="2"/>
      <c r="K15" s="19" t="s">
        <v>2791</v>
      </c>
      <c r="L15" s="115" t="s">
        <v>2792</v>
      </c>
    </row>
    <row r="16" spans="1:12" ht="30" x14ac:dyDescent="0.25">
      <c r="A16" s="17">
        <v>46042</v>
      </c>
      <c r="B16" s="18">
        <v>0</v>
      </c>
      <c r="C16" s="18">
        <v>0</v>
      </c>
      <c r="D16" s="2">
        <f t="shared" si="0"/>
        <v>0</v>
      </c>
      <c r="E16" s="18">
        <f>17*2</f>
        <v>34</v>
      </c>
      <c r="F16" s="2"/>
      <c r="G16" s="2"/>
      <c r="H16" s="2"/>
      <c r="I16" s="2"/>
      <c r="J16" s="2"/>
      <c r="K16" s="19" t="s">
        <v>107</v>
      </c>
      <c r="L16" s="109" t="s">
        <v>2795</v>
      </c>
    </row>
    <row r="17" spans="1:12" ht="30" x14ac:dyDescent="0.25">
      <c r="A17" s="17">
        <v>46043</v>
      </c>
      <c r="B17" s="18">
        <v>17</v>
      </c>
      <c r="C17" s="18">
        <v>0</v>
      </c>
      <c r="D17" s="2">
        <f t="shared" si="0"/>
        <v>17</v>
      </c>
      <c r="E17" s="18"/>
      <c r="F17" s="2"/>
      <c r="G17" s="2"/>
      <c r="H17" s="2"/>
      <c r="I17" s="2"/>
      <c r="J17" s="2"/>
      <c r="K17" s="19" t="s">
        <v>2797</v>
      </c>
      <c r="L17" s="115" t="s">
        <v>2796</v>
      </c>
    </row>
    <row r="18" spans="1:12" x14ac:dyDescent="0.25">
      <c r="A18" s="17">
        <v>46042</v>
      </c>
      <c r="B18" s="18">
        <v>1</v>
      </c>
      <c r="C18" s="18">
        <v>1</v>
      </c>
      <c r="D18" s="2">
        <f t="shared" si="0"/>
        <v>0</v>
      </c>
      <c r="E18" s="18">
        <v>1</v>
      </c>
      <c r="F18" s="2"/>
      <c r="G18" s="2"/>
      <c r="H18" s="2"/>
      <c r="I18" s="2"/>
      <c r="J18" s="2"/>
      <c r="K18" s="19" t="s">
        <v>2798</v>
      </c>
      <c r="L18" s="115" t="s">
        <v>2799</v>
      </c>
    </row>
    <row r="19" spans="1:12" x14ac:dyDescent="0.25">
      <c r="A19" s="17">
        <v>46043</v>
      </c>
      <c r="B19" s="18">
        <v>0</v>
      </c>
      <c r="C19" s="18">
        <v>2</v>
      </c>
      <c r="D19" s="2">
        <f t="shared" si="0"/>
        <v>-2</v>
      </c>
      <c r="E19" s="18"/>
      <c r="F19" s="2"/>
      <c r="G19" s="2"/>
      <c r="H19" s="2"/>
      <c r="I19" s="2"/>
      <c r="J19" s="2"/>
      <c r="K19" s="19" t="s">
        <v>2800</v>
      </c>
      <c r="L19" s="116" t="s">
        <v>2801</v>
      </c>
    </row>
    <row r="20" spans="1:12" ht="30" x14ac:dyDescent="0.25">
      <c r="A20" s="17">
        <v>46044</v>
      </c>
      <c r="B20" s="18">
        <v>0</v>
      </c>
      <c r="C20" s="18">
        <v>17</v>
      </c>
      <c r="D20" s="2">
        <f t="shared" si="0"/>
        <v>-17</v>
      </c>
      <c r="E20" s="18"/>
      <c r="F20" s="2"/>
      <c r="G20" s="2"/>
      <c r="H20" s="2"/>
      <c r="I20" s="2"/>
      <c r="J20" s="2"/>
      <c r="K20" s="19" t="s">
        <v>2802</v>
      </c>
      <c r="L20" s="115" t="s">
        <v>2799</v>
      </c>
    </row>
    <row r="21" spans="1:12" x14ac:dyDescent="0.25">
      <c r="A21" s="21">
        <v>46044</v>
      </c>
      <c r="B21" s="22">
        <v>0</v>
      </c>
      <c r="C21" s="22">
        <v>3</v>
      </c>
      <c r="D21" s="2">
        <f t="shared" si="0"/>
        <v>-3</v>
      </c>
      <c r="E21" s="22"/>
      <c r="F21" s="23"/>
      <c r="G21" s="23"/>
      <c r="H21" s="23"/>
      <c r="I21" s="23"/>
      <c r="J21" s="23"/>
      <c r="K21" s="19" t="s">
        <v>2806</v>
      </c>
      <c r="L21" s="115" t="s">
        <v>2805</v>
      </c>
    </row>
    <row r="22" spans="1:12" x14ac:dyDescent="0.25">
      <c r="A22" s="17">
        <v>46045</v>
      </c>
      <c r="B22" s="18">
        <v>0</v>
      </c>
      <c r="C22" s="18">
        <v>2</v>
      </c>
      <c r="D22" s="2">
        <f t="shared" si="0"/>
        <v>-2</v>
      </c>
      <c r="E22" s="18"/>
      <c r="F22" s="2"/>
      <c r="G22" s="2"/>
      <c r="H22" s="2"/>
      <c r="I22" s="2"/>
      <c r="J22" s="2"/>
      <c r="K22" s="19" t="s">
        <v>2803</v>
      </c>
      <c r="L22" s="115" t="s">
        <v>2804</v>
      </c>
    </row>
    <row r="23" spans="1:12" ht="30" x14ac:dyDescent="0.25">
      <c r="A23" s="17">
        <v>46049</v>
      </c>
      <c r="B23" s="18">
        <v>0</v>
      </c>
      <c r="C23" s="18">
        <v>0</v>
      </c>
      <c r="D23" s="2">
        <f t="shared" si="0"/>
        <v>0</v>
      </c>
      <c r="E23" s="18">
        <v>66</v>
      </c>
      <c r="F23" s="2"/>
      <c r="G23" s="2"/>
      <c r="H23" s="2"/>
      <c r="I23" s="2"/>
      <c r="J23" s="2"/>
      <c r="K23" s="19" t="s">
        <v>107</v>
      </c>
      <c r="L23" s="109" t="s">
        <v>2807</v>
      </c>
    </row>
    <row r="24" spans="1:12" s="3" customFormat="1" ht="60" x14ac:dyDescent="0.25">
      <c r="A24" s="17">
        <v>46050</v>
      </c>
      <c r="B24" s="18">
        <v>33</v>
      </c>
      <c r="C24" s="18">
        <v>0</v>
      </c>
      <c r="D24" s="2">
        <f t="shared" si="0"/>
        <v>33</v>
      </c>
      <c r="E24" s="18"/>
      <c r="F24" s="2"/>
      <c r="G24" s="2"/>
      <c r="H24" s="2"/>
      <c r="I24" s="2"/>
      <c r="J24" s="2"/>
      <c r="K24" s="19" t="s">
        <v>2815</v>
      </c>
      <c r="L24" s="118" t="s">
        <v>2808</v>
      </c>
    </row>
    <row r="25" spans="1:12" x14ac:dyDescent="0.25">
      <c r="A25" s="17">
        <v>46049</v>
      </c>
      <c r="B25" s="18">
        <v>1</v>
      </c>
      <c r="C25" s="18">
        <v>1</v>
      </c>
      <c r="D25" s="2">
        <f t="shared" si="0"/>
        <v>0</v>
      </c>
      <c r="E25" s="18">
        <v>1</v>
      </c>
      <c r="F25" s="2"/>
      <c r="G25" s="2"/>
      <c r="H25" s="2"/>
      <c r="I25" s="2"/>
      <c r="J25" s="2"/>
      <c r="K25" s="19" t="s">
        <v>2809</v>
      </c>
      <c r="L25" s="116" t="s">
        <v>2463</v>
      </c>
    </row>
    <row r="26" spans="1:12" x14ac:dyDescent="0.25">
      <c r="A26" s="17">
        <v>46049</v>
      </c>
      <c r="B26" s="18">
        <v>2</v>
      </c>
      <c r="C26" s="18">
        <v>2</v>
      </c>
      <c r="D26" s="2">
        <f t="shared" si="0"/>
        <v>0</v>
      </c>
      <c r="E26" s="18">
        <v>2</v>
      </c>
      <c r="F26" s="2"/>
      <c r="G26" s="2"/>
      <c r="H26" s="2"/>
      <c r="I26" s="2"/>
      <c r="J26" s="2"/>
      <c r="K26" s="19" t="s">
        <v>2810</v>
      </c>
      <c r="L26" s="115" t="s">
        <v>2463</v>
      </c>
    </row>
    <row r="27" spans="1:12" x14ac:dyDescent="0.25">
      <c r="A27" s="17">
        <v>46049</v>
      </c>
      <c r="B27" s="18">
        <v>4</v>
      </c>
      <c r="C27" s="18">
        <v>4</v>
      </c>
      <c r="D27" s="2">
        <f t="shared" si="0"/>
        <v>0</v>
      </c>
      <c r="E27" s="18">
        <v>4</v>
      </c>
      <c r="F27" s="2"/>
      <c r="G27" s="2"/>
      <c r="H27" s="2"/>
      <c r="I27" s="2"/>
      <c r="J27" s="2"/>
      <c r="K27" s="19" t="s">
        <v>2811</v>
      </c>
      <c r="L27" s="116" t="s">
        <v>2819</v>
      </c>
    </row>
    <row r="28" spans="1:12" ht="30" x14ac:dyDescent="0.25">
      <c r="A28" s="17">
        <v>46050</v>
      </c>
      <c r="B28" s="18">
        <v>0</v>
      </c>
      <c r="C28" s="18">
        <v>0</v>
      </c>
      <c r="D28" s="2">
        <f t="shared" si="0"/>
        <v>0</v>
      </c>
      <c r="E28" s="18">
        <v>44</v>
      </c>
      <c r="F28" s="2"/>
      <c r="G28" s="2"/>
      <c r="H28" s="2"/>
      <c r="I28" s="2"/>
      <c r="J28" s="2"/>
      <c r="K28" s="19" t="s">
        <v>107</v>
      </c>
      <c r="L28" s="109" t="s">
        <v>2812</v>
      </c>
    </row>
    <row r="29" spans="1:12" s="3" customFormat="1" ht="45" x14ac:dyDescent="0.25">
      <c r="A29" s="17">
        <v>46051</v>
      </c>
      <c r="B29" s="18">
        <v>22</v>
      </c>
      <c r="C29" s="18">
        <v>0</v>
      </c>
      <c r="D29" s="2">
        <f t="shared" si="0"/>
        <v>22</v>
      </c>
      <c r="E29" s="18"/>
      <c r="F29" s="2"/>
      <c r="G29" s="2"/>
      <c r="H29" s="2"/>
      <c r="I29" s="2"/>
      <c r="J29" s="2"/>
      <c r="K29" s="19" t="s">
        <v>2821</v>
      </c>
      <c r="L29" s="119" t="s">
        <v>2813</v>
      </c>
    </row>
    <row r="30" spans="1:12" x14ac:dyDescent="0.25">
      <c r="A30" s="17">
        <v>46049</v>
      </c>
      <c r="B30" s="18">
        <v>0</v>
      </c>
      <c r="C30" s="18">
        <v>0</v>
      </c>
      <c r="D30" s="2">
        <f t="shared" si="0"/>
        <v>0</v>
      </c>
      <c r="E30" s="18">
        <v>4</v>
      </c>
      <c r="F30" s="2"/>
      <c r="G30" s="2"/>
      <c r="H30" s="2"/>
      <c r="I30" s="2"/>
      <c r="J30" s="2"/>
      <c r="K30" s="19" t="s">
        <v>2814</v>
      </c>
      <c r="L30" s="116" t="s">
        <v>2823</v>
      </c>
    </row>
    <row r="31" spans="1:12" x14ac:dyDescent="0.25">
      <c r="A31" s="17">
        <v>46051</v>
      </c>
      <c r="B31" s="18">
        <v>0</v>
      </c>
      <c r="C31" s="18">
        <v>4</v>
      </c>
      <c r="D31" s="2">
        <f t="shared" si="0"/>
        <v>-4</v>
      </c>
      <c r="E31" s="18"/>
      <c r="F31" s="2"/>
      <c r="G31" s="2"/>
      <c r="H31" s="2"/>
      <c r="I31" s="2"/>
      <c r="J31" s="2"/>
      <c r="K31" s="19" t="s">
        <v>2814</v>
      </c>
      <c r="L31" s="116" t="s">
        <v>2822</v>
      </c>
    </row>
    <row r="32" spans="1:12" ht="30" x14ac:dyDescent="0.25">
      <c r="A32" s="17">
        <v>46051</v>
      </c>
      <c r="B32" s="18">
        <v>0</v>
      </c>
      <c r="C32" s="18">
        <v>0</v>
      </c>
      <c r="D32" s="2">
        <f t="shared" si="0"/>
        <v>0</v>
      </c>
      <c r="E32" s="18">
        <v>44</v>
      </c>
      <c r="F32" s="2"/>
      <c r="G32" s="2"/>
      <c r="H32" s="2"/>
      <c r="I32" s="2"/>
      <c r="J32" s="2"/>
      <c r="K32" s="19" t="s">
        <v>107</v>
      </c>
      <c r="L32" s="109" t="s">
        <v>2816</v>
      </c>
    </row>
    <row r="33" spans="1:12" ht="45" x14ac:dyDescent="0.25">
      <c r="A33" s="17">
        <v>46051</v>
      </c>
      <c r="B33" s="18">
        <v>22</v>
      </c>
      <c r="C33" s="18">
        <v>0</v>
      </c>
      <c r="D33" s="2">
        <f t="shared" si="0"/>
        <v>22</v>
      </c>
      <c r="E33" s="18"/>
      <c r="F33" s="2"/>
      <c r="G33" s="2"/>
      <c r="H33" s="2"/>
      <c r="I33" s="2"/>
      <c r="J33" s="2"/>
      <c r="K33" s="19" t="s">
        <v>2825</v>
      </c>
      <c r="L33" s="116" t="s">
        <v>2817</v>
      </c>
    </row>
    <row r="34" spans="1:12" x14ac:dyDescent="0.25">
      <c r="A34" s="17">
        <v>46051</v>
      </c>
      <c r="B34" s="18">
        <v>0</v>
      </c>
      <c r="C34" s="18">
        <v>6</v>
      </c>
      <c r="D34" s="2">
        <f t="shared" si="0"/>
        <v>-6</v>
      </c>
      <c r="E34" s="18"/>
      <c r="F34" s="2"/>
      <c r="G34" s="2"/>
      <c r="H34" s="2"/>
      <c r="I34" s="2"/>
      <c r="J34" s="2"/>
      <c r="K34" s="19" t="s">
        <v>2820</v>
      </c>
      <c r="L34" s="116" t="s">
        <v>2818</v>
      </c>
    </row>
    <row r="35" spans="1:12" x14ac:dyDescent="0.25">
      <c r="A35" s="17">
        <v>46051</v>
      </c>
      <c r="B35" s="18">
        <v>3</v>
      </c>
      <c r="C35" s="18">
        <v>3</v>
      </c>
      <c r="D35" s="2">
        <f t="shared" si="0"/>
        <v>0</v>
      </c>
      <c r="E35" s="18">
        <v>3</v>
      </c>
      <c r="F35" s="2"/>
      <c r="G35" s="2"/>
      <c r="H35" s="2"/>
      <c r="I35" s="2"/>
      <c r="J35" s="2"/>
      <c r="K35" s="19" t="s">
        <v>2824</v>
      </c>
      <c r="L35" s="115" t="s">
        <v>2463</v>
      </c>
    </row>
    <row r="36" spans="1:12" x14ac:dyDescent="0.25">
      <c r="A36" s="17">
        <v>46052</v>
      </c>
      <c r="B36" s="18">
        <v>0</v>
      </c>
      <c r="C36" s="18">
        <v>4</v>
      </c>
      <c r="D36" s="2">
        <f t="shared" si="0"/>
        <v>-4</v>
      </c>
      <c r="E36" s="18"/>
      <c r="F36" s="2"/>
      <c r="G36" s="2"/>
      <c r="H36" s="2"/>
      <c r="I36" s="2"/>
      <c r="J36" s="2"/>
      <c r="K36" s="19" t="s">
        <v>2826</v>
      </c>
      <c r="L36" s="116" t="s">
        <v>2827</v>
      </c>
    </row>
    <row r="37" spans="1:12" x14ac:dyDescent="0.25">
      <c r="A37" s="17"/>
      <c r="B37" s="18"/>
      <c r="C37" s="18"/>
      <c r="D37" s="2">
        <f t="shared" si="0"/>
        <v>0</v>
      </c>
      <c r="E37" s="18"/>
      <c r="F37" s="2"/>
      <c r="G37" s="2"/>
      <c r="H37" s="2"/>
      <c r="I37" s="2"/>
      <c r="J37" s="2"/>
      <c r="K37" s="19"/>
      <c r="L37" s="116"/>
    </row>
    <row r="38" spans="1:12" x14ac:dyDescent="0.25">
      <c r="A38" s="17"/>
      <c r="B38" s="18"/>
      <c r="C38" s="18"/>
      <c r="D38" s="2">
        <f t="shared" si="0"/>
        <v>0</v>
      </c>
      <c r="E38" s="18"/>
      <c r="F38" s="2"/>
      <c r="G38" s="2"/>
      <c r="H38" s="2"/>
      <c r="I38" s="2"/>
      <c r="J38" s="2"/>
      <c r="K38" s="19"/>
      <c r="L38" s="116"/>
    </row>
    <row r="39" spans="1:12" x14ac:dyDescent="0.25">
      <c r="A39" s="17"/>
      <c r="B39" s="18"/>
      <c r="C39" s="18"/>
      <c r="D39" s="2">
        <f t="shared" si="0"/>
        <v>0</v>
      </c>
      <c r="E39" s="18"/>
      <c r="F39" s="2"/>
      <c r="G39" s="2"/>
      <c r="H39" s="2"/>
      <c r="I39" s="2"/>
      <c r="J39" s="2"/>
      <c r="K39" s="19"/>
      <c r="L39" s="116"/>
    </row>
    <row r="40" spans="1:12" x14ac:dyDescent="0.25">
      <c r="A40" s="17"/>
      <c r="B40" s="18"/>
      <c r="C40" s="18"/>
      <c r="D40" s="2">
        <f t="shared" si="0"/>
        <v>0</v>
      </c>
      <c r="E40" s="18"/>
      <c r="F40" s="2"/>
      <c r="G40" s="2"/>
      <c r="H40" s="2"/>
      <c r="I40" s="2"/>
      <c r="J40" s="2"/>
      <c r="K40" s="19"/>
      <c r="L40" s="116"/>
    </row>
    <row r="41" spans="1:12" x14ac:dyDescent="0.25">
      <c r="A41" s="17"/>
      <c r="B41" s="18"/>
      <c r="C41" s="18"/>
      <c r="D41" s="2">
        <f t="shared" si="0"/>
        <v>0</v>
      </c>
      <c r="E41" s="18"/>
      <c r="F41" s="2"/>
      <c r="G41" s="2"/>
      <c r="H41" s="2"/>
      <c r="I41" s="2"/>
      <c r="J41" s="2"/>
      <c r="K41" s="19"/>
      <c r="L41" s="116"/>
    </row>
    <row r="42" spans="1:12" x14ac:dyDescent="0.25">
      <c r="A42" s="17"/>
      <c r="B42" s="18"/>
      <c r="C42" s="18"/>
      <c r="D42" s="2">
        <f t="shared" si="0"/>
        <v>0</v>
      </c>
      <c r="E42" s="18"/>
      <c r="F42" s="2"/>
      <c r="G42" s="2"/>
      <c r="H42" s="2"/>
      <c r="I42" s="2"/>
      <c r="J42" s="2"/>
      <c r="K42" s="19"/>
      <c r="L42" s="116"/>
    </row>
    <row r="43" spans="1:12" x14ac:dyDescent="0.25">
      <c r="A43" s="17"/>
      <c r="B43" s="18"/>
      <c r="C43" s="18"/>
      <c r="D43" s="2">
        <f t="shared" si="0"/>
        <v>0</v>
      </c>
      <c r="E43" s="18"/>
      <c r="F43" s="2"/>
      <c r="G43" s="2"/>
      <c r="H43" s="2"/>
      <c r="I43" s="2"/>
      <c r="J43" s="2"/>
      <c r="K43" s="19"/>
      <c r="L43" s="116"/>
    </row>
    <row r="44" spans="1:12" x14ac:dyDescent="0.25">
      <c r="A44" s="17"/>
      <c r="B44" s="18"/>
      <c r="C44" s="18"/>
      <c r="D44" s="2">
        <f t="shared" si="0"/>
        <v>0</v>
      </c>
      <c r="E44" s="18"/>
      <c r="F44" s="2"/>
      <c r="G44" s="2"/>
      <c r="H44" s="2"/>
      <c r="I44" s="2"/>
      <c r="J44" s="2"/>
      <c r="K44" s="19"/>
      <c r="L44" s="116"/>
    </row>
    <row r="45" spans="1:12" x14ac:dyDescent="0.25">
      <c r="L45" s="116"/>
    </row>
    <row r="46" spans="1:12" x14ac:dyDescent="0.25">
      <c r="L46" s="116"/>
    </row>
    <row r="47" spans="1:12" x14ac:dyDescent="0.25">
      <c r="L47" s="116"/>
    </row>
  </sheetData>
  <phoneticPr fontId="15" type="noConversion"/>
  <conditionalFormatting sqref="K2">
    <cfRule type="cellIs" dxfId="15" priority="1" operator="lessThan">
      <formula>0</formula>
    </cfRule>
    <cfRule type="cellIs" dxfId="14" priority="2" operator="greaterThan">
      <formula>0</formula>
    </cfRule>
  </conditionalFormatting>
  <printOptions horizontalCentered="1" verticalCentered="1"/>
  <pageMargins left="0.11811023622047245" right="0.11811023622047245" top="0.78740157480314965" bottom="0.78740157480314965" header="0.31496062992125984" footer="0.31496062992125984"/>
  <pageSetup paperSize="9" scale="55" orientation="landscape" r:id="rId1"/>
  <headerFooter>
    <oddFooter>&amp;C&amp;D / &amp;T&amp;RSeite &amp;P von &amp;N</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L44"/>
  <sheetViews>
    <sheetView workbookViewId="0">
      <pane ySplit="6" topLeftCell="A15" activePane="bottomLeft" state="frozen"/>
      <selection pane="bottomLeft" activeCell="K25" sqref="K25"/>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-73</v>
      </c>
      <c r="L2" s="27"/>
    </row>
    <row r="3" spans="1:12" ht="15.75" thickBot="1" x14ac:dyDescent="0.3">
      <c r="A3" s="5"/>
      <c r="B3" s="2"/>
      <c r="C3" s="2"/>
      <c r="D3" s="2"/>
      <c r="E3" s="2"/>
      <c r="F3" s="2">
        <f>'01.26'!F6</f>
        <v>752</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715</v>
      </c>
      <c r="G6" s="30">
        <f>SUM(B:B)</f>
        <v>75</v>
      </c>
      <c r="H6" s="30">
        <f>SUM(C:C)</f>
        <v>112</v>
      </c>
      <c r="I6" s="30"/>
      <c r="J6" s="33">
        <f>SUM(G6:H6)+SUM(E:E)</f>
        <v>315</v>
      </c>
      <c r="K6" s="112"/>
      <c r="L6" s="50">
        <f>J6/K1</f>
        <v>0.49065420560747663</v>
      </c>
    </row>
    <row r="7" spans="1:12" ht="30" x14ac:dyDescent="0.25">
      <c r="A7" s="17">
        <v>46055</v>
      </c>
      <c r="B7" s="18">
        <v>0</v>
      </c>
      <c r="C7" s="18">
        <v>0</v>
      </c>
      <c r="D7" s="2">
        <f t="shared" ref="D7:D44" si="0">B7-C7</f>
        <v>0</v>
      </c>
      <c r="E7" s="18">
        <v>30</v>
      </c>
      <c r="F7" s="2"/>
      <c r="G7" s="2"/>
      <c r="H7" s="2"/>
      <c r="I7" s="2"/>
      <c r="J7" s="2"/>
      <c r="K7" s="19" t="s">
        <v>107</v>
      </c>
      <c r="L7" s="109" t="s">
        <v>2828</v>
      </c>
    </row>
    <row r="8" spans="1:12" ht="30" x14ac:dyDescent="0.25">
      <c r="A8" s="17">
        <v>46055</v>
      </c>
      <c r="B8" s="18">
        <v>15</v>
      </c>
      <c r="C8" s="18">
        <v>0</v>
      </c>
      <c r="D8" s="2">
        <f t="shared" si="0"/>
        <v>15</v>
      </c>
      <c r="E8" s="18"/>
      <c r="F8" s="2"/>
      <c r="G8" s="2"/>
      <c r="H8" s="2"/>
      <c r="I8" s="2"/>
      <c r="J8" s="2"/>
      <c r="K8" s="19" t="s">
        <v>2834</v>
      </c>
      <c r="L8" s="66" t="s">
        <v>2830</v>
      </c>
    </row>
    <row r="9" spans="1:12" x14ac:dyDescent="0.25">
      <c r="A9" s="17">
        <v>46055</v>
      </c>
      <c r="B9" s="18">
        <v>2</v>
      </c>
      <c r="C9" s="18">
        <v>2</v>
      </c>
      <c r="D9" s="2">
        <f t="shared" si="0"/>
        <v>0</v>
      </c>
      <c r="E9" s="18">
        <v>2</v>
      </c>
      <c r="F9" s="2"/>
      <c r="G9" s="2"/>
      <c r="H9" s="2"/>
      <c r="I9" s="2"/>
      <c r="J9" s="2"/>
      <c r="K9" s="19" t="s">
        <v>2832</v>
      </c>
      <c r="L9" s="115" t="s">
        <v>2463</v>
      </c>
    </row>
    <row r="10" spans="1:12" ht="30" x14ac:dyDescent="0.25">
      <c r="A10" s="17">
        <v>46056</v>
      </c>
      <c r="B10" s="18">
        <v>0</v>
      </c>
      <c r="C10" s="18">
        <v>0</v>
      </c>
      <c r="D10" s="2">
        <f t="shared" si="0"/>
        <v>0</v>
      </c>
      <c r="E10" s="18">
        <v>30</v>
      </c>
      <c r="F10" s="2"/>
      <c r="G10" s="2"/>
      <c r="H10" s="2"/>
      <c r="I10" s="2"/>
      <c r="J10" s="2"/>
      <c r="K10" s="19" t="s">
        <v>107</v>
      </c>
      <c r="L10" s="109" t="s">
        <v>2829</v>
      </c>
    </row>
    <row r="11" spans="1:12" ht="30" x14ac:dyDescent="0.25">
      <c r="A11" s="17">
        <v>46056</v>
      </c>
      <c r="B11" s="18">
        <v>15</v>
      </c>
      <c r="C11" s="18">
        <v>0</v>
      </c>
      <c r="D11" s="2">
        <f t="shared" si="0"/>
        <v>15</v>
      </c>
      <c r="E11" s="18"/>
      <c r="F11" s="2"/>
      <c r="G11" s="2"/>
      <c r="H11" s="2"/>
      <c r="I11" s="2"/>
      <c r="J11" s="2"/>
      <c r="K11" s="19" t="s">
        <v>2835</v>
      </c>
      <c r="L11" s="106" t="s">
        <v>2831</v>
      </c>
    </row>
    <row r="12" spans="1:12" x14ac:dyDescent="0.25">
      <c r="A12" s="17">
        <v>46056</v>
      </c>
      <c r="B12" s="18">
        <v>1</v>
      </c>
      <c r="C12" s="18">
        <v>1</v>
      </c>
      <c r="D12" s="2">
        <f t="shared" si="0"/>
        <v>0</v>
      </c>
      <c r="E12" s="18">
        <v>1</v>
      </c>
      <c r="F12" s="2"/>
      <c r="G12" s="2"/>
      <c r="H12" s="2"/>
      <c r="I12" s="2"/>
      <c r="J12" s="2"/>
      <c r="K12" s="19" t="s">
        <v>2833</v>
      </c>
      <c r="L12" s="115" t="s">
        <v>2463</v>
      </c>
    </row>
    <row r="13" spans="1:12" ht="45" x14ac:dyDescent="0.25">
      <c r="A13" s="17">
        <v>46058</v>
      </c>
      <c r="B13" s="18">
        <v>0</v>
      </c>
      <c r="C13" s="18">
        <v>19</v>
      </c>
      <c r="D13" s="2">
        <f t="shared" si="0"/>
        <v>-19</v>
      </c>
      <c r="E13" s="18"/>
      <c r="F13" s="2"/>
      <c r="G13" s="2"/>
      <c r="H13" s="2"/>
      <c r="I13" s="2"/>
      <c r="J13" s="2"/>
      <c r="K13" s="19" t="s">
        <v>2836</v>
      </c>
      <c r="L13" s="66" t="s">
        <v>2837</v>
      </c>
    </row>
    <row r="14" spans="1:12" x14ac:dyDescent="0.25">
      <c r="A14" s="17">
        <v>46062</v>
      </c>
      <c r="B14" s="18">
        <v>2</v>
      </c>
      <c r="C14" s="18">
        <v>2</v>
      </c>
      <c r="D14" s="2">
        <f t="shared" si="0"/>
        <v>0</v>
      </c>
      <c r="E14" s="18">
        <v>2</v>
      </c>
      <c r="F14" s="2"/>
      <c r="G14" s="2"/>
      <c r="H14" s="2"/>
      <c r="I14" s="2"/>
      <c r="J14" s="2"/>
      <c r="K14" s="19" t="s">
        <v>2838</v>
      </c>
      <c r="L14" s="115" t="s">
        <v>2463</v>
      </c>
    </row>
    <row r="15" spans="1:12" ht="60" x14ac:dyDescent="0.25">
      <c r="A15" s="17">
        <v>46065</v>
      </c>
      <c r="B15" s="18">
        <v>0</v>
      </c>
      <c r="C15" s="18">
        <v>34</v>
      </c>
      <c r="D15" s="2">
        <f t="shared" si="0"/>
        <v>-34</v>
      </c>
      <c r="E15" s="18"/>
      <c r="F15" s="2"/>
      <c r="G15" s="2"/>
      <c r="H15" s="2"/>
      <c r="I15" s="2"/>
      <c r="J15" s="2"/>
      <c r="K15" s="19" t="s">
        <v>2839</v>
      </c>
      <c r="L15" s="106" t="s">
        <v>2843</v>
      </c>
    </row>
    <row r="16" spans="1:12" x14ac:dyDescent="0.25">
      <c r="A16" s="17">
        <v>46065</v>
      </c>
      <c r="B16" s="18">
        <v>1</v>
      </c>
      <c r="C16" s="18">
        <v>1</v>
      </c>
      <c r="D16" s="2">
        <f t="shared" si="0"/>
        <v>0</v>
      </c>
      <c r="E16" s="18">
        <v>1</v>
      </c>
      <c r="F16" s="2"/>
      <c r="G16" s="2"/>
      <c r="H16" s="2"/>
      <c r="I16" s="2"/>
      <c r="J16" s="2"/>
      <c r="K16" s="19" t="s">
        <v>2841</v>
      </c>
      <c r="L16" s="106" t="s">
        <v>2463</v>
      </c>
    </row>
    <row r="17" spans="1:12" x14ac:dyDescent="0.25">
      <c r="A17" s="17">
        <v>46065</v>
      </c>
      <c r="B17" s="18">
        <v>5</v>
      </c>
      <c r="C17" s="18">
        <v>0</v>
      </c>
      <c r="D17" s="2">
        <f t="shared" si="0"/>
        <v>5</v>
      </c>
      <c r="E17" s="18"/>
      <c r="F17" s="2"/>
      <c r="G17" s="2"/>
      <c r="H17" s="2"/>
      <c r="I17" s="2"/>
      <c r="J17" s="2"/>
      <c r="K17" s="19" t="s">
        <v>2842</v>
      </c>
      <c r="L17" s="106" t="s">
        <v>2840</v>
      </c>
    </row>
    <row r="18" spans="1:12" ht="30" x14ac:dyDescent="0.25">
      <c r="A18" s="17">
        <v>46070</v>
      </c>
      <c r="B18" s="18">
        <v>0</v>
      </c>
      <c r="C18" s="18">
        <v>0</v>
      </c>
      <c r="D18" s="2">
        <f t="shared" si="0"/>
        <v>0</v>
      </c>
      <c r="E18" s="18">
        <v>24</v>
      </c>
      <c r="F18" s="2"/>
      <c r="G18" s="2"/>
      <c r="H18" s="2"/>
      <c r="I18" s="2"/>
      <c r="J18" s="2"/>
      <c r="K18" s="19" t="s">
        <v>107</v>
      </c>
      <c r="L18" s="109" t="s">
        <v>2844</v>
      </c>
    </row>
    <row r="19" spans="1:12" ht="30" x14ac:dyDescent="0.25">
      <c r="A19" s="17">
        <v>46070</v>
      </c>
      <c r="B19" s="18">
        <v>12</v>
      </c>
      <c r="C19" s="18">
        <v>0</v>
      </c>
      <c r="D19" s="2">
        <f t="shared" si="0"/>
        <v>12</v>
      </c>
      <c r="E19" s="18"/>
      <c r="F19" s="2"/>
      <c r="G19" s="2"/>
      <c r="H19" s="2"/>
      <c r="I19" s="2"/>
      <c r="J19" s="2"/>
      <c r="K19" s="19" t="s">
        <v>2846</v>
      </c>
      <c r="L19" s="66" t="s">
        <v>2845</v>
      </c>
    </row>
    <row r="20" spans="1:12" ht="30" x14ac:dyDescent="0.25">
      <c r="A20" s="17">
        <v>46071</v>
      </c>
      <c r="B20" s="18">
        <v>0</v>
      </c>
      <c r="C20" s="18">
        <v>16</v>
      </c>
      <c r="D20" s="2">
        <f t="shared" si="0"/>
        <v>-16</v>
      </c>
      <c r="E20" s="18"/>
      <c r="F20" s="2"/>
      <c r="G20" s="2"/>
      <c r="H20" s="2"/>
      <c r="I20" s="2"/>
      <c r="J20" s="2"/>
      <c r="K20" s="19" t="s">
        <v>2847</v>
      </c>
      <c r="L20" s="106" t="s">
        <v>2848</v>
      </c>
    </row>
    <row r="21" spans="1:12" ht="30" x14ac:dyDescent="0.25">
      <c r="A21" s="21">
        <v>46072</v>
      </c>
      <c r="B21" s="22">
        <v>0</v>
      </c>
      <c r="C21" s="22">
        <v>0</v>
      </c>
      <c r="D21" s="2">
        <f t="shared" si="0"/>
        <v>0</v>
      </c>
      <c r="E21" s="22">
        <v>32</v>
      </c>
      <c r="F21" s="23"/>
      <c r="G21" s="23"/>
      <c r="H21" s="23"/>
      <c r="I21" s="23"/>
      <c r="J21" s="23"/>
      <c r="K21" s="19" t="s">
        <v>107</v>
      </c>
      <c r="L21" s="109" t="s">
        <v>2849</v>
      </c>
    </row>
    <row r="22" spans="1:12" ht="30" x14ac:dyDescent="0.25">
      <c r="A22" s="17">
        <v>20</v>
      </c>
      <c r="B22" s="18">
        <v>16</v>
      </c>
      <c r="C22" s="18">
        <v>0</v>
      </c>
      <c r="D22" s="2">
        <f t="shared" si="0"/>
        <v>16</v>
      </c>
      <c r="E22" s="18"/>
      <c r="F22" s="2"/>
      <c r="G22" s="2"/>
      <c r="H22" s="2"/>
      <c r="I22" s="2"/>
      <c r="J22" s="2"/>
      <c r="K22" s="19" t="s">
        <v>2852</v>
      </c>
      <c r="L22" s="106" t="s">
        <v>2850</v>
      </c>
    </row>
    <row r="23" spans="1:12" x14ac:dyDescent="0.25">
      <c r="A23" s="17">
        <v>46072</v>
      </c>
      <c r="B23" s="18">
        <v>2</v>
      </c>
      <c r="C23" s="18">
        <v>2</v>
      </c>
      <c r="D23" s="2">
        <f t="shared" si="0"/>
        <v>0</v>
      </c>
      <c r="E23" s="18">
        <v>2</v>
      </c>
      <c r="F23" s="2"/>
      <c r="G23" s="2"/>
      <c r="H23" s="2"/>
      <c r="I23" s="2"/>
      <c r="J23" s="2"/>
      <c r="K23" s="19" t="s">
        <v>2851</v>
      </c>
      <c r="L23" s="106" t="s">
        <v>2463</v>
      </c>
    </row>
    <row r="24" spans="1:12" ht="30" x14ac:dyDescent="0.25">
      <c r="A24" s="17">
        <v>46072</v>
      </c>
      <c r="B24" s="18">
        <v>0</v>
      </c>
      <c r="C24" s="18">
        <v>13</v>
      </c>
      <c r="D24" s="2">
        <f t="shared" si="0"/>
        <v>-13</v>
      </c>
      <c r="E24" s="18"/>
      <c r="F24" s="2"/>
      <c r="G24" s="2"/>
      <c r="H24" s="2"/>
      <c r="I24" s="2"/>
      <c r="J24" s="2"/>
      <c r="K24" s="19" t="s">
        <v>2853</v>
      </c>
      <c r="L24" s="106" t="s">
        <v>2854</v>
      </c>
    </row>
    <row r="25" spans="1:12" x14ac:dyDescent="0.25">
      <c r="A25" s="17">
        <v>46077</v>
      </c>
      <c r="B25" s="18">
        <v>1</v>
      </c>
      <c r="C25" s="18">
        <v>1</v>
      </c>
      <c r="D25" s="2">
        <f t="shared" si="0"/>
        <v>0</v>
      </c>
      <c r="E25" s="18">
        <v>1</v>
      </c>
      <c r="F25" s="2"/>
      <c r="G25" s="2"/>
      <c r="H25" s="2"/>
      <c r="I25" s="2"/>
      <c r="J25" s="2"/>
      <c r="K25" s="19" t="s">
        <v>2855</v>
      </c>
      <c r="L25" s="106" t="s">
        <v>2463</v>
      </c>
    </row>
    <row r="26" spans="1:12" x14ac:dyDescent="0.25">
      <c r="A26" s="17">
        <v>46077</v>
      </c>
      <c r="B26" s="18">
        <v>3</v>
      </c>
      <c r="C26" s="18">
        <v>3</v>
      </c>
      <c r="D26" s="2">
        <f t="shared" si="0"/>
        <v>0</v>
      </c>
      <c r="E26" s="18">
        <v>3</v>
      </c>
      <c r="F26" s="2"/>
      <c r="G26" s="2"/>
      <c r="H26" s="2"/>
      <c r="I26" s="2"/>
      <c r="J26" s="2"/>
      <c r="K26" s="19" t="s">
        <v>2856</v>
      </c>
      <c r="L26" s="106" t="s">
        <v>2857</v>
      </c>
    </row>
    <row r="27" spans="1:12" ht="30" x14ac:dyDescent="0.25">
      <c r="A27" s="17">
        <v>46079</v>
      </c>
      <c r="B27" s="18">
        <v>0</v>
      </c>
      <c r="C27" s="18">
        <v>18</v>
      </c>
      <c r="D27" s="2">
        <f t="shared" si="0"/>
        <v>-18</v>
      </c>
      <c r="E27" s="18"/>
      <c r="F27" s="2"/>
      <c r="G27" s="2"/>
      <c r="H27" s="2"/>
      <c r="I27" s="2"/>
      <c r="J27" s="2"/>
      <c r="K27" s="19" t="s">
        <v>2858</v>
      </c>
      <c r="L27" s="66" t="s">
        <v>2859</v>
      </c>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13" priority="1" operator="lessThan">
      <formula>0</formula>
    </cfRule>
    <cfRule type="cellIs" dxfId="1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L44"/>
  <sheetViews>
    <sheetView workbookViewId="0">
      <pane ySplit="6" topLeftCell="A23" activePane="bottomLeft" state="frozen"/>
      <selection pane="bottomLeft" activeCell="J34" sqref="J3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-73</v>
      </c>
      <c r="L2" s="27"/>
    </row>
    <row r="3" spans="1:12" ht="15.75" thickBot="1" x14ac:dyDescent="0.3">
      <c r="A3" s="5"/>
      <c r="B3" s="2"/>
      <c r="C3" s="2"/>
      <c r="D3" s="2"/>
      <c r="E3" s="2"/>
      <c r="F3" s="2">
        <f>'02.26'!F6</f>
        <v>715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715</v>
      </c>
      <c r="G6" s="30">
        <f>SUM(B:B)</f>
        <v>102</v>
      </c>
      <c r="H6" s="30">
        <f>SUM(C:C)</f>
        <v>102</v>
      </c>
      <c r="I6" s="30"/>
      <c r="J6" s="33">
        <f>SUM(G6:H6)+SUM(E:E)</f>
        <v>374</v>
      </c>
      <c r="K6" s="112"/>
      <c r="L6" s="50">
        <f>J6/K1</f>
        <v>0.58255451713395634</v>
      </c>
    </row>
    <row r="7" spans="1:12" x14ac:dyDescent="0.25">
      <c r="A7" s="17">
        <v>46080</v>
      </c>
      <c r="B7" s="18">
        <v>0</v>
      </c>
      <c r="C7" s="18">
        <v>2</v>
      </c>
      <c r="D7" s="2">
        <f t="shared" ref="D7:D44" si="0">B7-C7</f>
        <v>-2</v>
      </c>
      <c r="E7" s="18"/>
      <c r="F7" s="2"/>
      <c r="G7" s="2"/>
      <c r="H7" s="2"/>
      <c r="I7" s="2"/>
      <c r="J7" s="2"/>
      <c r="K7" s="19" t="s">
        <v>2860</v>
      </c>
      <c r="L7" s="106" t="s">
        <v>2861</v>
      </c>
    </row>
    <row r="8" spans="1:12" ht="30" x14ac:dyDescent="0.25">
      <c r="A8" s="17">
        <v>46086</v>
      </c>
      <c r="B8" s="18">
        <v>0</v>
      </c>
      <c r="C8" s="18">
        <v>17</v>
      </c>
      <c r="D8" s="2">
        <f t="shared" si="0"/>
        <v>-17</v>
      </c>
      <c r="E8" s="18"/>
      <c r="F8" s="2"/>
      <c r="G8" s="2"/>
      <c r="H8" s="2"/>
      <c r="I8" s="2"/>
      <c r="J8" s="2"/>
      <c r="K8" s="19" t="s">
        <v>2862</v>
      </c>
      <c r="L8" s="66" t="s">
        <v>2863</v>
      </c>
    </row>
    <row r="9" spans="1:12" x14ac:dyDescent="0.25">
      <c r="A9" s="17">
        <v>46086</v>
      </c>
      <c r="B9" s="18">
        <v>2</v>
      </c>
      <c r="C9" s="18">
        <v>2</v>
      </c>
      <c r="D9" s="2">
        <f t="shared" si="0"/>
        <v>0</v>
      </c>
      <c r="E9" s="18">
        <v>2</v>
      </c>
      <c r="F9" s="2"/>
      <c r="G9" s="2"/>
      <c r="H9" s="2"/>
      <c r="I9" s="2"/>
      <c r="J9" s="2"/>
      <c r="K9" s="19" t="s">
        <v>2864</v>
      </c>
      <c r="L9" s="106" t="s">
        <v>2463</v>
      </c>
    </row>
    <row r="10" spans="1:12" x14ac:dyDescent="0.25">
      <c r="A10" s="17">
        <v>46086</v>
      </c>
      <c r="B10" s="18">
        <v>6</v>
      </c>
      <c r="C10" s="18">
        <v>0</v>
      </c>
      <c r="D10" s="2">
        <f t="shared" si="0"/>
        <v>6</v>
      </c>
      <c r="E10" s="18"/>
      <c r="F10" s="2"/>
      <c r="G10" s="2"/>
      <c r="H10" s="2"/>
      <c r="I10" s="2"/>
      <c r="J10" s="2"/>
      <c r="K10" s="19" t="s">
        <v>2865</v>
      </c>
      <c r="L10" s="106" t="s">
        <v>2863</v>
      </c>
    </row>
    <row r="11" spans="1:12" x14ac:dyDescent="0.25">
      <c r="A11" s="17">
        <v>46087</v>
      </c>
      <c r="B11" s="18">
        <v>0</v>
      </c>
      <c r="C11" s="18">
        <v>2</v>
      </c>
      <c r="D11" s="2">
        <f t="shared" si="0"/>
        <v>-2</v>
      </c>
      <c r="E11" s="18"/>
      <c r="F11" s="2"/>
      <c r="G11" s="2"/>
      <c r="H11" s="2"/>
      <c r="I11" s="2"/>
      <c r="J11" s="2"/>
      <c r="K11" s="19" t="s">
        <v>2866</v>
      </c>
      <c r="L11" s="106"/>
    </row>
    <row r="12" spans="1:12" ht="30" x14ac:dyDescent="0.25">
      <c r="A12" s="17">
        <v>46087</v>
      </c>
      <c r="B12" s="18">
        <v>0</v>
      </c>
      <c r="C12" s="18">
        <v>0</v>
      </c>
      <c r="D12" s="2">
        <f t="shared" si="0"/>
        <v>0</v>
      </c>
      <c r="E12" s="18">
        <v>16</v>
      </c>
      <c r="F12" s="2"/>
      <c r="G12" s="2"/>
      <c r="H12" s="2"/>
      <c r="I12" s="2"/>
      <c r="J12" s="2"/>
      <c r="K12" s="19" t="s">
        <v>107</v>
      </c>
      <c r="L12" s="109" t="s">
        <v>2868</v>
      </c>
    </row>
    <row r="13" spans="1:12" x14ac:dyDescent="0.25">
      <c r="A13" s="17">
        <v>46087</v>
      </c>
      <c r="B13" s="18">
        <v>8</v>
      </c>
      <c r="C13" s="18">
        <v>0</v>
      </c>
      <c r="D13" s="2">
        <f t="shared" si="0"/>
        <v>8</v>
      </c>
      <c r="E13" s="18"/>
      <c r="F13" s="2"/>
      <c r="G13" s="2"/>
      <c r="H13" s="2"/>
      <c r="I13" s="2"/>
      <c r="J13" s="2"/>
      <c r="K13" s="19" t="s">
        <v>2867</v>
      </c>
      <c r="L13" s="66" t="s">
        <v>2869</v>
      </c>
    </row>
    <row r="14" spans="1:12" x14ac:dyDescent="0.25">
      <c r="A14" s="17">
        <v>46087</v>
      </c>
      <c r="B14" s="18">
        <v>8</v>
      </c>
      <c r="C14" s="18">
        <v>8</v>
      </c>
      <c r="D14" s="2">
        <f t="shared" si="0"/>
        <v>0</v>
      </c>
      <c r="E14" s="18">
        <v>8</v>
      </c>
      <c r="F14" s="2"/>
      <c r="G14" s="2"/>
      <c r="H14" s="2"/>
      <c r="I14" s="2"/>
      <c r="J14" s="2"/>
      <c r="K14" s="19" t="s">
        <v>2870</v>
      </c>
      <c r="L14" s="66" t="s">
        <v>1965</v>
      </c>
    </row>
    <row r="15" spans="1:12" ht="30" x14ac:dyDescent="0.25">
      <c r="A15" s="17">
        <v>46087</v>
      </c>
      <c r="B15" s="18">
        <v>0</v>
      </c>
      <c r="C15" s="18">
        <v>0</v>
      </c>
      <c r="D15" s="2">
        <f t="shared" si="0"/>
        <v>0</v>
      </c>
      <c r="E15" s="18">
        <v>32</v>
      </c>
      <c r="F15" s="2"/>
      <c r="G15" s="2"/>
      <c r="H15" s="2"/>
      <c r="I15" s="2"/>
      <c r="J15" s="2"/>
      <c r="K15" s="19" t="s">
        <v>107</v>
      </c>
      <c r="L15" s="109" t="s">
        <v>2871</v>
      </c>
    </row>
    <row r="16" spans="1:12" ht="30" x14ac:dyDescent="0.25">
      <c r="A16" s="17">
        <v>46087</v>
      </c>
      <c r="B16" s="18">
        <v>16</v>
      </c>
      <c r="C16" s="18">
        <v>0</v>
      </c>
      <c r="D16" s="2">
        <f t="shared" si="0"/>
        <v>16</v>
      </c>
      <c r="E16" s="18"/>
      <c r="F16" s="2"/>
      <c r="G16" s="2"/>
      <c r="H16" s="2"/>
      <c r="I16" s="2"/>
      <c r="J16" s="2"/>
      <c r="K16" s="19" t="s">
        <v>2872</v>
      </c>
      <c r="L16" s="106" t="s">
        <v>2873</v>
      </c>
    </row>
    <row r="17" spans="1:12" x14ac:dyDescent="0.25">
      <c r="A17" s="17">
        <v>46087</v>
      </c>
      <c r="B17" s="18">
        <v>4</v>
      </c>
      <c r="C17" s="18">
        <v>4</v>
      </c>
      <c r="D17" s="2">
        <f t="shared" si="0"/>
        <v>0</v>
      </c>
      <c r="E17" s="18">
        <v>4</v>
      </c>
      <c r="F17" s="2"/>
      <c r="G17" s="2"/>
      <c r="H17" s="2"/>
      <c r="I17" s="2"/>
      <c r="J17" s="2"/>
      <c r="K17" s="19" t="s">
        <v>2883</v>
      </c>
      <c r="L17" s="106" t="s">
        <v>2463</v>
      </c>
    </row>
    <row r="18" spans="1:12" x14ac:dyDescent="0.25">
      <c r="A18" s="17">
        <v>46090</v>
      </c>
      <c r="B18" s="18">
        <v>0</v>
      </c>
      <c r="C18" s="18">
        <v>3</v>
      </c>
      <c r="D18" s="2">
        <f t="shared" si="0"/>
        <v>-3</v>
      </c>
      <c r="E18" s="18"/>
      <c r="F18" s="2"/>
      <c r="G18" s="2"/>
      <c r="H18" s="2"/>
      <c r="I18" s="2"/>
      <c r="J18" s="2"/>
      <c r="K18" s="19" t="s">
        <v>2874</v>
      </c>
      <c r="L18" s="106" t="s">
        <v>2875</v>
      </c>
    </row>
    <row r="19" spans="1:12" x14ac:dyDescent="0.25">
      <c r="A19" s="17">
        <v>46090</v>
      </c>
      <c r="B19" s="18">
        <v>0</v>
      </c>
      <c r="C19" s="18">
        <v>2</v>
      </c>
      <c r="D19" s="2">
        <f t="shared" si="0"/>
        <v>-2</v>
      </c>
      <c r="E19" s="18"/>
      <c r="F19" s="2"/>
      <c r="G19" s="2"/>
      <c r="H19" s="2"/>
      <c r="I19" s="2"/>
      <c r="J19" s="2"/>
      <c r="K19" s="19" t="s">
        <v>2876</v>
      </c>
      <c r="L19" s="66" t="s">
        <v>2877</v>
      </c>
    </row>
    <row r="20" spans="1:12" ht="30" x14ac:dyDescent="0.25">
      <c r="A20" s="17">
        <v>46091</v>
      </c>
      <c r="B20" s="18">
        <v>0</v>
      </c>
      <c r="C20" s="18">
        <v>0</v>
      </c>
      <c r="D20" s="2">
        <f t="shared" si="0"/>
        <v>0</v>
      </c>
      <c r="E20" s="18">
        <v>16</v>
      </c>
      <c r="F20" s="2"/>
      <c r="G20" s="2"/>
      <c r="H20" s="2"/>
      <c r="I20" s="2"/>
      <c r="J20" s="2"/>
      <c r="K20" s="19" t="s">
        <v>107</v>
      </c>
      <c r="L20" s="109" t="s">
        <v>2878</v>
      </c>
    </row>
    <row r="21" spans="1:12" x14ac:dyDescent="0.25">
      <c r="A21" s="21">
        <v>46091</v>
      </c>
      <c r="B21" s="22">
        <v>8</v>
      </c>
      <c r="C21" s="22">
        <v>0</v>
      </c>
      <c r="D21" s="2">
        <f t="shared" si="0"/>
        <v>8</v>
      </c>
      <c r="E21" s="22"/>
      <c r="F21" s="23"/>
      <c r="G21" s="23"/>
      <c r="H21" s="23"/>
      <c r="I21" s="23"/>
      <c r="J21" s="23"/>
      <c r="K21" s="19" t="s">
        <v>2885</v>
      </c>
      <c r="L21" s="106" t="s">
        <v>2879</v>
      </c>
    </row>
    <row r="22" spans="1:12" ht="30" x14ac:dyDescent="0.25">
      <c r="A22" s="17">
        <v>46091</v>
      </c>
      <c r="B22" s="18">
        <v>0</v>
      </c>
      <c r="C22" s="18">
        <v>0</v>
      </c>
      <c r="D22" s="2">
        <f t="shared" si="0"/>
        <v>0</v>
      </c>
      <c r="E22" s="18">
        <f>2*17</f>
        <v>34</v>
      </c>
      <c r="F22" s="2"/>
      <c r="G22" s="2"/>
      <c r="H22" s="2"/>
      <c r="I22" s="2"/>
      <c r="J22" s="2"/>
      <c r="K22" s="19" t="s">
        <v>107</v>
      </c>
      <c r="L22" s="109" t="s">
        <v>2880</v>
      </c>
    </row>
    <row r="23" spans="1:12" ht="30" x14ac:dyDescent="0.25">
      <c r="A23" s="17">
        <v>46091</v>
      </c>
      <c r="B23" s="18">
        <v>17</v>
      </c>
      <c r="C23" s="18">
        <v>0</v>
      </c>
      <c r="D23" s="2">
        <f t="shared" si="0"/>
        <v>17</v>
      </c>
      <c r="E23" s="18"/>
      <c r="F23" s="2"/>
      <c r="G23" s="2"/>
      <c r="H23" s="2"/>
      <c r="I23" s="2"/>
      <c r="J23" s="2"/>
      <c r="K23" s="19" t="s">
        <v>2884</v>
      </c>
      <c r="L23" s="106" t="s">
        <v>2881</v>
      </c>
    </row>
    <row r="24" spans="1:12" x14ac:dyDescent="0.25">
      <c r="A24" s="17">
        <v>46091</v>
      </c>
      <c r="B24" s="18">
        <v>4</v>
      </c>
      <c r="C24" s="18">
        <v>4</v>
      </c>
      <c r="D24" s="2">
        <f t="shared" si="0"/>
        <v>0</v>
      </c>
      <c r="E24" s="18">
        <v>4</v>
      </c>
      <c r="F24" s="2"/>
      <c r="G24" s="2"/>
      <c r="H24" s="2"/>
      <c r="I24" s="2"/>
      <c r="J24" s="2"/>
      <c r="K24" s="19" t="s">
        <v>2882</v>
      </c>
      <c r="L24" s="106" t="s">
        <v>2463</v>
      </c>
    </row>
    <row r="25" spans="1:12" ht="30" x14ac:dyDescent="0.25">
      <c r="A25" s="17">
        <v>46093</v>
      </c>
      <c r="B25" s="18">
        <v>0</v>
      </c>
      <c r="C25" s="18">
        <v>11</v>
      </c>
      <c r="D25" s="2">
        <f t="shared" si="0"/>
        <v>-11</v>
      </c>
      <c r="E25" s="18"/>
      <c r="F25" s="2"/>
      <c r="G25" s="2"/>
      <c r="H25" s="2"/>
      <c r="I25" s="2"/>
      <c r="J25" s="2"/>
      <c r="K25" s="19" t="s">
        <v>2886</v>
      </c>
      <c r="L25" s="66" t="s">
        <v>2887</v>
      </c>
    </row>
    <row r="26" spans="1:12" ht="30" x14ac:dyDescent="0.25">
      <c r="A26" s="17">
        <v>46100</v>
      </c>
      <c r="B26" s="18">
        <v>0</v>
      </c>
      <c r="C26" s="18">
        <v>17</v>
      </c>
      <c r="D26" s="2">
        <f t="shared" si="0"/>
        <v>-17</v>
      </c>
      <c r="E26" s="18"/>
      <c r="F26" s="2"/>
      <c r="G26" s="2"/>
      <c r="H26" s="2"/>
      <c r="I26" s="2"/>
      <c r="J26" s="2"/>
      <c r="K26" s="19" t="s">
        <v>2888</v>
      </c>
      <c r="L26" s="106" t="s">
        <v>2889</v>
      </c>
    </row>
    <row r="27" spans="1:12" ht="30" x14ac:dyDescent="0.25">
      <c r="A27" s="17">
        <v>46105</v>
      </c>
      <c r="B27" s="18">
        <v>0</v>
      </c>
      <c r="C27" s="18">
        <v>0</v>
      </c>
      <c r="D27" s="2">
        <f t="shared" si="0"/>
        <v>0</v>
      </c>
      <c r="E27" s="18">
        <v>32</v>
      </c>
      <c r="F27" s="2"/>
      <c r="G27" s="2"/>
      <c r="H27" s="2"/>
      <c r="I27" s="2"/>
      <c r="J27" s="2"/>
      <c r="K27" s="19" t="s">
        <v>107</v>
      </c>
      <c r="L27" s="109" t="s">
        <v>2890</v>
      </c>
    </row>
    <row r="28" spans="1:12" ht="30" x14ac:dyDescent="0.25">
      <c r="A28" s="17">
        <v>46106</v>
      </c>
      <c r="B28" s="18">
        <v>16</v>
      </c>
      <c r="C28" s="18">
        <v>0</v>
      </c>
      <c r="D28" s="2">
        <f t="shared" si="0"/>
        <v>16</v>
      </c>
      <c r="E28" s="18"/>
      <c r="F28" s="2"/>
      <c r="G28" s="2"/>
      <c r="H28" s="2"/>
      <c r="I28" s="2"/>
      <c r="J28" s="2"/>
      <c r="K28" s="19" t="s">
        <v>2893</v>
      </c>
      <c r="L28" s="66" t="s">
        <v>2891</v>
      </c>
    </row>
    <row r="29" spans="1:12" x14ac:dyDescent="0.25">
      <c r="A29" s="17">
        <v>46105</v>
      </c>
      <c r="B29" s="18">
        <v>2</v>
      </c>
      <c r="C29" s="18">
        <v>2</v>
      </c>
      <c r="D29" s="2">
        <f t="shared" si="0"/>
        <v>0</v>
      </c>
      <c r="E29" s="18">
        <v>2</v>
      </c>
      <c r="F29" s="2"/>
      <c r="G29" s="2"/>
      <c r="H29" s="2"/>
      <c r="I29" s="2"/>
      <c r="J29" s="2"/>
      <c r="K29" s="19" t="s">
        <v>2892</v>
      </c>
      <c r="L29" s="106" t="s">
        <v>2463</v>
      </c>
    </row>
    <row r="30" spans="1:12" ht="30" x14ac:dyDescent="0.25">
      <c r="A30" s="17">
        <v>46106</v>
      </c>
      <c r="B30" s="18">
        <v>0</v>
      </c>
      <c r="C30" s="18">
        <v>0</v>
      </c>
      <c r="D30" s="2">
        <f t="shared" si="0"/>
        <v>0</v>
      </c>
      <c r="E30" s="18">
        <v>20</v>
      </c>
      <c r="F30" s="2"/>
      <c r="G30" s="2"/>
      <c r="H30" s="2"/>
      <c r="I30" s="2"/>
      <c r="J30" s="2"/>
      <c r="K30" s="19" t="s">
        <v>107</v>
      </c>
      <c r="L30" s="109" t="s">
        <v>2894</v>
      </c>
    </row>
    <row r="31" spans="1:12" ht="30" x14ac:dyDescent="0.25">
      <c r="A31" s="17">
        <v>46107</v>
      </c>
      <c r="B31" s="18">
        <v>10</v>
      </c>
      <c r="C31" s="18">
        <v>0</v>
      </c>
      <c r="D31" s="2">
        <f t="shared" si="0"/>
        <v>10</v>
      </c>
      <c r="E31" s="18"/>
      <c r="F31" s="2"/>
      <c r="G31" s="2"/>
      <c r="H31" s="2"/>
      <c r="I31" s="2"/>
      <c r="J31" s="2"/>
      <c r="K31" s="19" t="s">
        <v>2899</v>
      </c>
      <c r="L31" s="66" t="s">
        <v>2895</v>
      </c>
    </row>
    <row r="32" spans="1:12" x14ac:dyDescent="0.25">
      <c r="A32" s="17">
        <v>46106</v>
      </c>
      <c r="B32" s="18">
        <v>0</v>
      </c>
      <c r="C32" s="18">
        <v>1</v>
      </c>
      <c r="D32" s="2">
        <f t="shared" si="0"/>
        <v>-1</v>
      </c>
      <c r="E32" s="18"/>
      <c r="F32" s="2"/>
      <c r="G32" s="2"/>
      <c r="H32" s="2"/>
      <c r="I32" s="2"/>
      <c r="J32" s="2"/>
      <c r="K32" s="19">
        <v>650987</v>
      </c>
      <c r="L32" s="66" t="s">
        <v>2896</v>
      </c>
    </row>
    <row r="33" spans="1:12" x14ac:dyDescent="0.25">
      <c r="A33" s="17">
        <v>46106</v>
      </c>
      <c r="B33" s="18">
        <v>1</v>
      </c>
      <c r="C33" s="18">
        <v>0</v>
      </c>
      <c r="D33" s="2">
        <f t="shared" si="0"/>
        <v>1</v>
      </c>
      <c r="E33" s="18"/>
      <c r="F33" s="2"/>
      <c r="G33" s="2"/>
      <c r="H33" s="2"/>
      <c r="I33" s="2"/>
      <c r="J33" s="2"/>
      <c r="K33" s="19">
        <v>651409</v>
      </c>
      <c r="L33" s="66" t="s">
        <v>2896</v>
      </c>
    </row>
    <row r="34" spans="1:12" ht="45" x14ac:dyDescent="0.25">
      <c r="A34" s="17">
        <v>46107</v>
      </c>
      <c r="B34" s="18">
        <v>0</v>
      </c>
      <c r="C34" s="18">
        <v>24</v>
      </c>
      <c r="D34" s="2">
        <f t="shared" si="0"/>
        <v>-24</v>
      </c>
      <c r="E34" s="18"/>
      <c r="F34" s="2"/>
      <c r="G34" s="2"/>
      <c r="H34" s="2"/>
      <c r="I34" s="2"/>
      <c r="J34" s="2"/>
      <c r="K34" s="19" t="s">
        <v>2898</v>
      </c>
      <c r="L34" s="66" t="s">
        <v>2897</v>
      </c>
    </row>
    <row r="35" spans="1:12" x14ac:dyDescent="0.25">
      <c r="A35" s="17">
        <v>46107</v>
      </c>
      <c r="B35" s="18">
        <v>0</v>
      </c>
      <c r="C35" s="18">
        <v>3</v>
      </c>
      <c r="D35" s="2">
        <f t="shared" si="0"/>
        <v>-3</v>
      </c>
      <c r="E35" s="18"/>
      <c r="F35" s="2"/>
      <c r="G35" s="2"/>
      <c r="H35" s="2"/>
      <c r="I35" s="2"/>
      <c r="J35" s="2"/>
      <c r="K35" s="19" t="s">
        <v>2900</v>
      </c>
      <c r="L35" s="66" t="s">
        <v>2901</v>
      </c>
    </row>
    <row r="36" spans="1:12" x14ac:dyDescent="0.25">
      <c r="A36" s="17" t="s">
        <v>2902</v>
      </c>
      <c r="B36" s="18"/>
      <c r="C36" s="18"/>
      <c r="D36" s="2">
        <f t="shared" si="0"/>
        <v>0</v>
      </c>
      <c r="E36" s="18"/>
      <c r="F36" s="2"/>
      <c r="G36" s="2"/>
      <c r="H36" s="2"/>
      <c r="I36" s="2"/>
      <c r="J36" s="2"/>
      <c r="K36" s="19"/>
    </row>
    <row r="37" spans="1:12" x14ac:dyDescent="0.25">
      <c r="A37" s="17"/>
      <c r="B37" s="18"/>
      <c r="C37" s="18"/>
      <c r="D37" s="2">
        <f t="shared" si="0"/>
        <v>0</v>
      </c>
      <c r="E37" s="18"/>
      <c r="F37" s="2"/>
      <c r="G37" s="2"/>
      <c r="H37" s="2"/>
      <c r="I37" s="2"/>
      <c r="J37" s="2"/>
      <c r="K37" s="19"/>
    </row>
    <row r="38" spans="1:12" x14ac:dyDescent="0.25">
      <c r="A38" s="17"/>
      <c r="B38" s="18"/>
      <c r="C38" s="18"/>
      <c r="D38" s="2">
        <f t="shared" si="0"/>
        <v>0</v>
      </c>
      <c r="E38" s="18"/>
      <c r="F38" s="2"/>
      <c r="G38" s="2"/>
      <c r="H38" s="2"/>
      <c r="I38" s="2"/>
      <c r="J38" s="2"/>
      <c r="K38" s="19"/>
    </row>
    <row r="39" spans="1:12" x14ac:dyDescent="0.25">
      <c r="A39" s="17"/>
      <c r="B39" s="18"/>
      <c r="C39" s="18"/>
      <c r="D39" s="2">
        <f t="shared" si="0"/>
        <v>0</v>
      </c>
      <c r="E39" s="18"/>
      <c r="F39" s="2"/>
      <c r="G39" s="2"/>
      <c r="H39" s="2"/>
      <c r="I39" s="2"/>
      <c r="J39" s="2"/>
      <c r="K39" s="19"/>
    </row>
    <row r="40" spans="1:12" x14ac:dyDescent="0.25">
      <c r="A40" s="17"/>
      <c r="B40" s="18"/>
      <c r="C40" s="18"/>
      <c r="D40" s="2">
        <f t="shared" si="0"/>
        <v>0</v>
      </c>
      <c r="E40" s="18"/>
      <c r="F40" s="2"/>
      <c r="G40" s="2"/>
      <c r="H40" s="2"/>
      <c r="I40" s="2"/>
      <c r="J40" s="2"/>
      <c r="K40" s="19"/>
    </row>
    <row r="41" spans="1:12" x14ac:dyDescent="0.25">
      <c r="A41" s="17"/>
      <c r="B41" s="18"/>
      <c r="C41" s="18"/>
      <c r="D41" s="2">
        <f t="shared" si="0"/>
        <v>0</v>
      </c>
      <c r="E41" s="18"/>
      <c r="F41" s="2"/>
      <c r="G41" s="2"/>
      <c r="H41" s="2"/>
      <c r="I41" s="2"/>
      <c r="J41" s="2"/>
      <c r="K41" s="19"/>
    </row>
    <row r="42" spans="1:12" x14ac:dyDescent="0.25">
      <c r="A42" s="17"/>
      <c r="B42" s="18"/>
      <c r="C42" s="18"/>
      <c r="D42" s="2">
        <f t="shared" si="0"/>
        <v>0</v>
      </c>
      <c r="E42" s="18"/>
      <c r="F42" s="2"/>
      <c r="G42" s="2"/>
      <c r="H42" s="2"/>
      <c r="I42" s="2"/>
      <c r="J42" s="2"/>
      <c r="K42" s="19"/>
    </row>
    <row r="43" spans="1:12" x14ac:dyDescent="0.25">
      <c r="A43" s="17"/>
      <c r="B43" s="18"/>
      <c r="C43" s="18"/>
      <c r="D43" s="2">
        <f t="shared" si="0"/>
        <v>0</v>
      </c>
      <c r="E43" s="18"/>
      <c r="F43" s="2"/>
      <c r="G43" s="2"/>
      <c r="H43" s="2"/>
      <c r="I43" s="2"/>
      <c r="J43" s="2"/>
      <c r="K43" s="19"/>
    </row>
    <row r="44" spans="1:12" x14ac:dyDescent="0.25">
      <c r="A44" s="17"/>
      <c r="B44" s="18"/>
      <c r="C44" s="18"/>
      <c r="D44" s="2">
        <f t="shared" si="0"/>
        <v>0</v>
      </c>
      <c r="E44" s="18"/>
      <c r="F44" s="2"/>
      <c r="G44" s="2"/>
      <c r="H44" s="2"/>
      <c r="I44" s="2"/>
      <c r="J44" s="2"/>
      <c r="K44" s="19"/>
    </row>
  </sheetData>
  <conditionalFormatting sqref="K2">
    <cfRule type="cellIs" dxfId="11" priority="1" operator="lessThan">
      <formula>0</formula>
    </cfRule>
    <cfRule type="cellIs" dxfId="10"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2" orientation="landscape" r:id="rId1"/>
  <headerFooter>
    <oddFooter>&amp;C&amp;D / &amp;T&amp;RSeite &amp;P von &amp;N</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L44"/>
  <sheetViews>
    <sheetView workbookViewId="0">
      <pane ySplit="6" topLeftCell="A23" activePane="bottomLeft" state="frozen"/>
      <selection pane="bottomLeft" activeCell="K30" sqref="K30:L30"/>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-102</v>
      </c>
      <c r="L2" s="27"/>
    </row>
    <row r="3" spans="1:12" ht="15.75" thickBot="1" x14ac:dyDescent="0.3">
      <c r="A3" s="5"/>
      <c r="B3" s="2"/>
      <c r="C3" s="2"/>
      <c r="D3" s="2"/>
      <c r="E3" s="2"/>
      <c r="F3" s="2">
        <f>'03.26'!F6</f>
        <v>715</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744</v>
      </c>
      <c r="G6" s="30">
        <f>SUM(B:B)</f>
        <v>148</v>
      </c>
      <c r="H6" s="30">
        <f>SUM(C:C)</f>
        <v>119</v>
      </c>
      <c r="I6" s="30"/>
      <c r="J6" s="33">
        <f>SUM(G6:H6)+SUM(E:E)</f>
        <v>544</v>
      </c>
      <c r="K6" s="112"/>
      <c r="L6" s="50">
        <f>J6/K1</f>
        <v>0.84735202492211836</v>
      </c>
    </row>
    <row r="7" spans="1:12" ht="30" x14ac:dyDescent="0.25">
      <c r="A7" s="17">
        <v>46113</v>
      </c>
      <c r="B7" s="18">
        <v>0</v>
      </c>
      <c r="C7" s="18">
        <v>0</v>
      </c>
      <c r="D7" s="2">
        <f t="shared" ref="D7:D44" si="0">B7-C7</f>
        <v>0</v>
      </c>
      <c r="E7" s="18">
        <v>24</v>
      </c>
      <c r="F7" s="2"/>
      <c r="G7" s="2"/>
      <c r="H7" s="2"/>
      <c r="I7" s="2"/>
      <c r="J7" s="2"/>
      <c r="K7" s="19" t="s">
        <v>107</v>
      </c>
      <c r="L7" s="109" t="s">
        <v>2903</v>
      </c>
    </row>
    <row r="8" spans="1:12" ht="30" x14ac:dyDescent="0.25">
      <c r="A8" s="17">
        <v>46114</v>
      </c>
      <c r="B8" s="18">
        <v>12</v>
      </c>
      <c r="C8" s="18">
        <v>0</v>
      </c>
      <c r="D8" s="2">
        <f t="shared" si="0"/>
        <v>12</v>
      </c>
      <c r="E8" s="18"/>
      <c r="F8" s="2"/>
      <c r="G8" s="2"/>
      <c r="H8" s="2"/>
      <c r="I8" s="2"/>
      <c r="J8" s="2"/>
      <c r="K8" s="19" t="s">
        <v>2907</v>
      </c>
      <c r="L8" s="66" t="s">
        <v>2904</v>
      </c>
    </row>
    <row r="9" spans="1:12" ht="30" x14ac:dyDescent="0.25">
      <c r="A9" s="17">
        <v>46114</v>
      </c>
      <c r="B9" s="18">
        <v>0</v>
      </c>
      <c r="C9" s="18">
        <v>17</v>
      </c>
      <c r="D9" s="2">
        <f t="shared" si="0"/>
        <v>-17</v>
      </c>
      <c r="E9" s="18"/>
      <c r="F9" s="2"/>
      <c r="G9" s="2"/>
      <c r="H9" s="2"/>
      <c r="I9" s="2"/>
      <c r="J9" s="2"/>
      <c r="K9" s="19" t="s">
        <v>2905</v>
      </c>
      <c r="L9" s="66" t="s">
        <v>2906</v>
      </c>
    </row>
    <row r="10" spans="1:12" ht="30" x14ac:dyDescent="0.25">
      <c r="A10" s="17">
        <v>46121</v>
      </c>
      <c r="B10" s="18">
        <v>0</v>
      </c>
      <c r="C10" s="18">
        <v>17</v>
      </c>
      <c r="D10" s="2">
        <f t="shared" si="0"/>
        <v>-17</v>
      </c>
      <c r="E10" s="18"/>
      <c r="F10" s="2"/>
      <c r="G10" s="2"/>
      <c r="H10" s="2"/>
      <c r="I10" s="2"/>
      <c r="J10" s="2"/>
      <c r="K10" s="19" t="s">
        <v>2908</v>
      </c>
      <c r="L10" s="66" t="s">
        <v>2921</v>
      </c>
    </row>
    <row r="11" spans="1:12" ht="30" x14ac:dyDescent="0.25">
      <c r="A11" s="17">
        <v>46125</v>
      </c>
      <c r="B11" s="18">
        <v>0</v>
      </c>
      <c r="C11" s="18">
        <v>0</v>
      </c>
      <c r="D11" s="2">
        <f t="shared" si="0"/>
        <v>0</v>
      </c>
      <c r="E11" s="18">
        <f>2*13</f>
        <v>26</v>
      </c>
      <c r="F11" s="2"/>
      <c r="G11" s="2"/>
      <c r="H11" s="2"/>
      <c r="I11" s="2"/>
      <c r="J11" s="2"/>
      <c r="K11" s="19" t="s">
        <v>107</v>
      </c>
      <c r="L11" s="109" t="s">
        <v>2910</v>
      </c>
    </row>
    <row r="12" spans="1:12" ht="30" x14ac:dyDescent="0.25">
      <c r="A12" s="17">
        <v>46126</v>
      </c>
      <c r="B12" s="18">
        <v>13</v>
      </c>
      <c r="C12" s="18">
        <v>0</v>
      </c>
      <c r="D12" s="2">
        <f t="shared" si="0"/>
        <v>13</v>
      </c>
      <c r="E12" s="18"/>
      <c r="F12" s="2"/>
      <c r="G12" s="2"/>
      <c r="H12" s="2"/>
      <c r="I12" s="2"/>
      <c r="J12" s="2"/>
      <c r="K12" s="19" t="s">
        <v>2917</v>
      </c>
      <c r="L12" s="106" t="s">
        <v>2909</v>
      </c>
    </row>
    <row r="13" spans="1:12" ht="30" x14ac:dyDescent="0.25">
      <c r="A13" s="17">
        <v>46126</v>
      </c>
      <c r="B13" s="18">
        <v>0</v>
      </c>
      <c r="C13" s="18">
        <v>0</v>
      </c>
      <c r="D13" s="2">
        <f t="shared" si="0"/>
        <v>0</v>
      </c>
      <c r="E13" s="18">
        <v>50</v>
      </c>
      <c r="F13" s="2"/>
      <c r="G13" s="2"/>
      <c r="H13" s="2"/>
      <c r="I13" s="2"/>
      <c r="J13" s="2"/>
      <c r="K13" s="19" t="s">
        <v>107</v>
      </c>
      <c r="L13" s="109" t="s">
        <v>2912</v>
      </c>
    </row>
    <row r="14" spans="1:12" ht="45" x14ac:dyDescent="0.25">
      <c r="A14" s="17">
        <v>46126</v>
      </c>
      <c r="B14" s="18">
        <v>25</v>
      </c>
      <c r="C14" s="18">
        <v>0</v>
      </c>
      <c r="D14" s="2">
        <f t="shared" si="0"/>
        <v>25</v>
      </c>
      <c r="E14" s="18"/>
      <c r="F14" s="2"/>
      <c r="G14" s="2"/>
      <c r="H14" s="2"/>
      <c r="I14" s="2"/>
      <c r="J14" s="2"/>
      <c r="K14" s="19" t="s">
        <v>2916</v>
      </c>
      <c r="L14" s="66" t="s">
        <v>2911</v>
      </c>
    </row>
    <row r="15" spans="1:12" x14ac:dyDescent="0.25">
      <c r="A15" s="17">
        <v>46125</v>
      </c>
      <c r="B15" s="18">
        <v>2</v>
      </c>
      <c r="C15" s="18">
        <v>2</v>
      </c>
      <c r="D15" s="2">
        <f t="shared" si="0"/>
        <v>0</v>
      </c>
      <c r="E15" s="18">
        <v>2</v>
      </c>
      <c r="F15" s="2"/>
      <c r="G15" s="2"/>
      <c r="H15" s="2"/>
      <c r="I15" s="2"/>
      <c r="J15" s="2"/>
      <c r="K15" s="19" t="s">
        <v>2913</v>
      </c>
      <c r="L15" s="106" t="s">
        <v>2463</v>
      </c>
    </row>
    <row r="16" spans="1:12" ht="30" x14ac:dyDescent="0.25">
      <c r="A16" s="17">
        <v>46127</v>
      </c>
      <c r="B16" s="18">
        <v>0</v>
      </c>
      <c r="C16" s="18">
        <v>0</v>
      </c>
      <c r="D16" s="2">
        <f t="shared" si="0"/>
        <v>0</v>
      </c>
      <c r="E16" s="18">
        <f>2*14</f>
        <v>28</v>
      </c>
      <c r="F16" s="2"/>
      <c r="G16" s="2"/>
      <c r="H16" s="2"/>
      <c r="I16" s="2"/>
      <c r="J16" s="2"/>
      <c r="K16" s="19" t="s">
        <v>107</v>
      </c>
      <c r="L16" s="109" t="s">
        <v>2918</v>
      </c>
    </row>
    <row r="17" spans="1:12" x14ac:dyDescent="0.25">
      <c r="A17" s="17">
        <v>46127</v>
      </c>
      <c r="B17" s="18">
        <v>2</v>
      </c>
      <c r="C17" s="18">
        <v>2</v>
      </c>
      <c r="D17" s="2">
        <f t="shared" si="0"/>
        <v>0</v>
      </c>
      <c r="E17" s="18">
        <v>2</v>
      </c>
      <c r="F17" s="2"/>
      <c r="G17" s="2"/>
      <c r="H17" s="2"/>
      <c r="I17" s="2"/>
      <c r="J17" s="2"/>
      <c r="K17" s="19" t="s">
        <v>2914</v>
      </c>
      <c r="L17" s="66" t="s">
        <v>2927</v>
      </c>
    </row>
    <row r="18" spans="1:12" ht="30" x14ac:dyDescent="0.25">
      <c r="A18" s="17">
        <v>46128</v>
      </c>
      <c r="B18" s="18">
        <v>14</v>
      </c>
      <c r="C18" s="18">
        <v>0</v>
      </c>
      <c r="D18" s="2">
        <f t="shared" si="0"/>
        <v>14</v>
      </c>
      <c r="E18" s="18"/>
      <c r="F18" s="2"/>
      <c r="G18" s="2"/>
      <c r="H18" s="2"/>
      <c r="I18" s="2"/>
      <c r="J18" s="2"/>
      <c r="K18" s="85" t="s">
        <v>2919</v>
      </c>
      <c r="L18" s="66" t="s">
        <v>2915</v>
      </c>
    </row>
    <row r="19" spans="1:12" ht="30" x14ac:dyDescent="0.25">
      <c r="A19" s="17">
        <v>46129</v>
      </c>
      <c r="B19" s="18">
        <v>0</v>
      </c>
      <c r="C19" s="18">
        <v>17</v>
      </c>
      <c r="D19" s="2">
        <f t="shared" si="0"/>
        <v>-17</v>
      </c>
      <c r="E19" s="18"/>
      <c r="F19" s="2"/>
      <c r="G19" s="2"/>
      <c r="H19" s="2"/>
      <c r="I19" s="2"/>
      <c r="J19" s="2"/>
      <c r="K19" s="19" t="s">
        <v>2922</v>
      </c>
      <c r="L19" s="66" t="s">
        <v>2920</v>
      </c>
    </row>
    <row r="20" spans="1:12" x14ac:dyDescent="0.25">
      <c r="A20" s="17">
        <v>46129</v>
      </c>
      <c r="B20" s="18">
        <v>5</v>
      </c>
      <c r="C20" s="18">
        <v>0</v>
      </c>
      <c r="D20" s="2">
        <f t="shared" si="0"/>
        <v>5</v>
      </c>
      <c r="E20" s="18"/>
      <c r="F20" s="2"/>
      <c r="G20" s="2"/>
      <c r="H20" s="2"/>
      <c r="I20" s="2"/>
      <c r="J20" s="2"/>
      <c r="K20" s="19" t="s">
        <v>2923</v>
      </c>
      <c r="L20" s="106" t="s">
        <v>2920</v>
      </c>
    </row>
    <row r="21" spans="1:12" ht="30" x14ac:dyDescent="0.25">
      <c r="A21" s="21">
        <v>46132</v>
      </c>
      <c r="B21" s="22">
        <v>0</v>
      </c>
      <c r="C21" s="22">
        <v>0</v>
      </c>
      <c r="D21" s="2">
        <f t="shared" si="0"/>
        <v>0</v>
      </c>
      <c r="E21" s="22">
        <v>26</v>
      </c>
      <c r="F21" s="23"/>
      <c r="G21" s="23"/>
      <c r="H21" s="23"/>
      <c r="I21" s="23"/>
      <c r="J21" s="23"/>
      <c r="K21" s="19" t="s">
        <v>107</v>
      </c>
      <c r="L21" s="109" t="s">
        <v>2924</v>
      </c>
    </row>
    <row r="22" spans="1:12" ht="30" x14ac:dyDescent="0.25">
      <c r="A22" s="17">
        <v>46132</v>
      </c>
      <c r="B22" s="18">
        <v>13</v>
      </c>
      <c r="C22" s="18">
        <v>0</v>
      </c>
      <c r="D22" s="2">
        <f t="shared" si="0"/>
        <v>13</v>
      </c>
      <c r="E22" s="18"/>
      <c r="F22" s="2"/>
      <c r="G22" s="2"/>
      <c r="H22" s="2"/>
      <c r="I22" s="2"/>
      <c r="J22" s="2"/>
      <c r="K22" s="19" t="s">
        <v>2928</v>
      </c>
      <c r="L22" s="106" t="s">
        <v>2925</v>
      </c>
    </row>
    <row r="23" spans="1:12" x14ac:dyDescent="0.25">
      <c r="A23" s="17">
        <v>46132</v>
      </c>
      <c r="B23" s="18">
        <v>2</v>
      </c>
      <c r="C23" s="18">
        <v>2</v>
      </c>
      <c r="D23" s="2">
        <f t="shared" si="0"/>
        <v>0</v>
      </c>
      <c r="E23" s="18">
        <v>2</v>
      </c>
      <c r="F23" s="2"/>
      <c r="G23" s="2"/>
      <c r="H23" s="2"/>
      <c r="I23" s="2"/>
      <c r="J23" s="2"/>
      <c r="K23" s="19" t="s">
        <v>2926</v>
      </c>
      <c r="L23" s="106" t="s">
        <v>2927</v>
      </c>
    </row>
    <row r="24" spans="1:12" ht="45" x14ac:dyDescent="0.25">
      <c r="A24" s="17">
        <v>46135</v>
      </c>
      <c r="B24" s="18">
        <v>0</v>
      </c>
      <c r="C24" s="18">
        <v>24</v>
      </c>
      <c r="D24" s="2">
        <f t="shared" si="0"/>
        <v>-24</v>
      </c>
      <c r="E24" s="18"/>
      <c r="F24" s="2"/>
      <c r="G24" s="2"/>
      <c r="H24" s="2"/>
      <c r="I24" s="2"/>
      <c r="J24" s="2"/>
      <c r="K24" s="19" t="s">
        <v>2929</v>
      </c>
      <c r="L24" s="106" t="s">
        <v>2930</v>
      </c>
    </row>
    <row r="25" spans="1:12" ht="30" x14ac:dyDescent="0.25">
      <c r="A25" s="17">
        <v>46136</v>
      </c>
      <c r="B25" s="18">
        <v>0</v>
      </c>
      <c r="C25" s="18">
        <v>0</v>
      </c>
      <c r="D25" s="2">
        <f t="shared" si="0"/>
        <v>0</v>
      </c>
      <c r="E25" s="18">
        <v>66</v>
      </c>
      <c r="F25" s="2"/>
      <c r="G25" s="2"/>
      <c r="H25" s="2"/>
      <c r="I25" s="2"/>
      <c r="J25" s="2"/>
      <c r="K25" s="19" t="s">
        <v>107</v>
      </c>
      <c r="L25" s="109" t="s">
        <v>2931</v>
      </c>
    </row>
    <row r="26" spans="1:12" ht="60" x14ac:dyDescent="0.25">
      <c r="A26" s="17">
        <v>46136</v>
      </c>
      <c r="B26" s="18">
        <v>33</v>
      </c>
      <c r="C26" s="18">
        <v>0</v>
      </c>
      <c r="D26" s="2">
        <f t="shared" si="0"/>
        <v>33</v>
      </c>
      <c r="E26" s="18"/>
      <c r="F26" s="2"/>
      <c r="G26" s="2"/>
      <c r="H26" s="2"/>
      <c r="I26" s="2"/>
      <c r="J26" s="2"/>
      <c r="K26" s="19" t="s">
        <v>2932</v>
      </c>
      <c r="L26" s="106" t="s">
        <v>2935</v>
      </c>
    </row>
    <row r="27" spans="1:12" ht="30" x14ac:dyDescent="0.25">
      <c r="A27" s="17">
        <v>46136</v>
      </c>
      <c r="B27" s="18">
        <v>0</v>
      </c>
      <c r="C27" s="18">
        <v>0</v>
      </c>
      <c r="D27" s="2">
        <f t="shared" si="0"/>
        <v>0</v>
      </c>
      <c r="E27" s="18">
        <v>48</v>
      </c>
      <c r="F27" s="2"/>
      <c r="G27" s="2"/>
      <c r="H27" s="2"/>
      <c r="I27" s="2"/>
      <c r="J27" s="2"/>
      <c r="K27" s="19" t="s">
        <v>107</v>
      </c>
      <c r="L27" s="109" t="s">
        <v>2933</v>
      </c>
    </row>
    <row r="28" spans="1:12" ht="45" x14ac:dyDescent="0.25">
      <c r="A28" s="17">
        <v>46136</v>
      </c>
      <c r="B28" s="18">
        <v>24</v>
      </c>
      <c r="C28" s="18">
        <v>0</v>
      </c>
      <c r="D28" s="2">
        <f t="shared" si="0"/>
        <v>24</v>
      </c>
      <c r="E28" s="18"/>
      <c r="F28" s="2"/>
      <c r="G28" s="2"/>
      <c r="H28" s="2"/>
      <c r="I28" s="2"/>
      <c r="J28" s="2"/>
      <c r="K28" s="19" t="s">
        <v>2937</v>
      </c>
      <c r="L28" s="66" t="s">
        <v>2934</v>
      </c>
    </row>
    <row r="29" spans="1:12" x14ac:dyDescent="0.25">
      <c r="A29" s="17">
        <v>46136</v>
      </c>
      <c r="B29" s="18">
        <v>2</v>
      </c>
      <c r="C29" s="18">
        <v>2</v>
      </c>
      <c r="D29" s="2">
        <f t="shared" si="0"/>
        <v>0</v>
      </c>
      <c r="E29" s="18">
        <v>2</v>
      </c>
      <c r="F29" s="2"/>
      <c r="G29" s="2"/>
      <c r="H29" s="2"/>
      <c r="I29" s="2"/>
      <c r="J29" s="2"/>
      <c r="K29" s="19" t="s">
        <v>2936</v>
      </c>
      <c r="L29" s="106" t="s">
        <v>2927</v>
      </c>
    </row>
    <row r="30" spans="1:12" x14ac:dyDescent="0.25">
      <c r="A30" s="17">
        <v>46139</v>
      </c>
      <c r="B30" s="18">
        <v>1</v>
      </c>
      <c r="C30" s="18">
        <v>1</v>
      </c>
      <c r="D30" s="2">
        <f t="shared" si="0"/>
        <v>0</v>
      </c>
      <c r="E30" s="18">
        <v>1</v>
      </c>
      <c r="F30" s="2"/>
      <c r="G30" s="2"/>
      <c r="H30" s="2"/>
      <c r="I30" s="2"/>
      <c r="J30" s="2"/>
      <c r="K30" s="19" t="s">
        <v>2938</v>
      </c>
      <c r="L30" s="66" t="s">
        <v>2939</v>
      </c>
    </row>
    <row r="31" spans="1:12" x14ac:dyDescent="0.25">
      <c r="A31" s="17">
        <v>46139</v>
      </c>
      <c r="B31" s="18">
        <v>0</v>
      </c>
      <c r="C31" s="18">
        <v>1</v>
      </c>
      <c r="D31" s="2">
        <f t="shared" si="0"/>
        <v>-1</v>
      </c>
      <c r="E31" s="18"/>
      <c r="F31" s="2"/>
      <c r="G31" s="2"/>
      <c r="H31" s="2"/>
      <c r="I31" s="2"/>
      <c r="J31" s="2"/>
      <c r="K31" s="19">
        <v>652966</v>
      </c>
      <c r="L31" s="66" t="s">
        <v>2939</v>
      </c>
    </row>
    <row r="32" spans="1:12" ht="60" x14ac:dyDescent="0.25">
      <c r="A32" s="17">
        <v>46142</v>
      </c>
      <c r="B32" s="18">
        <v>0</v>
      </c>
      <c r="C32" s="18">
        <v>34</v>
      </c>
      <c r="D32" s="2">
        <f t="shared" si="0"/>
        <v>-34</v>
      </c>
      <c r="E32" s="18"/>
      <c r="F32" s="2"/>
      <c r="G32" s="2"/>
      <c r="H32" s="2"/>
      <c r="I32" s="2"/>
      <c r="J32" s="2"/>
      <c r="K32" s="19" t="s">
        <v>2941</v>
      </c>
      <c r="L32" s="66" t="s">
        <v>2940</v>
      </c>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phoneticPr fontId="15" type="noConversion"/>
  <conditionalFormatting sqref="K2">
    <cfRule type="cellIs" dxfId="9" priority="1" operator="lessThan">
      <formula>0</formula>
    </cfRule>
    <cfRule type="cellIs" dxfId="8"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55" orientation="landscape" r:id="rId1"/>
  <headerFooter>
    <oddFooter>&amp;C&amp;D / &amp;T&amp;RSeite &amp;P von &amp;N</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L44"/>
  <sheetViews>
    <sheetView workbookViewId="0">
      <pane ySplit="6" topLeftCell="A7" activePane="bottomLeft" state="frozen"/>
      <selection pane="bottomLeft" activeCell="K14" sqref="K14:L14"/>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-34</v>
      </c>
      <c r="L2" s="27"/>
    </row>
    <row r="3" spans="1:12" ht="15.75" thickBot="1" x14ac:dyDescent="0.3">
      <c r="A3" s="5"/>
      <c r="B3" s="2"/>
      <c r="C3" s="2"/>
      <c r="D3" s="2"/>
      <c r="E3" s="2"/>
      <c r="F3" s="2">
        <f>'04.26'!F6</f>
        <v>744</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676</v>
      </c>
      <c r="G6" s="30">
        <f>SUM(B:B)</f>
        <v>39</v>
      </c>
      <c r="H6" s="30">
        <f>SUM(C:C)</f>
        <v>107</v>
      </c>
      <c r="I6" s="30"/>
      <c r="J6" s="33">
        <f>SUM(G6:H6)+SUM(E:E)</f>
        <v>202</v>
      </c>
      <c r="K6" s="112"/>
      <c r="L6" s="50">
        <f>J6/K1</f>
        <v>0.31464174454828658</v>
      </c>
    </row>
    <row r="7" spans="1:12" ht="30" x14ac:dyDescent="0.25">
      <c r="A7" s="17">
        <v>46142</v>
      </c>
      <c r="B7" s="18">
        <v>4</v>
      </c>
      <c r="C7" s="18">
        <v>0</v>
      </c>
      <c r="D7" s="2">
        <f t="shared" ref="D7:D21" si="0">B7-C7</f>
        <v>4</v>
      </c>
      <c r="E7" s="18"/>
      <c r="F7" s="2"/>
      <c r="G7" s="2"/>
      <c r="H7" s="2"/>
      <c r="I7" s="2"/>
      <c r="J7" s="2"/>
      <c r="K7" s="19" t="s">
        <v>2942</v>
      </c>
      <c r="L7" s="107" t="s">
        <v>2947</v>
      </c>
    </row>
    <row r="8" spans="1:12" ht="30" x14ac:dyDescent="0.25">
      <c r="A8" s="17">
        <v>46149</v>
      </c>
      <c r="B8" s="18">
        <v>0</v>
      </c>
      <c r="C8" s="18">
        <v>16</v>
      </c>
      <c r="D8" s="2">
        <f t="shared" si="0"/>
        <v>-16</v>
      </c>
      <c r="E8" s="18"/>
      <c r="F8" s="2"/>
      <c r="G8" s="2"/>
      <c r="H8" s="2"/>
      <c r="I8" s="2"/>
      <c r="J8" s="2"/>
      <c r="K8" s="19" t="s">
        <v>2943</v>
      </c>
      <c r="L8" s="66" t="s">
        <v>2946</v>
      </c>
    </row>
    <row r="9" spans="1:12" ht="30" x14ac:dyDescent="0.25">
      <c r="A9" s="17">
        <v>46150</v>
      </c>
      <c r="B9" s="18">
        <v>0</v>
      </c>
      <c r="C9" s="18">
        <v>12</v>
      </c>
      <c r="D9" s="2">
        <f t="shared" si="0"/>
        <v>-12</v>
      </c>
      <c r="E9" s="18"/>
      <c r="F9" s="2"/>
      <c r="G9" s="2"/>
      <c r="H9" s="2"/>
      <c r="I9" s="2"/>
      <c r="J9" s="2"/>
      <c r="K9" s="19" t="s">
        <v>2944</v>
      </c>
      <c r="L9" s="66" t="s">
        <v>2945</v>
      </c>
    </row>
    <row r="10" spans="1:12" ht="30" x14ac:dyDescent="0.25">
      <c r="A10" s="17">
        <v>46153</v>
      </c>
      <c r="B10" s="18">
        <v>0</v>
      </c>
      <c r="C10" s="18">
        <v>0</v>
      </c>
      <c r="D10" s="2">
        <f t="shared" si="0"/>
        <v>0</v>
      </c>
      <c r="E10" s="18">
        <f>2*19</f>
        <v>38</v>
      </c>
      <c r="F10" s="2"/>
      <c r="G10" s="2"/>
      <c r="H10" s="2"/>
      <c r="I10" s="2"/>
      <c r="J10" s="2"/>
      <c r="K10" s="19" t="s">
        <v>107</v>
      </c>
      <c r="L10" s="109" t="s">
        <v>2948</v>
      </c>
    </row>
    <row r="11" spans="1:12" ht="45" x14ac:dyDescent="0.25">
      <c r="A11" s="17">
        <v>46153</v>
      </c>
      <c r="B11" s="18">
        <v>19</v>
      </c>
      <c r="C11" s="18">
        <v>0</v>
      </c>
      <c r="D11" s="2">
        <f t="shared" si="0"/>
        <v>19</v>
      </c>
      <c r="E11" s="18"/>
      <c r="F11" s="2"/>
      <c r="G11" s="2"/>
      <c r="H11" s="2"/>
      <c r="I11" s="2"/>
      <c r="J11" s="2"/>
      <c r="K11" s="19" t="s">
        <v>2953</v>
      </c>
      <c r="L11" s="106" t="s">
        <v>2949</v>
      </c>
    </row>
    <row r="12" spans="1:12" x14ac:dyDescent="0.25">
      <c r="A12" s="17">
        <v>46153</v>
      </c>
      <c r="B12" s="18">
        <v>2</v>
      </c>
      <c r="C12" s="18">
        <v>2</v>
      </c>
      <c r="D12" s="2">
        <f t="shared" si="0"/>
        <v>0</v>
      </c>
      <c r="E12" s="18">
        <v>2</v>
      </c>
      <c r="F12" s="2"/>
      <c r="G12" s="2"/>
      <c r="H12" s="2"/>
      <c r="I12" s="2"/>
      <c r="J12" s="2"/>
      <c r="K12" s="19" t="s">
        <v>2950</v>
      </c>
      <c r="L12" s="106" t="s">
        <v>2927</v>
      </c>
    </row>
    <row r="13" spans="1:12" ht="60" x14ac:dyDescent="0.25">
      <c r="A13" s="17">
        <v>46155</v>
      </c>
      <c r="B13" s="18">
        <v>0</v>
      </c>
      <c r="C13" s="18">
        <v>28</v>
      </c>
      <c r="D13" s="2">
        <f t="shared" si="0"/>
        <v>-28</v>
      </c>
      <c r="E13" s="18"/>
      <c r="F13" s="2"/>
      <c r="G13" s="2"/>
      <c r="H13" s="2"/>
      <c r="I13" s="2"/>
      <c r="J13" s="2"/>
      <c r="K13" s="19" t="s">
        <v>2951</v>
      </c>
      <c r="L13" s="66" t="s">
        <v>2952</v>
      </c>
    </row>
    <row r="14" spans="1:12" x14ac:dyDescent="0.25">
      <c r="A14" s="17">
        <v>46160</v>
      </c>
      <c r="B14" s="18">
        <v>1</v>
      </c>
      <c r="C14" s="18">
        <v>1</v>
      </c>
      <c r="D14" s="2">
        <f t="shared" si="0"/>
        <v>0</v>
      </c>
      <c r="E14" s="18">
        <v>1</v>
      </c>
      <c r="F14" s="2"/>
      <c r="G14" s="2"/>
      <c r="H14" s="2"/>
      <c r="I14" s="2"/>
      <c r="J14" s="2"/>
      <c r="K14" s="19" t="s">
        <v>2954</v>
      </c>
      <c r="L14" s="66" t="s">
        <v>2927</v>
      </c>
    </row>
    <row r="15" spans="1:12" x14ac:dyDescent="0.25">
      <c r="A15" s="17">
        <v>46162</v>
      </c>
      <c r="B15" s="18">
        <v>0</v>
      </c>
      <c r="C15" s="18">
        <v>1</v>
      </c>
      <c r="D15" s="2">
        <f t="shared" si="0"/>
        <v>-1</v>
      </c>
      <c r="E15" s="18"/>
      <c r="F15" s="2"/>
      <c r="G15" s="2"/>
      <c r="H15" s="2"/>
      <c r="I15" s="2"/>
      <c r="J15" s="2"/>
      <c r="K15" s="19">
        <v>635458</v>
      </c>
      <c r="L15" s="106" t="s">
        <v>2955</v>
      </c>
    </row>
    <row r="16" spans="1:12" ht="45" x14ac:dyDescent="0.25">
      <c r="A16" s="17">
        <v>46163</v>
      </c>
      <c r="B16" s="18">
        <v>0</v>
      </c>
      <c r="C16" s="18">
        <v>26</v>
      </c>
      <c r="D16" s="2">
        <f t="shared" si="0"/>
        <v>-26</v>
      </c>
      <c r="E16" s="18"/>
      <c r="F16" s="2"/>
      <c r="G16" s="2"/>
      <c r="H16" s="2"/>
      <c r="I16" s="2"/>
      <c r="J16" s="2"/>
      <c r="K16" s="19" t="s">
        <v>2956</v>
      </c>
      <c r="L16" s="106" t="s">
        <v>2960</v>
      </c>
    </row>
    <row r="17" spans="1:12" x14ac:dyDescent="0.25">
      <c r="A17" s="21">
        <v>46163</v>
      </c>
      <c r="B17" s="22">
        <v>3</v>
      </c>
      <c r="C17" s="22">
        <v>0</v>
      </c>
      <c r="D17" s="2">
        <f t="shared" si="0"/>
        <v>3</v>
      </c>
      <c r="E17" s="22"/>
      <c r="F17" s="23"/>
      <c r="G17" s="23"/>
      <c r="H17" s="23"/>
      <c r="I17" s="23"/>
      <c r="J17" s="23"/>
      <c r="K17" s="19" t="s">
        <v>2964</v>
      </c>
      <c r="L17" s="106" t="s">
        <v>2957</v>
      </c>
    </row>
    <row r="18" spans="1:12" ht="30" x14ac:dyDescent="0.25">
      <c r="A18" s="17">
        <v>46170</v>
      </c>
      <c r="B18" s="18">
        <v>0</v>
      </c>
      <c r="C18" s="18">
        <v>16</v>
      </c>
      <c r="D18" s="2">
        <f t="shared" si="0"/>
        <v>-16</v>
      </c>
      <c r="E18" s="18"/>
      <c r="F18" s="2"/>
      <c r="G18" s="2"/>
      <c r="H18" s="2"/>
      <c r="I18" s="2"/>
      <c r="J18" s="2"/>
      <c r="K18" s="19" t="s">
        <v>2958</v>
      </c>
      <c r="L18" s="106" t="s">
        <v>2959</v>
      </c>
    </row>
    <row r="19" spans="1:12" ht="30" x14ac:dyDescent="0.25">
      <c r="A19" s="17">
        <v>46170</v>
      </c>
      <c r="B19" s="18">
        <v>0</v>
      </c>
      <c r="C19" s="18">
        <v>0</v>
      </c>
      <c r="D19" s="2">
        <f t="shared" si="0"/>
        <v>0</v>
      </c>
      <c r="E19" s="18">
        <v>10</v>
      </c>
      <c r="F19" s="2"/>
      <c r="G19" s="2"/>
      <c r="H19" s="2"/>
      <c r="I19" s="2"/>
      <c r="J19" s="2"/>
      <c r="K19" s="19" t="s">
        <v>107</v>
      </c>
      <c r="L19" s="109" t="s">
        <v>2961</v>
      </c>
    </row>
    <row r="20" spans="1:12" x14ac:dyDescent="0.25">
      <c r="A20" s="17">
        <v>46170</v>
      </c>
      <c r="B20" s="18">
        <v>5</v>
      </c>
      <c r="C20" s="18">
        <v>0</v>
      </c>
      <c r="D20" s="2">
        <f t="shared" si="0"/>
        <v>5</v>
      </c>
      <c r="E20" s="18"/>
      <c r="F20" s="2"/>
      <c r="G20" s="2"/>
      <c r="H20" s="2"/>
      <c r="I20" s="2"/>
      <c r="J20" s="2"/>
      <c r="K20" s="19" t="s">
        <v>2965</v>
      </c>
      <c r="L20" s="66" t="s">
        <v>2962</v>
      </c>
    </row>
    <row r="21" spans="1:12" x14ac:dyDescent="0.25">
      <c r="A21" s="17">
        <v>46170</v>
      </c>
      <c r="B21" s="18">
        <v>5</v>
      </c>
      <c r="C21" s="18">
        <v>5</v>
      </c>
      <c r="D21" s="2">
        <f t="shared" si="0"/>
        <v>0</v>
      </c>
      <c r="E21" s="18">
        <v>5</v>
      </c>
      <c r="F21" s="2"/>
      <c r="G21" s="2"/>
      <c r="H21" s="2"/>
      <c r="I21" s="2"/>
      <c r="J21" s="2"/>
      <c r="K21" s="19" t="s">
        <v>2963</v>
      </c>
      <c r="L21" s="106" t="s">
        <v>2927</v>
      </c>
    </row>
    <row r="22" spans="1:12" x14ac:dyDescent="0.25">
      <c r="A22" s="17"/>
      <c r="B22" s="18"/>
      <c r="C22" s="18"/>
      <c r="D22" s="2">
        <f t="shared" ref="D22:D44" si="1">B22-C22</f>
        <v>0</v>
      </c>
      <c r="E22" s="18"/>
      <c r="F22" s="2"/>
      <c r="G22" s="2"/>
      <c r="H22" s="2"/>
      <c r="I22" s="2"/>
      <c r="J22" s="2"/>
      <c r="K22" s="19"/>
      <c r="L22" s="106"/>
    </row>
    <row r="23" spans="1:12" x14ac:dyDescent="0.25">
      <c r="A23" s="17"/>
      <c r="B23" s="18"/>
      <c r="C23" s="18"/>
      <c r="D23" s="2">
        <f t="shared" si="1"/>
        <v>0</v>
      </c>
      <c r="E23" s="18"/>
      <c r="F23" s="2"/>
      <c r="G23" s="2"/>
      <c r="H23" s="2"/>
      <c r="I23" s="2"/>
      <c r="J23" s="2"/>
      <c r="K23" s="19"/>
      <c r="L23" s="106"/>
    </row>
    <row r="24" spans="1:12" x14ac:dyDescent="0.25">
      <c r="A24" s="17"/>
      <c r="B24" s="18"/>
      <c r="C24" s="18"/>
      <c r="D24" s="2">
        <f t="shared" si="1"/>
        <v>0</v>
      </c>
      <c r="E24" s="18"/>
      <c r="F24" s="2"/>
      <c r="G24" s="2"/>
      <c r="H24" s="2"/>
      <c r="I24" s="2"/>
      <c r="J24" s="2"/>
      <c r="K24" s="19"/>
      <c r="L24" s="106"/>
    </row>
    <row r="25" spans="1:12" x14ac:dyDescent="0.25">
      <c r="A25" s="17"/>
      <c r="B25" s="18"/>
      <c r="C25" s="18"/>
      <c r="D25" s="2">
        <f t="shared" si="1"/>
        <v>0</v>
      </c>
      <c r="E25" s="18"/>
      <c r="F25" s="2"/>
      <c r="G25" s="2"/>
      <c r="H25" s="2"/>
      <c r="I25" s="2"/>
      <c r="J25" s="2"/>
      <c r="K25" s="19"/>
    </row>
    <row r="26" spans="1:12" x14ac:dyDescent="0.25">
      <c r="A26" s="17"/>
      <c r="B26" s="18"/>
      <c r="C26" s="18"/>
      <c r="D26" s="2">
        <f t="shared" si="1"/>
        <v>0</v>
      </c>
      <c r="E26" s="18"/>
      <c r="F26" s="2"/>
      <c r="G26" s="2"/>
      <c r="H26" s="2"/>
      <c r="I26" s="2"/>
      <c r="J26" s="2"/>
      <c r="K26" s="19"/>
      <c r="L26" s="106"/>
    </row>
    <row r="27" spans="1:12" x14ac:dyDescent="0.25">
      <c r="A27" s="17"/>
      <c r="B27" s="18"/>
      <c r="C27" s="18"/>
      <c r="D27" s="2">
        <f t="shared" si="1"/>
        <v>0</v>
      </c>
      <c r="E27" s="18"/>
      <c r="F27" s="2"/>
      <c r="G27" s="2"/>
      <c r="H27" s="2"/>
      <c r="I27" s="2"/>
      <c r="J27" s="2"/>
      <c r="K27" s="19"/>
    </row>
    <row r="28" spans="1:12" x14ac:dyDescent="0.25">
      <c r="A28" s="17"/>
      <c r="B28" s="18"/>
      <c r="C28" s="18"/>
      <c r="D28" s="2">
        <f t="shared" si="1"/>
        <v>0</v>
      </c>
      <c r="E28" s="18"/>
      <c r="F28" s="2"/>
      <c r="G28" s="2"/>
      <c r="H28" s="2"/>
      <c r="I28" s="2"/>
      <c r="J28" s="2"/>
      <c r="K28" s="19"/>
    </row>
    <row r="29" spans="1:12" x14ac:dyDescent="0.25">
      <c r="A29" s="17"/>
      <c r="B29" s="18"/>
      <c r="C29" s="18"/>
      <c r="D29" s="2">
        <f t="shared" si="1"/>
        <v>0</v>
      </c>
      <c r="E29" s="18"/>
      <c r="F29" s="2"/>
      <c r="G29" s="2"/>
      <c r="H29" s="2"/>
      <c r="I29" s="2"/>
      <c r="J29" s="2"/>
      <c r="K29" s="19"/>
    </row>
    <row r="30" spans="1:12" x14ac:dyDescent="0.25">
      <c r="A30" s="17"/>
      <c r="B30" s="18"/>
      <c r="C30" s="18"/>
      <c r="D30" s="2">
        <f t="shared" si="1"/>
        <v>0</v>
      </c>
      <c r="E30" s="18"/>
      <c r="F30" s="2"/>
      <c r="G30" s="2"/>
      <c r="H30" s="2"/>
      <c r="I30" s="2"/>
      <c r="J30" s="2"/>
      <c r="K30" s="19"/>
    </row>
    <row r="31" spans="1:12" x14ac:dyDescent="0.25">
      <c r="A31" s="17"/>
      <c r="B31" s="18"/>
      <c r="C31" s="18"/>
      <c r="D31" s="2">
        <f t="shared" si="1"/>
        <v>0</v>
      </c>
      <c r="E31" s="18"/>
      <c r="F31" s="2"/>
      <c r="G31" s="2"/>
      <c r="H31" s="2"/>
      <c r="I31" s="2"/>
      <c r="J31" s="2"/>
      <c r="K31" s="19"/>
    </row>
    <row r="32" spans="1:12" x14ac:dyDescent="0.25">
      <c r="A32" s="17"/>
      <c r="B32" s="18"/>
      <c r="C32" s="18"/>
      <c r="D32" s="2">
        <f t="shared" si="1"/>
        <v>0</v>
      </c>
      <c r="E32" s="18"/>
      <c r="F32" s="2"/>
      <c r="G32" s="2"/>
      <c r="H32" s="2"/>
      <c r="I32" s="2"/>
      <c r="J32" s="2"/>
      <c r="K32" s="19"/>
    </row>
    <row r="33" spans="1:11" x14ac:dyDescent="0.25">
      <c r="A33" s="17"/>
      <c r="B33" s="18"/>
      <c r="C33" s="18"/>
      <c r="D33" s="2">
        <f t="shared" si="1"/>
        <v>0</v>
      </c>
      <c r="E33" s="18"/>
      <c r="F33" s="2"/>
      <c r="G33" s="2"/>
      <c r="H33" s="2"/>
      <c r="I33" s="2"/>
      <c r="J33" s="2"/>
      <c r="K33" s="19"/>
    </row>
    <row r="34" spans="1:11" x14ac:dyDescent="0.25">
      <c r="A34" s="17"/>
      <c r="B34" s="18"/>
      <c r="C34" s="18"/>
      <c r="D34" s="2">
        <f t="shared" si="1"/>
        <v>0</v>
      </c>
      <c r="E34" s="18"/>
      <c r="F34" s="2"/>
      <c r="G34" s="2"/>
      <c r="H34" s="2"/>
      <c r="I34" s="2"/>
      <c r="J34" s="2"/>
      <c r="K34" s="19"/>
    </row>
    <row r="35" spans="1:11" x14ac:dyDescent="0.25">
      <c r="A35" s="17"/>
      <c r="B35" s="18"/>
      <c r="C35" s="18"/>
      <c r="D35" s="2">
        <f t="shared" si="1"/>
        <v>0</v>
      </c>
      <c r="E35" s="18"/>
      <c r="F35" s="2"/>
      <c r="G35" s="2"/>
      <c r="H35" s="2"/>
      <c r="I35" s="2"/>
      <c r="J35" s="2"/>
      <c r="K35" s="19"/>
    </row>
    <row r="36" spans="1:11" x14ac:dyDescent="0.25">
      <c r="A36" s="17"/>
      <c r="B36" s="18"/>
      <c r="C36" s="18"/>
      <c r="D36" s="2">
        <f t="shared" si="1"/>
        <v>0</v>
      </c>
      <c r="E36" s="18"/>
      <c r="F36" s="2"/>
      <c r="G36" s="2"/>
      <c r="H36" s="2"/>
      <c r="I36" s="2"/>
      <c r="J36" s="2"/>
      <c r="K36" s="19"/>
    </row>
    <row r="37" spans="1:11" x14ac:dyDescent="0.25">
      <c r="A37" s="17"/>
      <c r="B37" s="18"/>
      <c r="C37" s="18"/>
      <c r="D37" s="2">
        <f t="shared" si="1"/>
        <v>0</v>
      </c>
      <c r="E37" s="18"/>
      <c r="F37" s="2"/>
      <c r="G37" s="2"/>
      <c r="H37" s="2"/>
      <c r="I37" s="2"/>
      <c r="J37" s="2"/>
      <c r="K37" s="19"/>
    </row>
    <row r="38" spans="1:11" x14ac:dyDescent="0.25">
      <c r="A38" s="17"/>
      <c r="B38" s="18"/>
      <c r="C38" s="18"/>
      <c r="D38" s="2">
        <f t="shared" si="1"/>
        <v>0</v>
      </c>
      <c r="E38" s="18"/>
      <c r="F38" s="2"/>
      <c r="G38" s="2"/>
      <c r="H38" s="2"/>
      <c r="I38" s="2"/>
      <c r="J38" s="2"/>
      <c r="K38" s="19"/>
    </row>
    <row r="39" spans="1:11" x14ac:dyDescent="0.25">
      <c r="A39" s="17"/>
      <c r="B39" s="18"/>
      <c r="C39" s="18"/>
      <c r="D39" s="2">
        <f t="shared" si="1"/>
        <v>0</v>
      </c>
      <c r="E39" s="18"/>
      <c r="F39" s="2"/>
      <c r="G39" s="2"/>
      <c r="H39" s="2"/>
      <c r="I39" s="2"/>
      <c r="J39" s="2"/>
      <c r="K39" s="19"/>
    </row>
    <row r="40" spans="1:11" x14ac:dyDescent="0.25">
      <c r="A40" s="17"/>
      <c r="B40" s="18"/>
      <c r="C40" s="18"/>
      <c r="D40" s="2">
        <f t="shared" si="1"/>
        <v>0</v>
      </c>
      <c r="E40" s="18"/>
      <c r="F40" s="2"/>
      <c r="G40" s="2"/>
      <c r="H40" s="2"/>
      <c r="I40" s="2"/>
      <c r="J40" s="2"/>
      <c r="K40" s="19"/>
    </row>
    <row r="41" spans="1:11" x14ac:dyDescent="0.25">
      <c r="A41" s="17"/>
      <c r="B41" s="18"/>
      <c r="C41" s="18"/>
      <c r="D41" s="2">
        <f t="shared" si="1"/>
        <v>0</v>
      </c>
      <c r="E41" s="18"/>
      <c r="F41" s="2"/>
      <c r="G41" s="2"/>
      <c r="H41" s="2"/>
      <c r="I41" s="2"/>
      <c r="J41" s="2"/>
      <c r="K41" s="19"/>
    </row>
    <row r="42" spans="1:11" x14ac:dyDescent="0.25">
      <c r="A42" s="17"/>
      <c r="B42" s="18"/>
      <c r="C42" s="18"/>
      <c r="D42" s="2">
        <f t="shared" si="1"/>
        <v>0</v>
      </c>
      <c r="E42" s="18"/>
      <c r="F42" s="2"/>
      <c r="G42" s="2"/>
      <c r="H42" s="2"/>
      <c r="I42" s="2"/>
      <c r="J42" s="2"/>
      <c r="K42" s="19"/>
    </row>
    <row r="43" spans="1:11" x14ac:dyDescent="0.25">
      <c r="A43" s="17"/>
      <c r="B43" s="18"/>
      <c r="C43" s="18"/>
      <c r="D43" s="2">
        <f t="shared" si="1"/>
        <v>0</v>
      </c>
      <c r="E43" s="18"/>
      <c r="F43" s="2"/>
      <c r="G43" s="2"/>
      <c r="H43" s="2"/>
      <c r="I43" s="2"/>
      <c r="J43" s="2"/>
      <c r="K43" s="19"/>
    </row>
    <row r="44" spans="1:11" x14ac:dyDescent="0.25">
      <c r="A44" s="17"/>
      <c r="B44" s="18"/>
      <c r="C44" s="18"/>
      <c r="D44" s="2">
        <f t="shared" si="1"/>
        <v>0</v>
      </c>
      <c r="E44" s="18"/>
      <c r="F44" s="2"/>
      <c r="G44" s="2"/>
      <c r="H44" s="2"/>
      <c r="I44" s="2"/>
      <c r="J44" s="2"/>
      <c r="K44" s="19"/>
    </row>
  </sheetData>
  <sortState xmlns:xlrd2="http://schemas.microsoft.com/office/spreadsheetml/2017/richdata2" ref="A7:L21">
    <sortCondition ref="A21"/>
  </sortState>
  <conditionalFormatting sqref="K2">
    <cfRule type="cellIs" dxfId="7" priority="1" operator="lessThan">
      <formula>0</formula>
    </cfRule>
    <cfRule type="cellIs" dxfId="6"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8" orientation="landscape" r:id="rId1"/>
  <headerFooter>
    <oddFooter>&amp;C&amp;D / &amp;T&amp;RSeite &amp;P von &amp;N</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L44"/>
  <sheetViews>
    <sheetView workbookViewId="0">
      <pane ySplit="6" topLeftCell="A15" activePane="bottomLeft" state="frozen"/>
      <selection pane="bottomLeft" activeCell="L26" sqref="L26"/>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6</v>
      </c>
      <c r="L2" s="27"/>
    </row>
    <row r="3" spans="1:12" ht="15.75" thickBot="1" x14ac:dyDescent="0.3">
      <c r="A3" s="5"/>
      <c r="B3" s="2"/>
      <c r="C3" s="2"/>
      <c r="D3" s="2"/>
      <c r="E3" s="2"/>
      <c r="F3" s="2">
        <f>'05.26'!F6</f>
        <v>676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14" t="s">
        <v>18</v>
      </c>
    </row>
    <row r="6" spans="1:12" s="35" customFormat="1" ht="15.75" thickBot="1" x14ac:dyDescent="0.3">
      <c r="A6" s="29"/>
      <c r="B6" s="30"/>
      <c r="C6" s="30"/>
      <c r="D6" s="30"/>
      <c r="E6" s="30"/>
      <c r="F6" s="32">
        <f>SUM(D:D)+F3</f>
        <v>636</v>
      </c>
      <c r="G6" s="30">
        <f>SUM(B:B)</f>
        <v>90</v>
      </c>
      <c r="H6" s="30">
        <f>SUM(C:C)</f>
        <v>130</v>
      </c>
      <c r="I6" s="30"/>
      <c r="J6" s="33">
        <f>SUM(G6:H6)+SUM(E:E)</f>
        <v>490</v>
      </c>
      <c r="K6" s="112"/>
      <c r="L6" s="50">
        <f>J6/K1</f>
        <v>0.76323987538940807</v>
      </c>
    </row>
    <row r="7" spans="1:12" x14ac:dyDescent="0.25">
      <c r="A7" s="17">
        <v>46176</v>
      </c>
      <c r="B7" s="18">
        <v>0</v>
      </c>
      <c r="C7" s="18">
        <v>0</v>
      </c>
      <c r="D7" s="2">
        <f t="shared" ref="D7:D44" si="0">B7-C7</f>
        <v>0</v>
      </c>
      <c r="E7" s="18">
        <v>54</v>
      </c>
      <c r="F7" s="2"/>
      <c r="G7" s="2"/>
      <c r="H7" s="2"/>
      <c r="I7" s="2"/>
      <c r="J7" s="2"/>
      <c r="K7" s="19" t="s">
        <v>2966</v>
      </c>
      <c r="L7" s="106" t="s">
        <v>2976</v>
      </c>
    </row>
    <row r="8" spans="1:12" x14ac:dyDescent="0.25">
      <c r="A8" s="17">
        <v>46176</v>
      </c>
      <c r="B8" s="18">
        <v>0</v>
      </c>
      <c r="C8" s="18">
        <v>0</v>
      </c>
      <c r="D8" s="2">
        <f t="shared" si="0"/>
        <v>0</v>
      </c>
      <c r="E8" s="18">
        <v>10</v>
      </c>
      <c r="F8" s="2"/>
      <c r="G8" s="2"/>
      <c r="H8" s="2"/>
      <c r="I8" s="2"/>
      <c r="J8" s="2"/>
      <c r="K8" s="19" t="s">
        <v>2968</v>
      </c>
      <c r="L8" s="66" t="s">
        <v>2976</v>
      </c>
    </row>
    <row r="9" spans="1:12" ht="45" x14ac:dyDescent="0.25">
      <c r="A9" s="17">
        <v>46178</v>
      </c>
      <c r="B9" s="18">
        <v>0</v>
      </c>
      <c r="C9" s="18">
        <v>22</v>
      </c>
      <c r="D9" s="2">
        <f t="shared" si="0"/>
        <v>-22</v>
      </c>
      <c r="E9" s="18">
        <v>22</v>
      </c>
      <c r="F9" s="2"/>
      <c r="G9" s="2"/>
      <c r="H9" s="2"/>
      <c r="I9" s="2"/>
      <c r="J9" s="2"/>
      <c r="K9" s="19" t="s">
        <v>2821</v>
      </c>
      <c r="L9" s="66" t="s">
        <v>2971</v>
      </c>
    </row>
    <row r="10" spans="1:12" ht="45" x14ac:dyDescent="0.25">
      <c r="A10" s="17">
        <v>46178</v>
      </c>
      <c r="B10" s="18">
        <v>0</v>
      </c>
      <c r="C10" s="18">
        <v>22</v>
      </c>
      <c r="D10" s="2">
        <f t="shared" si="0"/>
        <v>-22</v>
      </c>
      <c r="E10" s="18">
        <v>22</v>
      </c>
      <c r="F10" s="2"/>
      <c r="G10" s="2"/>
      <c r="H10" s="2"/>
      <c r="I10" s="2"/>
      <c r="J10" s="2"/>
      <c r="K10" s="19" t="s">
        <v>2967</v>
      </c>
      <c r="L10" s="66" t="s">
        <v>2972</v>
      </c>
    </row>
    <row r="11" spans="1:12" ht="30" x14ac:dyDescent="0.25">
      <c r="A11" s="17">
        <v>46177</v>
      </c>
      <c r="B11" s="18">
        <v>0</v>
      </c>
      <c r="C11" s="18">
        <v>0</v>
      </c>
      <c r="D11" s="2">
        <f t="shared" si="0"/>
        <v>0</v>
      </c>
      <c r="E11" s="18">
        <v>14</v>
      </c>
      <c r="F11" s="2"/>
      <c r="G11" s="2"/>
      <c r="H11" s="2"/>
      <c r="I11" s="2"/>
      <c r="J11" s="2"/>
      <c r="K11" s="19" t="s">
        <v>107</v>
      </c>
      <c r="L11" s="109" t="s">
        <v>2969</v>
      </c>
    </row>
    <row r="12" spans="1:12" x14ac:dyDescent="0.25">
      <c r="A12" s="17">
        <v>46178</v>
      </c>
      <c r="B12" s="18">
        <v>7</v>
      </c>
      <c r="C12" s="18">
        <v>0</v>
      </c>
      <c r="D12" s="2">
        <f t="shared" si="0"/>
        <v>7</v>
      </c>
      <c r="E12" s="18"/>
      <c r="F12" s="2"/>
      <c r="G12" s="2"/>
      <c r="H12" s="2"/>
      <c r="I12" s="2"/>
      <c r="J12" s="2"/>
      <c r="K12" s="19" t="s">
        <v>2973</v>
      </c>
      <c r="L12" s="106" t="s">
        <v>2970</v>
      </c>
    </row>
    <row r="13" spans="1:12" ht="45" x14ac:dyDescent="0.25">
      <c r="A13" s="17">
        <v>46178</v>
      </c>
      <c r="B13" s="18">
        <v>0</v>
      </c>
      <c r="C13" s="18">
        <v>24</v>
      </c>
      <c r="D13" s="2">
        <f t="shared" si="0"/>
        <v>-24</v>
      </c>
      <c r="E13" s="18"/>
      <c r="F13" s="2"/>
      <c r="G13" s="2"/>
      <c r="H13" s="2"/>
      <c r="I13" s="2"/>
      <c r="J13" s="2"/>
      <c r="K13" s="19" t="s">
        <v>2974</v>
      </c>
      <c r="L13" s="66" t="s">
        <v>2975</v>
      </c>
    </row>
    <row r="14" spans="1:12" ht="30" x14ac:dyDescent="0.25">
      <c r="A14" s="17">
        <v>46181</v>
      </c>
      <c r="B14" s="18">
        <v>0</v>
      </c>
      <c r="C14" s="18">
        <v>0</v>
      </c>
      <c r="D14" s="2">
        <f t="shared" si="0"/>
        <v>0</v>
      </c>
      <c r="E14" s="18">
        <f>2*46</f>
        <v>92</v>
      </c>
      <c r="F14" s="2"/>
      <c r="G14" s="2"/>
      <c r="H14" s="2"/>
      <c r="I14" s="2"/>
      <c r="J14" s="2"/>
      <c r="K14" s="19" t="s">
        <v>107</v>
      </c>
      <c r="L14" s="109" t="s">
        <v>2977</v>
      </c>
    </row>
    <row r="15" spans="1:12" ht="90" x14ac:dyDescent="0.25">
      <c r="A15" s="17">
        <v>46181</v>
      </c>
      <c r="B15" s="18">
        <v>46</v>
      </c>
      <c r="C15" s="18">
        <v>0</v>
      </c>
      <c r="D15" s="2">
        <f t="shared" si="0"/>
        <v>46</v>
      </c>
      <c r="E15" s="18"/>
      <c r="F15" s="2"/>
      <c r="G15" s="2"/>
      <c r="H15" s="2"/>
      <c r="I15" s="2"/>
      <c r="J15" s="2"/>
      <c r="K15" s="19" t="s">
        <v>2979</v>
      </c>
      <c r="L15" s="106" t="s">
        <v>2978</v>
      </c>
    </row>
    <row r="16" spans="1:12" x14ac:dyDescent="0.25">
      <c r="A16" s="17">
        <v>46182</v>
      </c>
      <c r="B16" s="18">
        <v>2</v>
      </c>
      <c r="C16" s="18">
        <v>2</v>
      </c>
      <c r="D16" s="2">
        <f t="shared" si="0"/>
        <v>0</v>
      </c>
      <c r="E16" s="18">
        <v>2</v>
      </c>
      <c r="F16" s="2"/>
      <c r="G16" s="2"/>
      <c r="H16" s="2"/>
      <c r="I16" s="2"/>
      <c r="J16" s="2"/>
      <c r="K16" s="19" t="s">
        <v>2980</v>
      </c>
      <c r="L16" s="66" t="s">
        <v>2927</v>
      </c>
    </row>
    <row r="17" spans="1:12" x14ac:dyDescent="0.25">
      <c r="A17" s="17">
        <v>46183</v>
      </c>
      <c r="B17" s="18">
        <v>2</v>
      </c>
      <c r="C17" s="18">
        <v>2</v>
      </c>
      <c r="D17" s="2">
        <f t="shared" si="0"/>
        <v>0</v>
      </c>
      <c r="E17" s="18">
        <v>2</v>
      </c>
      <c r="F17" s="2"/>
      <c r="G17" s="2"/>
      <c r="H17" s="2"/>
      <c r="I17" s="2"/>
      <c r="J17" s="2"/>
      <c r="K17" s="19" t="s">
        <v>2981</v>
      </c>
      <c r="L17" s="106" t="s">
        <v>2982</v>
      </c>
    </row>
    <row r="18" spans="1:12" x14ac:dyDescent="0.25">
      <c r="A18" s="17">
        <v>46183</v>
      </c>
      <c r="B18" s="18">
        <v>7</v>
      </c>
      <c r="C18" s="18">
        <v>7</v>
      </c>
      <c r="D18" s="2">
        <f t="shared" si="0"/>
        <v>0</v>
      </c>
      <c r="E18" s="18">
        <v>7</v>
      </c>
      <c r="F18" s="2"/>
      <c r="G18" s="2"/>
      <c r="H18" s="2"/>
      <c r="I18" s="2"/>
      <c r="J18" s="2"/>
      <c r="K18" s="19" t="s">
        <v>2983</v>
      </c>
      <c r="L18" s="66" t="s">
        <v>2927</v>
      </c>
    </row>
    <row r="19" spans="1:12" ht="30" x14ac:dyDescent="0.25">
      <c r="A19" s="17">
        <v>46185</v>
      </c>
      <c r="B19" s="18">
        <v>0</v>
      </c>
      <c r="C19" s="18">
        <v>16</v>
      </c>
      <c r="D19" s="2">
        <f t="shared" si="0"/>
        <v>-16</v>
      </c>
      <c r="E19" s="18"/>
      <c r="F19" s="2"/>
      <c r="G19" s="2"/>
      <c r="H19" s="2"/>
      <c r="I19" s="2"/>
      <c r="J19" s="2"/>
      <c r="K19" s="19" t="s">
        <v>2985</v>
      </c>
      <c r="L19" s="66" t="s">
        <v>2984</v>
      </c>
    </row>
    <row r="20" spans="1:12" ht="30" x14ac:dyDescent="0.25">
      <c r="A20" s="17">
        <v>46185</v>
      </c>
      <c r="B20" s="18">
        <v>0</v>
      </c>
      <c r="C20" s="18">
        <v>0</v>
      </c>
      <c r="D20" s="2">
        <f t="shared" si="0"/>
        <v>0</v>
      </c>
      <c r="E20" s="18">
        <v>14</v>
      </c>
      <c r="F20" s="2"/>
      <c r="G20" s="2"/>
      <c r="H20" s="2"/>
      <c r="I20" s="2"/>
      <c r="J20" s="2"/>
      <c r="K20" s="19" t="s">
        <v>107</v>
      </c>
      <c r="L20" s="109" t="s">
        <v>2986</v>
      </c>
    </row>
    <row r="21" spans="1:12" ht="30" x14ac:dyDescent="0.25">
      <c r="A21" s="17">
        <v>46185</v>
      </c>
      <c r="B21" s="22">
        <v>7</v>
      </c>
      <c r="C21" s="22">
        <v>7</v>
      </c>
      <c r="D21" s="2">
        <f t="shared" si="0"/>
        <v>0</v>
      </c>
      <c r="E21" s="22">
        <v>7</v>
      </c>
      <c r="F21" s="23"/>
      <c r="G21" s="23"/>
      <c r="H21" s="23"/>
      <c r="I21" s="23"/>
      <c r="J21" s="23"/>
      <c r="K21" s="85" t="s">
        <v>2989</v>
      </c>
      <c r="L21" s="66" t="s">
        <v>2927</v>
      </c>
    </row>
    <row r="22" spans="1:12" x14ac:dyDescent="0.25">
      <c r="A22" s="21">
        <v>46188</v>
      </c>
      <c r="B22" s="18">
        <v>7</v>
      </c>
      <c r="C22" s="18">
        <v>0</v>
      </c>
      <c r="D22" s="2">
        <f t="shared" si="0"/>
        <v>7</v>
      </c>
      <c r="E22" s="18"/>
      <c r="F22" s="2"/>
      <c r="G22" s="2"/>
      <c r="H22" s="2"/>
      <c r="I22" s="2"/>
      <c r="J22" s="2"/>
      <c r="K22" s="19" t="s">
        <v>2988</v>
      </c>
      <c r="L22" s="106" t="s">
        <v>2987</v>
      </c>
    </row>
    <row r="23" spans="1:12" x14ac:dyDescent="0.25">
      <c r="A23" s="17">
        <v>46189</v>
      </c>
      <c r="B23" s="18">
        <v>0</v>
      </c>
      <c r="C23" s="18">
        <v>5</v>
      </c>
      <c r="D23" s="2">
        <f t="shared" si="0"/>
        <v>-5</v>
      </c>
      <c r="E23" s="18"/>
      <c r="F23" s="2"/>
      <c r="G23" s="2"/>
      <c r="H23" s="2"/>
      <c r="I23" s="2"/>
      <c r="J23" s="2"/>
      <c r="K23" s="19" t="s">
        <v>2990</v>
      </c>
      <c r="L23" s="106" t="s">
        <v>2991</v>
      </c>
    </row>
    <row r="24" spans="1:12" ht="30" x14ac:dyDescent="0.25">
      <c r="A24" s="17">
        <v>46191</v>
      </c>
      <c r="B24" s="18">
        <v>0</v>
      </c>
      <c r="C24" s="18">
        <v>0</v>
      </c>
      <c r="D24" s="2">
        <f t="shared" si="0"/>
        <v>0</v>
      </c>
      <c r="E24" s="18">
        <v>24</v>
      </c>
      <c r="F24" s="2"/>
      <c r="G24" s="2"/>
      <c r="H24" s="2"/>
      <c r="I24" s="2"/>
      <c r="J24" s="2"/>
      <c r="K24" s="19" t="s">
        <v>107</v>
      </c>
      <c r="L24" s="109" t="s">
        <v>2992</v>
      </c>
    </row>
    <row r="25" spans="1:12" ht="30" x14ac:dyDescent="0.25">
      <c r="A25" s="17">
        <v>46192</v>
      </c>
      <c r="B25" s="18">
        <v>12</v>
      </c>
      <c r="C25" s="18">
        <v>0</v>
      </c>
      <c r="D25" s="2">
        <f t="shared" si="0"/>
        <v>12</v>
      </c>
      <c r="E25" s="18"/>
      <c r="F25" s="2"/>
      <c r="G25" s="2"/>
      <c r="H25" s="2"/>
      <c r="I25" s="2"/>
      <c r="J25" s="2"/>
      <c r="K25" s="19" t="s">
        <v>2994</v>
      </c>
      <c r="L25" s="66" t="s">
        <v>2993</v>
      </c>
    </row>
    <row r="26" spans="1:12" ht="45" x14ac:dyDescent="0.25">
      <c r="A26" s="17">
        <v>46192</v>
      </c>
      <c r="B26" s="18">
        <v>0</v>
      </c>
      <c r="C26" s="18">
        <v>23</v>
      </c>
      <c r="D26" s="2">
        <f t="shared" si="0"/>
        <v>-23</v>
      </c>
      <c r="E26" s="18"/>
      <c r="F26" s="2"/>
      <c r="G26" s="2"/>
      <c r="H26" s="2"/>
      <c r="I26" s="2"/>
      <c r="J26" s="2"/>
      <c r="K26" s="19" t="s">
        <v>2995</v>
      </c>
      <c r="L26" s="106" t="s">
        <v>2996</v>
      </c>
    </row>
    <row r="27" spans="1:12" x14ac:dyDescent="0.25">
      <c r="A27" s="17"/>
      <c r="B27" s="18"/>
      <c r="C27" s="18"/>
      <c r="D27" s="2">
        <f t="shared" si="0"/>
        <v>0</v>
      </c>
      <c r="E27" s="18"/>
      <c r="F27" s="2"/>
      <c r="G27" s="2"/>
      <c r="H27" s="2"/>
      <c r="I27" s="2"/>
      <c r="J27" s="2"/>
      <c r="K27" s="19"/>
    </row>
    <row r="28" spans="1:12" x14ac:dyDescent="0.25">
      <c r="A28" s="17"/>
      <c r="B28" s="18"/>
      <c r="C28" s="18"/>
      <c r="D28" s="2">
        <f t="shared" si="0"/>
        <v>0</v>
      </c>
      <c r="E28" s="18"/>
      <c r="F28" s="2"/>
      <c r="G28" s="2"/>
      <c r="H28" s="2"/>
      <c r="I28" s="2"/>
      <c r="J28" s="2"/>
      <c r="K28" s="19"/>
    </row>
    <row r="29" spans="1:12" x14ac:dyDescent="0.25">
      <c r="A29" s="17"/>
      <c r="B29" s="18"/>
      <c r="C29" s="18"/>
      <c r="D29" s="2">
        <f t="shared" si="0"/>
        <v>0</v>
      </c>
      <c r="E29" s="18"/>
      <c r="F29" s="2"/>
      <c r="G29" s="2"/>
      <c r="H29" s="2"/>
      <c r="I29" s="2"/>
      <c r="J29" s="2"/>
      <c r="K29" s="19"/>
    </row>
    <row r="30" spans="1:12" x14ac:dyDescent="0.25">
      <c r="A30" s="17"/>
      <c r="B30" s="18"/>
      <c r="C30" s="18"/>
      <c r="D30" s="2">
        <f t="shared" si="0"/>
        <v>0</v>
      </c>
      <c r="E30" s="18"/>
      <c r="F30" s="2"/>
      <c r="G30" s="2"/>
      <c r="H30" s="2"/>
      <c r="I30" s="2"/>
      <c r="J30" s="2"/>
      <c r="K30" s="19"/>
    </row>
    <row r="31" spans="1:12" x14ac:dyDescent="0.25">
      <c r="A31" s="17"/>
      <c r="B31" s="18"/>
      <c r="C31" s="18"/>
      <c r="D31" s="2">
        <f t="shared" si="0"/>
        <v>0</v>
      </c>
      <c r="E31" s="18"/>
      <c r="F31" s="2"/>
      <c r="G31" s="2"/>
      <c r="H31" s="2"/>
      <c r="I31" s="2"/>
      <c r="J31" s="2"/>
      <c r="K31" s="19"/>
    </row>
    <row r="32" spans="1:12" x14ac:dyDescent="0.25">
      <c r="A32" s="17"/>
      <c r="B32" s="18"/>
      <c r="C32" s="18"/>
      <c r="D32" s="2">
        <f t="shared" si="0"/>
        <v>0</v>
      </c>
      <c r="E32" s="18"/>
      <c r="F32" s="2"/>
      <c r="G32" s="2"/>
      <c r="H32" s="2"/>
      <c r="I32" s="2"/>
      <c r="J32" s="2"/>
      <c r="K32" s="19"/>
    </row>
    <row r="33" spans="1:11" x14ac:dyDescent="0.25">
      <c r="A33" s="17"/>
      <c r="B33" s="18"/>
      <c r="C33" s="18"/>
      <c r="D33" s="2">
        <f t="shared" si="0"/>
        <v>0</v>
      </c>
      <c r="E33" s="18"/>
      <c r="F33" s="2"/>
      <c r="G33" s="2"/>
      <c r="H33" s="2"/>
      <c r="I33" s="2"/>
      <c r="J33" s="2"/>
      <c r="K33" s="19"/>
    </row>
    <row r="34" spans="1:11" x14ac:dyDescent="0.25">
      <c r="A34" s="17"/>
      <c r="B34" s="18"/>
      <c r="C34" s="18"/>
      <c r="D34" s="2">
        <f t="shared" si="0"/>
        <v>0</v>
      </c>
      <c r="E34" s="18"/>
      <c r="F34" s="2"/>
      <c r="G34" s="2"/>
      <c r="H34" s="2"/>
      <c r="I34" s="2"/>
      <c r="J34" s="2"/>
      <c r="K34" s="19"/>
    </row>
    <row r="35" spans="1:11" x14ac:dyDescent="0.25">
      <c r="A35" s="17"/>
      <c r="B35" s="18"/>
      <c r="C35" s="18"/>
      <c r="D35" s="2">
        <f t="shared" si="0"/>
        <v>0</v>
      </c>
      <c r="E35" s="18"/>
      <c r="F35" s="2"/>
      <c r="G35" s="2"/>
      <c r="H35" s="2"/>
      <c r="I35" s="2"/>
      <c r="J35" s="2"/>
      <c r="K35" s="19"/>
    </row>
    <row r="36" spans="1:11" x14ac:dyDescent="0.25">
      <c r="A36" s="17"/>
      <c r="B36" s="18"/>
      <c r="C36" s="18"/>
      <c r="D36" s="2">
        <f t="shared" si="0"/>
        <v>0</v>
      </c>
      <c r="E36" s="18"/>
      <c r="F36" s="2"/>
      <c r="G36" s="2"/>
      <c r="H36" s="2"/>
      <c r="I36" s="2"/>
      <c r="J36" s="2"/>
      <c r="K36" s="19"/>
    </row>
    <row r="37" spans="1:11" x14ac:dyDescent="0.25">
      <c r="A37" s="17"/>
      <c r="B37" s="18"/>
      <c r="C37" s="18"/>
      <c r="D37" s="2">
        <f t="shared" si="0"/>
        <v>0</v>
      </c>
      <c r="E37" s="18"/>
      <c r="F37" s="2"/>
      <c r="G37" s="2"/>
      <c r="H37" s="2"/>
      <c r="I37" s="2"/>
      <c r="J37" s="2"/>
      <c r="K37" s="19"/>
    </row>
    <row r="38" spans="1:11" x14ac:dyDescent="0.25">
      <c r="A38" s="17"/>
      <c r="B38" s="18"/>
      <c r="C38" s="18"/>
      <c r="D38" s="2">
        <f t="shared" si="0"/>
        <v>0</v>
      </c>
      <c r="E38" s="18"/>
      <c r="F38" s="2"/>
      <c r="G38" s="2"/>
      <c r="H38" s="2"/>
      <c r="I38" s="2"/>
      <c r="J38" s="2"/>
      <c r="K38" s="19"/>
    </row>
    <row r="39" spans="1:11" x14ac:dyDescent="0.25">
      <c r="A39" s="17"/>
      <c r="B39" s="18"/>
      <c r="C39" s="18"/>
      <c r="D39" s="2">
        <f t="shared" si="0"/>
        <v>0</v>
      </c>
      <c r="E39" s="18"/>
      <c r="F39" s="2"/>
      <c r="G39" s="2"/>
      <c r="H39" s="2"/>
      <c r="I39" s="2"/>
      <c r="J39" s="2"/>
      <c r="K39" s="19"/>
    </row>
    <row r="40" spans="1:11" x14ac:dyDescent="0.25">
      <c r="A40" s="17"/>
      <c r="B40" s="18"/>
      <c r="C40" s="18"/>
      <c r="D40" s="2">
        <f t="shared" si="0"/>
        <v>0</v>
      </c>
      <c r="E40" s="18"/>
      <c r="F40" s="2"/>
      <c r="G40" s="2"/>
      <c r="H40" s="2"/>
      <c r="I40" s="2"/>
      <c r="J40" s="2"/>
      <c r="K40" s="19"/>
    </row>
    <row r="41" spans="1:11" x14ac:dyDescent="0.25">
      <c r="A41" s="17"/>
      <c r="B41" s="18"/>
      <c r="C41" s="18"/>
      <c r="D41" s="2">
        <f t="shared" si="0"/>
        <v>0</v>
      </c>
      <c r="E41" s="18"/>
      <c r="F41" s="2"/>
      <c r="G41" s="2"/>
      <c r="H41" s="2"/>
      <c r="I41" s="2"/>
      <c r="J41" s="2"/>
      <c r="K41" s="19"/>
    </row>
    <row r="42" spans="1:11" x14ac:dyDescent="0.25">
      <c r="A42" s="17"/>
      <c r="B42" s="18"/>
      <c r="C42" s="18"/>
      <c r="D42" s="2">
        <f t="shared" si="0"/>
        <v>0</v>
      </c>
      <c r="E42" s="18"/>
      <c r="F42" s="2"/>
      <c r="G42" s="2"/>
      <c r="H42" s="2"/>
      <c r="I42" s="2"/>
      <c r="J42" s="2"/>
      <c r="K42" s="19"/>
    </row>
    <row r="43" spans="1:11" x14ac:dyDescent="0.25">
      <c r="A43" s="17"/>
      <c r="B43" s="18"/>
      <c r="C43" s="18"/>
      <c r="D43" s="2">
        <f t="shared" si="0"/>
        <v>0</v>
      </c>
      <c r="E43" s="18"/>
      <c r="F43" s="2"/>
      <c r="G43" s="2"/>
      <c r="H43" s="2"/>
      <c r="I43" s="2"/>
      <c r="J43" s="2"/>
      <c r="K43" s="19"/>
    </row>
    <row r="44" spans="1:11" x14ac:dyDescent="0.25">
      <c r="A44" s="17"/>
      <c r="B44" s="18"/>
      <c r="C44" s="18"/>
      <c r="D44" s="2">
        <f t="shared" si="0"/>
        <v>0</v>
      </c>
      <c r="E44" s="18"/>
      <c r="F44" s="2"/>
      <c r="G44" s="2"/>
      <c r="H44" s="2"/>
      <c r="I44" s="2"/>
      <c r="J44" s="2"/>
      <c r="K44" s="19"/>
    </row>
  </sheetData>
  <conditionalFormatting sqref="K2">
    <cfRule type="cellIs" dxfId="5" priority="1" operator="lessThan">
      <formula>0</formula>
    </cfRule>
    <cfRule type="cellIs" dxfId="4"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1"/>
  <headerFooter>
    <oddFooter>&amp;C&amp;D / &amp;T&amp;RSeite &amp;P von &amp;N</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L44"/>
  <sheetViews>
    <sheetView workbookViewId="0">
      <pane ySplit="6" topLeftCell="A20" activePane="bottomLeft" state="frozen"/>
      <selection pane="bottomLeft" activeCell="L42" sqref="L42"/>
    </sheetView>
  </sheetViews>
  <sheetFormatPr baseColWidth="10" defaultColWidth="11.42578125" defaultRowHeight="15" x14ac:dyDescent="0.25"/>
  <cols>
    <col min="1" max="4" width="11.42578125" style="27"/>
    <col min="5" max="5" width="11.42578125" style="84"/>
    <col min="6" max="6" width="12.85546875" style="27" customWidth="1"/>
    <col min="7" max="7" width="11.42578125" style="27"/>
    <col min="8" max="8" width="13.42578125" style="27" customWidth="1"/>
    <col min="9" max="9" width="11.42578125" style="27"/>
    <col min="10" max="10" width="13.42578125" style="27" customWidth="1"/>
    <col min="11" max="11" width="71.28515625" style="85" customWidth="1"/>
    <col min="12" max="12" width="73.42578125" style="66" customWidth="1"/>
    <col min="13" max="16384" width="11.42578125" style="27"/>
  </cols>
  <sheetData>
    <row r="1" spans="1:12" ht="26.25" x14ac:dyDescent="0.4">
      <c r="A1" s="1" t="s">
        <v>585</v>
      </c>
      <c r="B1" s="28"/>
      <c r="C1" s="28"/>
      <c r="D1" s="28"/>
      <c r="E1" s="2"/>
      <c r="F1" s="28"/>
      <c r="G1" s="28"/>
      <c r="H1" s="28"/>
      <c r="I1" s="28"/>
      <c r="J1" s="39" t="s">
        <v>37</v>
      </c>
      <c r="K1" s="110">
        <v>642</v>
      </c>
      <c r="L1" s="27"/>
    </row>
    <row r="2" spans="1:12" ht="19.5" thickBot="1" x14ac:dyDescent="0.35">
      <c r="A2" s="5"/>
      <c r="B2" s="2"/>
      <c r="C2" s="2"/>
      <c r="D2" s="2"/>
      <c r="E2" s="2"/>
      <c r="F2" s="6" t="s">
        <v>1</v>
      </c>
      <c r="G2" s="2"/>
      <c r="H2" s="2"/>
      <c r="I2" s="2"/>
      <c r="J2" s="41" t="s">
        <v>38</v>
      </c>
      <c r="K2" s="111">
        <f>K1-F6</f>
        <v>6</v>
      </c>
      <c r="L2" s="27"/>
    </row>
    <row r="3" spans="1:12" ht="15.75" thickBot="1" x14ac:dyDescent="0.3">
      <c r="A3" s="5"/>
      <c r="B3" s="2"/>
      <c r="C3" s="2"/>
      <c r="D3" s="2"/>
      <c r="E3" s="2"/>
      <c r="F3" s="2">
        <f>'06.26'!F6</f>
        <v>636</v>
      </c>
      <c r="G3" s="2"/>
      <c r="H3" s="2"/>
      <c r="I3" s="2"/>
      <c r="J3" s="2"/>
      <c r="K3" s="59"/>
      <c r="L3" s="27"/>
    </row>
    <row r="4" spans="1:12" ht="30" x14ac:dyDescent="0.25">
      <c r="A4" s="5" t="s">
        <v>2</v>
      </c>
      <c r="B4" s="7" t="s">
        <v>3</v>
      </c>
      <c r="C4" s="7" t="s">
        <v>4</v>
      </c>
      <c r="D4" s="7" t="s">
        <v>5</v>
      </c>
      <c r="E4" s="7" t="s">
        <v>91</v>
      </c>
      <c r="F4" s="8" t="s">
        <v>6</v>
      </c>
      <c r="G4" s="7" t="s">
        <v>7</v>
      </c>
      <c r="H4" s="7" t="s">
        <v>8</v>
      </c>
      <c r="I4" s="2"/>
      <c r="J4" s="9" t="s">
        <v>9</v>
      </c>
      <c r="K4" s="59" t="s">
        <v>10</v>
      </c>
      <c r="L4" s="27"/>
    </row>
    <row r="5" spans="1:12" x14ac:dyDescent="0.25">
      <c r="A5" s="5"/>
      <c r="B5" s="2"/>
      <c r="C5" s="2"/>
      <c r="D5" s="2"/>
      <c r="E5" s="2"/>
      <c r="F5" s="10"/>
      <c r="G5" s="2"/>
      <c r="H5" s="2"/>
      <c r="I5" s="2"/>
      <c r="J5" s="11"/>
      <c r="K5" s="59"/>
      <c r="L5" s="105" t="s">
        <v>18</v>
      </c>
    </row>
    <row r="6" spans="1:12" s="35" customFormat="1" ht="15.75" thickBot="1" x14ac:dyDescent="0.3">
      <c r="A6" s="29"/>
      <c r="B6" s="30"/>
      <c r="C6" s="30"/>
      <c r="D6" s="30"/>
      <c r="E6" s="30"/>
      <c r="F6" s="32">
        <f>SUM(D:D)+F3</f>
        <v>636</v>
      </c>
      <c r="G6" s="30">
        <f>SUM(B:B)</f>
        <v>0</v>
      </c>
      <c r="H6" s="30">
        <f>SUM(C:C)</f>
        <v>0</v>
      </c>
      <c r="I6" s="30"/>
      <c r="J6" s="33">
        <f>SUM(G6:H6)+SUM(E:E)</f>
        <v>0</v>
      </c>
      <c r="K6" s="112"/>
      <c r="L6" s="50">
        <f>J6/K1</f>
        <v>0</v>
      </c>
    </row>
    <row r="7" spans="1:12" x14ac:dyDescent="0.25">
      <c r="A7" s="17"/>
      <c r="B7" s="18"/>
      <c r="C7" s="18"/>
      <c r="D7" s="2">
        <f t="shared" ref="D7:D44" si="0">B7-C7</f>
        <v>0</v>
      </c>
      <c r="E7" s="18"/>
      <c r="F7" s="2"/>
      <c r="G7" s="2"/>
      <c r="H7" s="2"/>
      <c r="I7" s="2"/>
      <c r="J7" s="2"/>
      <c r="K7" s="19"/>
      <c r="L7" s="106"/>
    </row>
    <row r="8" spans="1:12" x14ac:dyDescent="0.25">
      <c r="A8" s="17"/>
      <c r="B8" s="18"/>
      <c r="C8" s="18"/>
      <c r="D8" s="2">
        <f t="shared" si="0"/>
        <v>0</v>
      </c>
      <c r="E8" s="18"/>
      <c r="F8" s="2"/>
      <c r="G8" s="2"/>
      <c r="H8" s="2"/>
      <c r="I8" s="2"/>
      <c r="J8" s="2"/>
      <c r="K8" s="19"/>
      <c r="L8" s="106"/>
    </row>
    <row r="9" spans="1:12" x14ac:dyDescent="0.25">
      <c r="A9" s="17"/>
      <c r="B9" s="18"/>
      <c r="C9" s="18"/>
      <c r="D9" s="2">
        <f t="shared" si="0"/>
        <v>0</v>
      </c>
      <c r="E9" s="18"/>
      <c r="F9" s="2"/>
      <c r="G9" s="2"/>
      <c r="H9" s="2"/>
      <c r="I9" s="2"/>
      <c r="J9" s="2"/>
      <c r="K9" s="19"/>
      <c r="L9" s="106"/>
    </row>
    <row r="10" spans="1:12" x14ac:dyDescent="0.25">
      <c r="A10" s="17"/>
      <c r="B10" s="18"/>
      <c r="C10" s="18"/>
      <c r="D10" s="2">
        <f t="shared" si="0"/>
        <v>0</v>
      </c>
      <c r="E10" s="18"/>
      <c r="F10" s="2"/>
      <c r="G10" s="2"/>
      <c r="H10" s="2"/>
      <c r="I10" s="2"/>
      <c r="J10" s="2"/>
      <c r="K10" s="19"/>
      <c r="L10" s="106"/>
    </row>
    <row r="11" spans="1:12" x14ac:dyDescent="0.25">
      <c r="A11" s="17"/>
      <c r="B11" s="18"/>
      <c r="C11" s="18"/>
      <c r="D11" s="2">
        <f t="shared" si="0"/>
        <v>0</v>
      </c>
      <c r="E11" s="18"/>
      <c r="F11" s="2"/>
      <c r="G11" s="2"/>
      <c r="H11" s="2"/>
      <c r="I11" s="2"/>
      <c r="J11" s="2"/>
      <c r="K11" s="19"/>
      <c r="L11" s="106"/>
    </row>
    <row r="12" spans="1:12" x14ac:dyDescent="0.25">
      <c r="A12" s="17"/>
      <c r="B12" s="18"/>
      <c r="C12" s="18"/>
      <c r="D12" s="2">
        <f t="shared" si="0"/>
        <v>0</v>
      </c>
      <c r="E12" s="18"/>
      <c r="F12" s="2"/>
      <c r="G12" s="2"/>
      <c r="H12" s="2"/>
      <c r="I12" s="2"/>
      <c r="J12" s="2"/>
      <c r="K12" s="19"/>
      <c r="L12" s="106"/>
    </row>
    <row r="13" spans="1:12" x14ac:dyDescent="0.25">
      <c r="A13" s="17"/>
      <c r="B13" s="18"/>
      <c r="C13" s="18"/>
      <c r="D13" s="2">
        <f t="shared" si="0"/>
        <v>0</v>
      </c>
      <c r="E13" s="18"/>
      <c r="F13" s="2"/>
      <c r="G13" s="2"/>
      <c r="H13" s="2"/>
      <c r="I13" s="2"/>
      <c r="J13" s="2"/>
      <c r="K13" s="19"/>
      <c r="L13" s="106"/>
    </row>
    <row r="14" spans="1:12" x14ac:dyDescent="0.25">
      <c r="A14" s="17"/>
      <c r="B14" s="18"/>
      <c r="C14" s="18"/>
      <c r="D14" s="2">
        <f t="shared" si="0"/>
        <v>0</v>
      </c>
      <c r="E14" s="18"/>
      <c r="F14" s="2"/>
      <c r="G14" s="2"/>
      <c r="H14" s="2"/>
      <c r="I14" s="2"/>
      <c r="J14" s="2"/>
      <c r="K14" s="19"/>
      <c r="L14" s="106"/>
    </row>
    <row r="15" spans="1:12" x14ac:dyDescent="0.25">
      <c r="A15" s="17"/>
      <c r="B15" s="18"/>
      <c r="C15" s="18"/>
      <c r="D15" s="2">
        <f t="shared" si="0"/>
        <v>0</v>
      </c>
      <c r="E15" s="18"/>
      <c r="F15" s="2"/>
      <c r="G15" s="2"/>
      <c r="H15" s="2"/>
      <c r="I15" s="2"/>
      <c r="J15" s="2"/>
      <c r="K15" s="19"/>
      <c r="L15" s="106"/>
    </row>
    <row r="16" spans="1:12" x14ac:dyDescent="0.25">
      <c r="A16" s="17"/>
      <c r="B16" s="18"/>
      <c r="C16" s="18"/>
      <c r="D16" s="2">
        <f t="shared" si="0"/>
        <v>0</v>
      </c>
      <c r="E16" s="18"/>
      <c r="F16" s="2"/>
      <c r="G16" s="2"/>
      <c r="H16" s="2"/>
      <c r="I16" s="2"/>
      <c r="J16" s="2"/>
      <c r="K16" s="19"/>
      <c r="L16" s="106"/>
    </row>
    <row r="17" spans="1:12" x14ac:dyDescent="0.25">
      <c r="A17" s="17"/>
      <c r="B17" s="18"/>
      <c r="C17" s="18"/>
      <c r="D17" s="2">
        <f t="shared" si="0"/>
        <v>0</v>
      </c>
      <c r="E17" s="18"/>
      <c r="F17" s="2"/>
      <c r="G17" s="2"/>
      <c r="H17" s="2"/>
      <c r="I17" s="2"/>
      <c r="J17" s="2"/>
      <c r="K17" s="19"/>
      <c r="L17" s="106"/>
    </row>
    <row r="18" spans="1:12" x14ac:dyDescent="0.25">
      <c r="A18" s="17"/>
      <c r="B18" s="18"/>
      <c r="C18" s="18"/>
      <c r="D18" s="2">
        <f t="shared" si="0"/>
        <v>0</v>
      </c>
      <c r="E18" s="18"/>
      <c r="F18" s="2"/>
      <c r="G18" s="2"/>
      <c r="H18" s="2"/>
      <c r="I18" s="2"/>
      <c r="J18" s="2"/>
      <c r="K18" s="19"/>
      <c r="L18" s="106"/>
    </row>
    <row r="19" spans="1:12" x14ac:dyDescent="0.25">
      <c r="A19" s="17"/>
      <c r="B19" s="18"/>
      <c r="C19" s="18"/>
      <c r="D19" s="2">
        <f t="shared" si="0"/>
        <v>0</v>
      </c>
      <c r="E19" s="18"/>
      <c r="F19" s="2"/>
      <c r="G19" s="2"/>
      <c r="H19" s="2"/>
      <c r="I19" s="2"/>
      <c r="J19" s="2"/>
      <c r="K19" s="19"/>
      <c r="L19" s="106"/>
    </row>
    <row r="20" spans="1:12" x14ac:dyDescent="0.25">
      <c r="A20" s="17"/>
      <c r="B20" s="18"/>
      <c r="C20" s="18"/>
      <c r="D20" s="2">
        <f t="shared" si="0"/>
        <v>0</v>
      </c>
      <c r="E20" s="18"/>
      <c r="F20" s="2"/>
      <c r="G20" s="2"/>
      <c r="H20" s="2"/>
      <c r="I20" s="2"/>
      <c r="J20" s="2"/>
      <c r="K20" s="19"/>
      <c r="L20" s="106"/>
    </row>
    <row r="21" spans="1:12" x14ac:dyDescent="0.25">
      <c r="A21" s="21"/>
      <c r="B21" s="22"/>
      <c r="C21" s="22"/>
      <c r="D21" s="2">
        <f t="shared" si="0"/>
        <v>0</v>
      </c>
      <c r="E21" s="22"/>
      <c r="F21" s="23"/>
      <c r="G21" s="23"/>
      <c r="H21" s="23"/>
      <c r="I21" s="23"/>
      <c r="J21" s="23"/>
      <c r="K21" s="19"/>
      <c r="L21" s="106"/>
    </row>
    <row r="22" spans="1:12" x14ac:dyDescent="0.25">
      <c r="A22" s="17"/>
      <c r="B22" s="18"/>
      <c r="C22" s="18"/>
      <c r="D22" s="2">
        <f t="shared" si="0"/>
        <v>0</v>
      </c>
      <c r="E22" s="18"/>
      <c r="F22" s="2"/>
      <c r="G22" s="2"/>
      <c r="H22" s="2"/>
      <c r="I22" s="2"/>
      <c r="J22" s="2"/>
      <c r="K22" s="19"/>
      <c r="L22" s="106"/>
    </row>
    <row r="23" spans="1:12" x14ac:dyDescent="0.25">
      <c r="A23" s="17"/>
      <c r="B23" s="18"/>
      <c r="C23" s="18"/>
      <c r="D23" s="2">
        <f t="shared" si="0"/>
        <v>0</v>
      </c>
      <c r="E23" s="18"/>
      <c r="F23" s="2"/>
      <c r="G23" s="2"/>
      <c r="H23" s="2"/>
      <c r="I23" s="2"/>
      <c r="J23" s="2"/>
      <c r="K23" s="19"/>
      <c r="L23" s="106"/>
    </row>
    <row r="24" spans="1:12" x14ac:dyDescent="0.25">
      <c r="A24" s="17"/>
      <c r="B24" s="18"/>
      <c r="C24" s="18"/>
      <c r="D24" s="2">
        <f t="shared" si="0"/>
        <v>0</v>
      </c>
      <c r="E24" s="18"/>
      <c r="F24" s="2"/>
      <c r="G24" s="2"/>
      <c r="H24" s="2"/>
      <c r="I24" s="2"/>
      <c r="J24" s="2"/>
      <c r="K24" s="19"/>
      <c r="L24" s="106"/>
    </row>
    <row r="25" spans="1:12" x14ac:dyDescent="0.25">
      <c r="A25" s="17"/>
      <c r="B25" s="18"/>
      <c r="C25" s="18"/>
      <c r="D25" s="2">
        <f t="shared" si="0"/>
        <v>0</v>
      </c>
      <c r="E25" s="18"/>
      <c r="F25" s="2"/>
      <c r="G25" s="2"/>
      <c r="H25" s="2"/>
      <c r="I25" s="2"/>
      <c r="J25" s="2"/>
      <c r="K25" s="19"/>
      <c r="L25" s="106"/>
    </row>
    <row r="26" spans="1:12" x14ac:dyDescent="0.25">
      <c r="A26" s="17"/>
      <c r="B26" s="18"/>
      <c r="C26" s="18"/>
      <c r="D26" s="2">
        <f t="shared" si="0"/>
        <v>0</v>
      </c>
      <c r="E26" s="18"/>
      <c r="F26" s="2"/>
      <c r="G26" s="2"/>
      <c r="H26" s="2"/>
      <c r="I26" s="2"/>
      <c r="J26" s="2"/>
      <c r="K26" s="19"/>
      <c r="L26" s="106"/>
    </row>
    <row r="27" spans="1:12" x14ac:dyDescent="0.25">
      <c r="A27" s="17"/>
      <c r="B27" s="18"/>
      <c r="C27" s="18"/>
      <c r="D27" s="2">
        <f t="shared" si="0"/>
        <v>0</v>
      </c>
      <c r="E27" s="18"/>
      <c r="F27" s="2"/>
      <c r="G27" s="2"/>
      <c r="H27" s="2"/>
      <c r="I27" s="2"/>
      <c r="J27" s="2"/>
      <c r="K27" s="19"/>
      <c r="L27" s="106"/>
    </row>
    <row r="28" spans="1:12" x14ac:dyDescent="0.25">
      <c r="A28" s="17"/>
      <c r="B28" s="18"/>
      <c r="C28" s="18"/>
      <c r="D28" s="2">
        <f t="shared" si="0"/>
        <v>0</v>
      </c>
      <c r="E28" s="18"/>
      <c r="F28" s="2"/>
      <c r="G28" s="2"/>
      <c r="H28" s="2"/>
      <c r="I28" s="2"/>
      <c r="J28" s="2"/>
      <c r="K28" s="19"/>
      <c r="L28" s="106"/>
    </row>
    <row r="29" spans="1:12" x14ac:dyDescent="0.25">
      <c r="A29" s="17"/>
      <c r="B29" s="18"/>
      <c r="C29" s="18"/>
      <c r="D29" s="2">
        <f t="shared" si="0"/>
        <v>0</v>
      </c>
      <c r="E29" s="18"/>
      <c r="F29" s="2"/>
      <c r="G29" s="2"/>
      <c r="H29" s="2"/>
      <c r="I29" s="2"/>
      <c r="J29" s="2"/>
      <c r="K29" s="19"/>
      <c r="L29" s="106"/>
    </row>
    <row r="30" spans="1:12" x14ac:dyDescent="0.25">
      <c r="A30" s="17"/>
      <c r="B30" s="18"/>
      <c r="C30" s="18"/>
      <c r="D30" s="2">
        <f t="shared" si="0"/>
        <v>0</v>
      </c>
      <c r="E30" s="18"/>
      <c r="F30" s="2"/>
      <c r="G30" s="2"/>
      <c r="H30" s="2"/>
      <c r="I30" s="2"/>
      <c r="J30" s="2"/>
      <c r="K30" s="19"/>
      <c r="L30" s="106"/>
    </row>
    <row r="31" spans="1:12" x14ac:dyDescent="0.25">
      <c r="A31" s="17"/>
      <c r="B31" s="18"/>
      <c r="C31" s="18"/>
      <c r="D31" s="2">
        <f t="shared" si="0"/>
        <v>0</v>
      </c>
      <c r="E31" s="18"/>
      <c r="F31" s="2"/>
      <c r="G31" s="2"/>
      <c r="H31" s="2"/>
      <c r="I31" s="2"/>
      <c r="J31" s="2"/>
      <c r="K31" s="19"/>
      <c r="L31" s="106"/>
    </row>
    <row r="32" spans="1:12" x14ac:dyDescent="0.25">
      <c r="A32" s="17"/>
      <c r="B32" s="18"/>
      <c r="C32" s="18"/>
      <c r="D32" s="2">
        <f t="shared" si="0"/>
        <v>0</v>
      </c>
      <c r="E32" s="18"/>
      <c r="F32" s="2"/>
      <c r="G32" s="2"/>
      <c r="H32" s="2"/>
      <c r="I32" s="2"/>
      <c r="J32" s="2"/>
      <c r="K32" s="19"/>
      <c r="L32" s="106"/>
    </row>
    <row r="33" spans="1:12" x14ac:dyDescent="0.25">
      <c r="A33" s="17"/>
      <c r="B33" s="18"/>
      <c r="C33" s="18"/>
      <c r="D33" s="2">
        <f t="shared" si="0"/>
        <v>0</v>
      </c>
      <c r="E33" s="18"/>
      <c r="F33" s="2"/>
      <c r="G33" s="2"/>
      <c r="H33" s="2"/>
      <c r="I33" s="2"/>
      <c r="J33" s="2"/>
      <c r="K33" s="19"/>
      <c r="L33" s="106"/>
    </row>
    <row r="34" spans="1:12" x14ac:dyDescent="0.25">
      <c r="A34" s="17"/>
      <c r="B34" s="18"/>
      <c r="C34" s="18"/>
      <c r="D34" s="2">
        <f t="shared" si="0"/>
        <v>0</v>
      </c>
      <c r="E34" s="18"/>
      <c r="F34" s="2"/>
      <c r="G34" s="2"/>
      <c r="H34" s="2"/>
      <c r="I34" s="2"/>
      <c r="J34" s="2"/>
      <c r="K34" s="19"/>
      <c r="L34" s="106"/>
    </row>
    <row r="35" spans="1:12" x14ac:dyDescent="0.25">
      <c r="A35" s="17"/>
      <c r="B35" s="18"/>
      <c r="C35" s="18"/>
      <c r="D35" s="2">
        <f t="shared" si="0"/>
        <v>0</v>
      </c>
      <c r="E35" s="18"/>
      <c r="F35" s="2"/>
      <c r="G35" s="2"/>
      <c r="H35" s="2"/>
      <c r="I35" s="2"/>
      <c r="J35" s="2"/>
      <c r="K35" s="19"/>
      <c r="L35" s="106"/>
    </row>
    <row r="36" spans="1:12" x14ac:dyDescent="0.25">
      <c r="A36" s="17"/>
      <c r="B36" s="18"/>
      <c r="C36" s="18"/>
      <c r="D36" s="2">
        <f t="shared" si="0"/>
        <v>0</v>
      </c>
      <c r="E36" s="18"/>
      <c r="F36" s="2"/>
      <c r="G36" s="2"/>
      <c r="H36" s="2"/>
      <c r="I36" s="2"/>
      <c r="J36" s="2"/>
      <c r="K36" s="19"/>
      <c r="L36" s="106"/>
    </row>
    <row r="37" spans="1:12" x14ac:dyDescent="0.25">
      <c r="A37" s="17"/>
      <c r="B37" s="18"/>
      <c r="C37" s="18"/>
      <c r="D37" s="2">
        <f t="shared" si="0"/>
        <v>0</v>
      </c>
      <c r="E37" s="18"/>
      <c r="F37" s="2"/>
      <c r="G37" s="2"/>
      <c r="H37" s="2"/>
      <c r="I37" s="2"/>
      <c r="J37" s="2"/>
      <c r="K37" s="19"/>
      <c r="L37" s="106"/>
    </row>
    <row r="38" spans="1:12" x14ac:dyDescent="0.25">
      <c r="A38" s="17"/>
      <c r="B38" s="18"/>
      <c r="C38" s="18"/>
      <c r="D38" s="2">
        <f t="shared" si="0"/>
        <v>0</v>
      </c>
      <c r="E38" s="18"/>
      <c r="F38" s="2"/>
      <c r="G38" s="2"/>
      <c r="H38" s="2"/>
      <c r="I38" s="2"/>
      <c r="J38" s="2"/>
      <c r="K38" s="19"/>
      <c r="L38" s="106"/>
    </row>
    <row r="39" spans="1:12" x14ac:dyDescent="0.25">
      <c r="A39" s="17"/>
      <c r="B39" s="18"/>
      <c r="C39" s="18"/>
      <c r="D39" s="2">
        <f t="shared" si="0"/>
        <v>0</v>
      </c>
      <c r="E39" s="18"/>
      <c r="F39" s="2"/>
      <c r="G39" s="2"/>
      <c r="H39" s="2"/>
      <c r="I39" s="2"/>
      <c r="J39" s="2"/>
      <c r="K39" s="19"/>
      <c r="L39" s="106"/>
    </row>
    <row r="40" spans="1:12" x14ac:dyDescent="0.25">
      <c r="A40" s="17"/>
      <c r="B40" s="18"/>
      <c r="C40" s="18"/>
      <c r="D40" s="2">
        <f t="shared" si="0"/>
        <v>0</v>
      </c>
      <c r="E40" s="18"/>
      <c r="F40" s="2"/>
      <c r="G40" s="2"/>
      <c r="H40" s="2"/>
      <c r="I40" s="2"/>
      <c r="J40" s="2"/>
      <c r="K40" s="19"/>
      <c r="L40" s="106"/>
    </row>
    <row r="41" spans="1:12" x14ac:dyDescent="0.25">
      <c r="A41" s="17"/>
      <c r="B41" s="18"/>
      <c r="C41" s="18"/>
      <c r="D41" s="2">
        <f t="shared" si="0"/>
        <v>0</v>
      </c>
      <c r="E41" s="18"/>
      <c r="F41" s="2"/>
      <c r="G41" s="2"/>
      <c r="H41" s="2"/>
      <c r="I41" s="2"/>
      <c r="J41" s="2"/>
      <c r="K41" s="19"/>
      <c r="L41" s="106"/>
    </row>
    <row r="42" spans="1:12" x14ac:dyDescent="0.25">
      <c r="A42" s="17"/>
      <c r="B42" s="18"/>
      <c r="C42" s="18"/>
      <c r="D42" s="2">
        <f t="shared" si="0"/>
        <v>0</v>
      </c>
      <c r="E42" s="18"/>
      <c r="F42" s="2"/>
      <c r="G42" s="2"/>
      <c r="H42" s="2"/>
      <c r="I42" s="2"/>
      <c r="J42" s="2"/>
      <c r="K42" s="19"/>
      <c r="L42" s="106"/>
    </row>
    <row r="43" spans="1:12" x14ac:dyDescent="0.25">
      <c r="A43" s="17"/>
      <c r="B43" s="18"/>
      <c r="C43" s="18"/>
      <c r="D43" s="2">
        <f t="shared" si="0"/>
        <v>0</v>
      </c>
      <c r="E43" s="18"/>
      <c r="F43" s="2"/>
      <c r="G43" s="2"/>
      <c r="H43" s="2"/>
      <c r="I43" s="2"/>
      <c r="J43" s="2"/>
      <c r="K43" s="19"/>
      <c r="L43" s="106"/>
    </row>
    <row r="44" spans="1:12" x14ac:dyDescent="0.25">
      <c r="A44" s="17"/>
      <c r="B44" s="18"/>
      <c r="C44" s="18"/>
      <c r="D44" s="2">
        <f t="shared" si="0"/>
        <v>0</v>
      </c>
      <c r="E44" s="18"/>
      <c r="F44" s="2"/>
      <c r="G44" s="2"/>
      <c r="H44" s="2"/>
      <c r="I44" s="2"/>
      <c r="J44" s="2"/>
      <c r="K44" s="19"/>
      <c r="L44" s="106"/>
    </row>
  </sheetData>
  <customSheetViews>
    <customSheetView guid="{E5A7B818-645B-417C-A128-9FE559D9B124}" fitToPage="1">
      <pane ySplit="6" topLeftCell="A9" activePane="bottomLeft" state="frozen"/>
      <selection pane="bottomLeft" activeCell="K26" sqref="K26"/>
      <pageMargins left="0.70866141732283472" right="0.70866141732283472" top="0.78740157480314965" bottom="0.78740157480314965" header="0.31496062992125984" footer="0.31496062992125984"/>
      <printOptions horizontalCentered="1" verticalCentered="1"/>
      <pageSetup paperSize="9" scale="66" orientation="landscape" r:id="rId1"/>
      <headerFooter>
        <oddFooter>&amp;C&amp;D / &amp;T&amp;RSeite &amp;P von &amp;N</oddFooter>
      </headerFooter>
    </customSheetView>
  </customSheetViews>
  <conditionalFormatting sqref="K2">
    <cfRule type="cellIs" dxfId="3" priority="1" operator="lessThan">
      <formula>0</formula>
    </cfRule>
    <cfRule type="cellIs" dxfId="2" priority="2" operator="greaterThan">
      <formula>0</formula>
    </cfRule>
  </conditionalFormatting>
  <printOptions horizontalCentered="1" verticalCentered="1"/>
  <pageMargins left="0.70866141732283472" right="0.70866141732283472" top="0.78740157480314965" bottom="0.78740157480314965" header="0.31496062992125984" footer="0.31496062992125984"/>
  <pageSetup paperSize="9" scale="66" orientation="landscape" r:id="rId2"/>
  <headerFooter>
    <oddFooter>&amp;C&amp;D / &amp;T&amp;RSeite &amp;P von &amp;N</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Tabelle29"/>
  <dimension ref="A1:L145"/>
  <sheetViews>
    <sheetView tabSelected="1" workbookViewId="0">
      <pane ySplit="1" topLeftCell="A101" activePane="bottomLeft" state="frozen"/>
      <selection pane="bottomLeft" activeCell="F109" sqref="F109"/>
    </sheetView>
  </sheetViews>
  <sheetFormatPr baseColWidth="10" defaultColWidth="11.42578125" defaultRowHeight="15" x14ac:dyDescent="0.25"/>
  <cols>
    <col min="2" max="2" width="13.5703125" customWidth="1"/>
    <col min="3" max="3" width="12.7109375" style="58" customWidth="1"/>
    <col min="4" max="4" width="12.7109375" style="103" customWidth="1"/>
    <col min="5" max="5" width="13.5703125" customWidth="1"/>
    <col min="6" max="6" width="11.42578125" style="98"/>
    <col min="7" max="7" width="30" customWidth="1"/>
    <col min="8" max="8" width="13.85546875" customWidth="1"/>
    <col min="12" max="12" width="41.5703125" customWidth="1"/>
  </cols>
  <sheetData>
    <row r="1" spans="1:8" s="98" customFormat="1" ht="60" x14ac:dyDescent="0.25">
      <c r="A1" s="98" t="s">
        <v>1444</v>
      </c>
      <c r="B1" s="99" t="s">
        <v>1445</v>
      </c>
      <c r="C1" s="100" t="s">
        <v>1464</v>
      </c>
      <c r="D1" s="100" t="s">
        <v>1463</v>
      </c>
      <c r="E1" s="104" t="s">
        <v>1465</v>
      </c>
      <c r="F1" s="99" t="s">
        <v>1334</v>
      </c>
      <c r="G1" s="98" t="s">
        <v>482</v>
      </c>
      <c r="H1" s="101">
        <f>SUM(B:B)/COUNT(B:B)</f>
        <v>0.52204378037659871</v>
      </c>
    </row>
    <row r="2" spans="1:8" x14ac:dyDescent="0.25">
      <c r="A2" s="51">
        <v>42736</v>
      </c>
      <c r="B2" s="52">
        <f>'01.17'!L6</f>
        <v>0.30909090909090908</v>
      </c>
      <c r="C2" s="58">
        <f>'01.17'!J6</f>
        <v>51</v>
      </c>
      <c r="E2" s="93">
        <f>C2*6</f>
        <v>306</v>
      </c>
    </row>
    <row r="3" spans="1:8" x14ac:dyDescent="0.25">
      <c r="A3" s="51">
        <v>42767</v>
      </c>
      <c r="B3" s="52">
        <f>'02.17'!L6</f>
        <v>0.53266331658291455</v>
      </c>
      <c r="C3" s="58">
        <f>'02.17'!J6</f>
        <v>106</v>
      </c>
      <c r="E3" s="93">
        <f t="shared" ref="E3:E66" si="0">C3*6</f>
        <v>636</v>
      </c>
    </row>
    <row r="4" spans="1:8" x14ac:dyDescent="0.25">
      <c r="A4" s="51">
        <v>42795</v>
      </c>
      <c r="B4" s="52">
        <f>'03.17'!L6</f>
        <v>0.35714285714285715</v>
      </c>
      <c r="C4" s="58">
        <f>'03.17'!J6</f>
        <v>90</v>
      </c>
      <c r="E4" s="93">
        <f t="shared" si="0"/>
        <v>540</v>
      </c>
      <c r="F4" s="101"/>
    </row>
    <row r="5" spans="1:8" x14ac:dyDescent="0.25">
      <c r="A5" s="51">
        <v>42826</v>
      </c>
      <c r="B5" s="52">
        <f>'04.17'!L6</f>
        <v>0.30158730158730157</v>
      </c>
      <c r="C5" s="58">
        <f>'04.17'!J6</f>
        <v>76</v>
      </c>
      <c r="E5" s="93">
        <f t="shared" si="0"/>
        <v>456</v>
      </c>
    </row>
    <row r="6" spans="1:8" x14ac:dyDescent="0.25">
      <c r="A6" s="51">
        <v>42856</v>
      </c>
      <c r="B6" s="52">
        <f>'05.17'!L6</f>
        <v>0.58730158730158732</v>
      </c>
      <c r="C6" s="58">
        <f>'05.17'!J6</f>
        <v>148</v>
      </c>
      <c r="E6" s="93">
        <f t="shared" si="0"/>
        <v>888</v>
      </c>
    </row>
    <row r="7" spans="1:8" x14ac:dyDescent="0.25">
      <c r="A7" s="51">
        <v>42887</v>
      </c>
      <c r="B7" s="52">
        <f>'06.17'!L6</f>
        <v>0.43650793650793651</v>
      </c>
      <c r="C7" s="58">
        <f>'06.17'!J6</f>
        <v>110</v>
      </c>
      <c r="E7" s="93">
        <f t="shared" si="0"/>
        <v>660</v>
      </c>
    </row>
    <row r="8" spans="1:8" x14ac:dyDescent="0.25">
      <c r="A8" s="51">
        <v>42917</v>
      </c>
      <c r="B8" s="52">
        <f>'07.17'!L6</f>
        <v>7.9365079365079361E-3</v>
      </c>
      <c r="C8" s="58">
        <f>'07.17'!J6</f>
        <v>2</v>
      </c>
      <c r="E8" s="93">
        <f t="shared" si="0"/>
        <v>12</v>
      </c>
    </row>
    <row r="9" spans="1:8" x14ac:dyDescent="0.25">
      <c r="A9" s="51">
        <v>42948</v>
      </c>
      <c r="B9" s="52">
        <f>'08.17'!L6</f>
        <v>0.33333333333333331</v>
      </c>
      <c r="C9" s="58">
        <f>'08.17'!J6</f>
        <v>84</v>
      </c>
      <c r="E9" s="93">
        <f t="shared" si="0"/>
        <v>504</v>
      </c>
    </row>
    <row r="10" spans="1:8" x14ac:dyDescent="0.25">
      <c r="A10" s="51">
        <v>42979</v>
      </c>
      <c r="B10" s="52">
        <f>'09.17'!L6</f>
        <v>0.47348484848484851</v>
      </c>
      <c r="C10" s="58">
        <f>'09.17'!J6</f>
        <v>125</v>
      </c>
      <c r="E10" s="93">
        <f t="shared" si="0"/>
        <v>750</v>
      </c>
    </row>
    <row r="11" spans="1:8" x14ac:dyDescent="0.25">
      <c r="A11" s="51">
        <v>43009</v>
      </c>
      <c r="B11" s="52">
        <f>'10.17'!L6</f>
        <v>0.25724637681159418</v>
      </c>
      <c r="C11" s="58">
        <f>'10.17'!J6</f>
        <v>71</v>
      </c>
      <c r="E11" s="93">
        <f t="shared" si="0"/>
        <v>426</v>
      </c>
    </row>
    <row r="12" spans="1:8" x14ac:dyDescent="0.25">
      <c r="A12" s="51">
        <v>43040</v>
      </c>
      <c r="B12" s="52">
        <f>'11.17'!L6</f>
        <v>0.5714285714285714</v>
      </c>
      <c r="C12" s="58">
        <f>'11.17'!J6</f>
        <v>240</v>
      </c>
      <c r="E12" s="93">
        <f t="shared" si="0"/>
        <v>1440</v>
      </c>
    </row>
    <row r="13" spans="1:8" x14ac:dyDescent="0.25">
      <c r="A13" s="51">
        <v>43070</v>
      </c>
      <c r="B13" s="52">
        <f>'12.17'!L6</f>
        <v>0.31904761904761902</v>
      </c>
      <c r="C13" s="58">
        <f>'12.17'!J6</f>
        <v>134</v>
      </c>
      <c r="D13" s="103">
        <f>SUM(C2:C13)</f>
        <v>1237</v>
      </c>
      <c r="E13" s="93">
        <f t="shared" si="0"/>
        <v>804</v>
      </c>
      <c r="F13" s="102">
        <f>SUM(E2:E13)/12</f>
        <v>618.5</v>
      </c>
    </row>
    <row r="14" spans="1:8" x14ac:dyDescent="0.25">
      <c r="A14" s="51">
        <v>43101</v>
      </c>
      <c r="B14" s="52">
        <f>'01.18'!L6</f>
        <v>0.87938596491228072</v>
      </c>
      <c r="C14" s="58">
        <f>'01.18'!J6</f>
        <v>401</v>
      </c>
      <c r="E14" s="93">
        <f t="shared" si="0"/>
        <v>2406</v>
      </c>
    </row>
    <row r="15" spans="1:8" x14ac:dyDescent="0.25">
      <c r="A15" s="51">
        <v>43132</v>
      </c>
      <c r="B15" s="52">
        <f>'02.18'!L6</f>
        <v>0.61585365853658536</v>
      </c>
      <c r="C15" s="58">
        <f>'02.18'!J6</f>
        <v>303</v>
      </c>
      <c r="E15" s="93">
        <f t="shared" si="0"/>
        <v>1818</v>
      </c>
    </row>
    <row r="16" spans="1:8" x14ac:dyDescent="0.25">
      <c r="A16" s="51">
        <v>43160</v>
      </c>
      <c r="B16" s="52">
        <f>'03.18'!L6</f>
        <v>0.46544715447154472</v>
      </c>
      <c r="C16" s="58">
        <f>'03.18'!J6</f>
        <v>229</v>
      </c>
      <c r="E16" s="93">
        <f t="shared" si="0"/>
        <v>1374</v>
      </c>
    </row>
    <row r="17" spans="1:6" x14ac:dyDescent="0.25">
      <c r="A17" s="51">
        <v>43191</v>
      </c>
      <c r="B17" s="52">
        <f>'04.18'!L6</f>
        <v>0.79878048780487809</v>
      </c>
      <c r="C17" s="58">
        <f>'04.18'!J6</f>
        <v>393</v>
      </c>
      <c r="E17" s="93">
        <f t="shared" si="0"/>
        <v>2358</v>
      </c>
    </row>
    <row r="18" spans="1:6" x14ac:dyDescent="0.25">
      <c r="A18" s="51">
        <v>43221</v>
      </c>
      <c r="B18" s="52">
        <f>'05.18'!L6</f>
        <v>0.69360269360269355</v>
      </c>
      <c r="C18" s="58">
        <f>'05.18'!J6</f>
        <v>412</v>
      </c>
      <c r="E18" s="93">
        <f t="shared" si="0"/>
        <v>2472</v>
      </c>
    </row>
    <row r="19" spans="1:6" x14ac:dyDescent="0.25">
      <c r="A19" s="51">
        <v>43252</v>
      </c>
      <c r="B19" s="52">
        <f>'06.18'!L6</f>
        <v>0.56397306397306401</v>
      </c>
      <c r="C19" s="58">
        <f>'06.18'!J6</f>
        <v>335</v>
      </c>
      <c r="E19" s="93">
        <f t="shared" si="0"/>
        <v>2010</v>
      </c>
    </row>
    <row r="20" spans="1:6" x14ac:dyDescent="0.25">
      <c r="A20" s="51">
        <v>43282</v>
      </c>
      <c r="B20" s="52">
        <f>'07.18'!L6</f>
        <v>0.11279461279461279</v>
      </c>
      <c r="C20" s="58">
        <f>'07.18'!J6</f>
        <v>67</v>
      </c>
      <c r="E20" s="93">
        <f t="shared" si="0"/>
        <v>402</v>
      </c>
    </row>
    <row r="21" spans="1:6" x14ac:dyDescent="0.25">
      <c r="A21" s="51">
        <v>43313</v>
      </c>
      <c r="B21" s="52">
        <f>'08.18'!L6</f>
        <v>0.38047138047138046</v>
      </c>
      <c r="C21" s="58">
        <f>'08.18'!J6</f>
        <v>226</v>
      </c>
      <c r="E21" s="93">
        <f t="shared" si="0"/>
        <v>1356</v>
      </c>
    </row>
    <row r="22" spans="1:6" x14ac:dyDescent="0.25">
      <c r="A22" s="51">
        <v>43344</v>
      </c>
      <c r="B22" s="52">
        <f>'09.18'!L6</f>
        <v>0.41245791245791247</v>
      </c>
      <c r="C22" s="58">
        <f>'09.18'!J6</f>
        <v>245</v>
      </c>
      <c r="E22" s="93">
        <f t="shared" si="0"/>
        <v>1470</v>
      </c>
    </row>
    <row r="23" spans="1:6" x14ac:dyDescent="0.25">
      <c r="A23" s="51">
        <v>43374</v>
      </c>
      <c r="B23" s="52">
        <f>'10.18'!L6</f>
        <v>0.56565656565656564</v>
      </c>
      <c r="C23" s="58">
        <f>'10.18'!J6</f>
        <v>336</v>
      </c>
      <c r="E23" s="93">
        <f t="shared" si="0"/>
        <v>2016</v>
      </c>
    </row>
    <row r="24" spans="1:6" x14ac:dyDescent="0.25">
      <c r="A24" s="51">
        <v>43405</v>
      </c>
      <c r="B24" s="52">
        <f>'11.18'!L6</f>
        <v>0.67340067340067344</v>
      </c>
      <c r="C24" s="58">
        <f>'11.18'!J6</f>
        <v>400</v>
      </c>
      <c r="E24" s="93">
        <f t="shared" si="0"/>
        <v>2400</v>
      </c>
    </row>
    <row r="25" spans="1:6" x14ac:dyDescent="0.25">
      <c r="A25" s="51">
        <v>43435</v>
      </c>
      <c r="B25" s="52">
        <f>'12.18'!L6</f>
        <v>0.92929292929292928</v>
      </c>
      <c r="C25" s="58">
        <f>'12.18'!J6</f>
        <v>552</v>
      </c>
      <c r="D25" s="103">
        <f>SUM(C14:C25)</f>
        <v>3899</v>
      </c>
      <c r="E25" s="93">
        <f t="shared" si="0"/>
        <v>3312</v>
      </c>
      <c r="F25" s="102">
        <f>SUM(E14:E25)/12</f>
        <v>1949.5</v>
      </c>
    </row>
    <row r="26" spans="1:6" x14ac:dyDescent="0.25">
      <c r="A26" s="51">
        <v>43466</v>
      </c>
      <c r="B26" s="52">
        <f>'01.19'!L6</f>
        <v>4.8821548821548821E-2</v>
      </c>
      <c r="C26" s="58">
        <f>'01.19'!J6</f>
        <v>29</v>
      </c>
      <c r="E26" s="93">
        <f t="shared" si="0"/>
        <v>174</v>
      </c>
    </row>
    <row r="27" spans="1:6" x14ac:dyDescent="0.25">
      <c r="A27" s="51">
        <v>43497</v>
      </c>
      <c r="B27" s="52">
        <f>'02.19'!L6</f>
        <v>0.16666666666666666</v>
      </c>
      <c r="C27" s="58">
        <f>'02.19'!J6</f>
        <v>99</v>
      </c>
      <c r="E27" s="93">
        <f t="shared" si="0"/>
        <v>594</v>
      </c>
    </row>
    <row r="28" spans="1:6" x14ac:dyDescent="0.25">
      <c r="A28" s="51">
        <v>43525</v>
      </c>
      <c r="B28" s="52">
        <f>'03.19'!L6</f>
        <v>0.28956228956228958</v>
      </c>
      <c r="C28" s="58">
        <f>'03.19'!J6</f>
        <v>172</v>
      </c>
      <c r="E28" s="93">
        <f t="shared" si="0"/>
        <v>1032</v>
      </c>
    </row>
    <row r="29" spans="1:6" x14ac:dyDescent="0.25">
      <c r="A29" s="51">
        <v>43556</v>
      </c>
      <c r="B29" s="52">
        <f>'04.19'!L6</f>
        <v>0.26767676767676768</v>
      </c>
      <c r="C29" s="58">
        <f>'04.19'!J6</f>
        <v>159</v>
      </c>
      <c r="E29" s="93">
        <f t="shared" si="0"/>
        <v>954</v>
      </c>
    </row>
    <row r="30" spans="1:6" x14ac:dyDescent="0.25">
      <c r="A30" s="51">
        <v>43586</v>
      </c>
      <c r="B30" s="52">
        <f>'05.19'!L6</f>
        <v>0.35185185185185186</v>
      </c>
      <c r="C30" s="58">
        <f>'05.19'!J6</f>
        <v>209</v>
      </c>
      <c r="E30" s="93">
        <f t="shared" si="0"/>
        <v>1254</v>
      </c>
    </row>
    <row r="31" spans="1:6" x14ac:dyDescent="0.25">
      <c r="A31" s="51">
        <v>43617</v>
      </c>
      <c r="B31" s="52">
        <f>'06.19'!L6</f>
        <v>0.3451178451178451</v>
      </c>
      <c r="C31" s="58">
        <f>'06.19'!J6</f>
        <v>205</v>
      </c>
      <c r="E31" s="93">
        <f t="shared" si="0"/>
        <v>1230</v>
      </c>
    </row>
    <row r="32" spans="1:6" x14ac:dyDescent="0.25">
      <c r="A32" s="51">
        <v>43647</v>
      </c>
      <c r="B32" s="52">
        <f>'07.19'!L6</f>
        <v>0.2946127946127946</v>
      </c>
      <c r="C32" s="58">
        <f>'07.19'!J6</f>
        <v>175</v>
      </c>
      <c r="E32" s="93">
        <f t="shared" si="0"/>
        <v>1050</v>
      </c>
    </row>
    <row r="33" spans="1:6" x14ac:dyDescent="0.25">
      <c r="A33" s="51">
        <v>43678</v>
      </c>
      <c r="B33" s="52">
        <f>'08.19'!L6</f>
        <v>0.29124579124579125</v>
      </c>
      <c r="C33" s="58">
        <f>'08.19'!J6</f>
        <v>173</v>
      </c>
      <c r="E33" s="93">
        <f t="shared" si="0"/>
        <v>1038</v>
      </c>
    </row>
    <row r="34" spans="1:6" x14ac:dyDescent="0.25">
      <c r="A34" s="51">
        <v>43709</v>
      </c>
      <c r="B34" s="52">
        <f>'09.19'!L6</f>
        <v>0.96127946127946129</v>
      </c>
      <c r="C34" s="58">
        <f>'09.19'!J6</f>
        <v>571</v>
      </c>
      <c r="E34" s="93">
        <f t="shared" si="0"/>
        <v>3426</v>
      </c>
    </row>
    <row r="35" spans="1:6" x14ac:dyDescent="0.25">
      <c r="A35" s="51">
        <v>43739</v>
      </c>
      <c r="B35" s="52">
        <f>'10.19'!L6</f>
        <v>0.48484848484848486</v>
      </c>
      <c r="C35" s="58">
        <f>'10.19'!J6</f>
        <v>288</v>
      </c>
      <c r="E35" s="93">
        <f t="shared" si="0"/>
        <v>1728</v>
      </c>
    </row>
    <row r="36" spans="1:6" x14ac:dyDescent="0.25">
      <c r="A36" s="51">
        <v>43770</v>
      </c>
      <c r="B36" s="52">
        <f>'11.19'!L6</f>
        <v>0.265993265993266</v>
      </c>
      <c r="C36" s="58">
        <f>'11.19'!J6</f>
        <v>158</v>
      </c>
      <c r="E36" s="93">
        <f t="shared" si="0"/>
        <v>948</v>
      </c>
    </row>
    <row r="37" spans="1:6" x14ac:dyDescent="0.25">
      <c r="A37" s="51">
        <v>43800</v>
      </c>
      <c r="B37" s="52">
        <f>'12.19'!L6</f>
        <v>0.64646464646464652</v>
      </c>
      <c r="C37" s="58">
        <f>'12.19'!J6</f>
        <v>384</v>
      </c>
      <c r="D37" s="103">
        <f>SUM(C26:C37)</f>
        <v>2622</v>
      </c>
      <c r="E37" s="93">
        <f t="shared" si="0"/>
        <v>2304</v>
      </c>
      <c r="F37" s="102">
        <f>SUM(E26:E37)/12</f>
        <v>1311</v>
      </c>
    </row>
    <row r="38" spans="1:6" x14ac:dyDescent="0.25">
      <c r="A38" s="51">
        <v>43831</v>
      </c>
      <c r="B38" s="52">
        <f>'01.20'!L6</f>
        <v>0.35185185185185186</v>
      </c>
      <c r="C38" s="58">
        <f>'01.20'!J6</f>
        <v>209</v>
      </c>
      <c r="E38" s="93">
        <f t="shared" si="0"/>
        <v>1254</v>
      </c>
    </row>
    <row r="39" spans="1:6" x14ac:dyDescent="0.25">
      <c r="A39" s="51">
        <v>43862</v>
      </c>
      <c r="B39" s="52">
        <f>'02.20'!L6</f>
        <v>0.38383838383838381</v>
      </c>
      <c r="C39" s="58">
        <f>'02.20'!J6</f>
        <v>228</v>
      </c>
      <c r="E39" s="93">
        <f t="shared" si="0"/>
        <v>1368</v>
      </c>
    </row>
    <row r="40" spans="1:6" x14ac:dyDescent="0.25">
      <c r="A40" s="51">
        <v>43891</v>
      </c>
      <c r="B40" s="52">
        <f>'03.20'!L6</f>
        <v>0.37037037037037035</v>
      </c>
      <c r="C40" s="58">
        <f>'03.20'!J6</f>
        <v>220</v>
      </c>
      <c r="E40" s="93">
        <f t="shared" si="0"/>
        <v>1320</v>
      </c>
    </row>
    <row r="41" spans="1:6" x14ac:dyDescent="0.25">
      <c r="A41" s="51">
        <v>43922</v>
      </c>
      <c r="B41" s="52">
        <f>'04.20'!L6</f>
        <v>0.41582491582491582</v>
      </c>
      <c r="C41" s="58">
        <f>'04.20'!J6</f>
        <v>247</v>
      </c>
      <c r="E41" s="93">
        <f t="shared" si="0"/>
        <v>1482</v>
      </c>
    </row>
    <row r="42" spans="1:6" x14ac:dyDescent="0.25">
      <c r="A42" s="51">
        <v>43952</v>
      </c>
      <c r="B42" s="52">
        <f>'05.20'!L6</f>
        <v>0.40404040404040403</v>
      </c>
      <c r="C42" s="58">
        <f>'05.20'!J6</f>
        <v>240</v>
      </c>
      <c r="E42" s="93">
        <f t="shared" si="0"/>
        <v>1440</v>
      </c>
    </row>
    <row r="43" spans="1:6" x14ac:dyDescent="0.25">
      <c r="A43" s="51">
        <v>43983</v>
      </c>
      <c r="B43" s="52">
        <f>'06.20'!L6</f>
        <v>0.48821548821548821</v>
      </c>
      <c r="C43" s="58">
        <f>'06.20'!J6</f>
        <v>290</v>
      </c>
      <c r="E43" s="93">
        <f t="shared" si="0"/>
        <v>1740</v>
      </c>
    </row>
    <row r="44" spans="1:6" x14ac:dyDescent="0.25">
      <c r="A44" s="51">
        <v>44013</v>
      </c>
      <c r="B44" s="52">
        <f>'07.20'!L6</f>
        <v>0.55218855218855223</v>
      </c>
      <c r="C44" s="58">
        <f>'07.20'!J6</f>
        <v>328</v>
      </c>
      <c r="E44" s="93">
        <f t="shared" si="0"/>
        <v>1968</v>
      </c>
    </row>
    <row r="45" spans="1:6" x14ac:dyDescent="0.25">
      <c r="A45" s="51">
        <v>44044</v>
      </c>
      <c r="B45" s="52">
        <f>'08.20'!L6</f>
        <v>0.70202020202020199</v>
      </c>
      <c r="C45" s="58">
        <f>'08.20'!J6</f>
        <v>417</v>
      </c>
      <c r="E45" s="93">
        <f t="shared" si="0"/>
        <v>2502</v>
      </c>
    </row>
    <row r="46" spans="1:6" x14ac:dyDescent="0.25">
      <c r="A46" s="51">
        <v>44075</v>
      </c>
      <c r="B46" s="52">
        <f>'09.20'!L6</f>
        <v>0.81818181818181823</v>
      </c>
      <c r="C46" s="58">
        <f>'09.20'!J6</f>
        <v>486</v>
      </c>
      <c r="E46" s="93">
        <f t="shared" si="0"/>
        <v>2916</v>
      </c>
    </row>
    <row r="47" spans="1:6" x14ac:dyDescent="0.25">
      <c r="A47" s="51">
        <v>44105</v>
      </c>
      <c r="B47" s="52">
        <f>'10.20'!L6</f>
        <v>0.77272727272727271</v>
      </c>
      <c r="C47" s="58">
        <f>'10.20'!J6</f>
        <v>459</v>
      </c>
      <c r="E47" s="93">
        <f t="shared" si="0"/>
        <v>2754</v>
      </c>
    </row>
    <row r="48" spans="1:6" x14ac:dyDescent="0.25">
      <c r="A48" s="51">
        <v>44136</v>
      </c>
      <c r="B48" s="52">
        <f>'11.20'!L6</f>
        <v>0.79966329966329963</v>
      </c>
      <c r="C48" s="58">
        <f>'11.20'!J6</f>
        <v>475</v>
      </c>
      <c r="E48" s="93">
        <f t="shared" si="0"/>
        <v>2850</v>
      </c>
    </row>
    <row r="49" spans="1:6" x14ac:dyDescent="0.25">
      <c r="A49" s="51">
        <v>44166</v>
      </c>
      <c r="B49" s="52">
        <f>'12.20'!L6</f>
        <v>0.81144781144781142</v>
      </c>
      <c r="C49" s="58">
        <f>'12.20'!J6</f>
        <v>482</v>
      </c>
      <c r="D49" s="103">
        <f>SUM(C38:C49)</f>
        <v>4081</v>
      </c>
      <c r="E49" s="93">
        <f t="shared" si="0"/>
        <v>2892</v>
      </c>
      <c r="F49" s="102">
        <f>SUM(E38:E49)/12</f>
        <v>2040.5</v>
      </c>
    </row>
    <row r="50" spans="1:6" x14ac:dyDescent="0.25">
      <c r="A50" s="51">
        <v>44197</v>
      </c>
      <c r="B50" s="52">
        <f>'01.21'!L6</f>
        <v>0.63804713804713808</v>
      </c>
      <c r="C50" s="58">
        <f>'01.21'!J6</f>
        <v>379</v>
      </c>
      <c r="E50" s="93">
        <f t="shared" si="0"/>
        <v>2274</v>
      </c>
    </row>
    <row r="51" spans="1:6" x14ac:dyDescent="0.25">
      <c r="A51" s="51">
        <v>44228</v>
      </c>
      <c r="B51" s="52">
        <f>'02.21'!L6</f>
        <v>0.9747474747474747</v>
      </c>
      <c r="C51" s="58">
        <f>'02.21'!J6</f>
        <v>579</v>
      </c>
      <c r="E51" s="93">
        <f t="shared" si="0"/>
        <v>3474</v>
      </c>
    </row>
    <row r="52" spans="1:6" x14ac:dyDescent="0.25">
      <c r="A52" s="51">
        <v>44256</v>
      </c>
      <c r="B52" s="52">
        <f>'03.21'!L6</f>
        <v>0.57070707070707072</v>
      </c>
      <c r="C52" s="58">
        <f>'03.21'!J6</f>
        <v>339</v>
      </c>
      <c r="E52" s="93">
        <f t="shared" si="0"/>
        <v>2034</v>
      </c>
    </row>
    <row r="53" spans="1:6" x14ac:dyDescent="0.25">
      <c r="A53" s="51">
        <v>44287</v>
      </c>
      <c r="B53" s="52">
        <f>'04.21'!L6</f>
        <v>0.54713804713804715</v>
      </c>
      <c r="C53" s="58">
        <f>'04.21'!J6</f>
        <v>325</v>
      </c>
      <c r="E53" s="93">
        <f t="shared" si="0"/>
        <v>1950</v>
      </c>
    </row>
    <row r="54" spans="1:6" x14ac:dyDescent="0.25">
      <c r="A54" s="51">
        <v>44317</v>
      </c>
      <c r="B54" s="52">
        <f>'05.21'!L6</f>
        <v>0.94781144781144777</v>
      </c>
      <c r="C54" s="58">
        <f>'05.21'!J6</f>
        <v>563</v>
      </c>
      <c r="E54" s="93">
        <f t="shared" si="0"/>
        <v>3378</v>
      </c>
    </row>
    <row r="55" spans="1:6" x14ac:dyDescent="0.25">
      <c r="A55" s="51">
        <v>44348</v>
      </c>
      <c r="B55" s="52">
        <f>'06.21'!L6</f>
        <v>1.1043771043771045</v>
      </c>
      <c r="C55" s="58">
        <f>'06.21'!J6</f>
        <v>656</v>
      </c>
      <c r="E55" s="93">
        <f t="shared" si="0"/>
        <v>3936</v>
      </c>
    </row>
    <row r="56" spans="1:6" x14ac:dyDescent="0.25">
      <c r="A56" s="51">
        <v>44378</v>
      </c>
      <c r="B56" s="52">
        <f>'07.21'!L6</f>
        <v>0.44781144781144783</v>
      </c>
      <c r="C56" s="58">
        <f>'07.21'!J6</f>
        <v>266</v>
      </c>
      <c r="E56" s="93">
        <f t="shared" si="0"/>
        <v>1596</v>
      </c>
    </row>
    <row r="57" spans="1:6" x14ac:dyDescent="0.25">
      <c r="A57" s="51">
        <v>44409</v>
      </c>
      <c r="B57" s="52">
        <f>'08.21'!L6</f>
        <v>0.45286195286195285</v>
      </c>
      <c r="C57" s="58">
        <f>'08.21'!J6</f>
        <v>269</v>
      </c>
      <c r="E57" s="93">
        <f t="shared" si="0"/>
        <v>1614</v>
      </c>
    </row>
    <row r="58" spans="1:6" x14ac:dyDescent="0.25">
      <c r="A58" s="51">
        <v>44440</v>
      </c>
      <c r="B58" s="52">
        <f>'09.21'!L6</f>
        <v>1.0528052805280528</v>
      </c>
      <c r="C58" s="58">
        <f>'09.21'!J6</f>
        <v>638</v>
      </c>
      <c r="E58" s="93">
        <f t="shared" si="0"/>
        <v>3828</v>
      </c>
    </row>
    <row r="59" spans="1:6" x14ac:dyDescent="0.25">
      <c r="A59" s="51">
        <v>44470</v>
      </c>
      <c r="B59" s="52">
        <f>'10.21'!L6</f>
        <v>0.49504950495049505</v>
      </c>
      <c r="C59" s="58">
        <f>'10.21'!J6</f>
        <v>300</v>
      </c>
      <c r="E59" s="93">
        <f t="shared" si="0"/>
        <v>1800</v>
      </c>
    </row>
    <row r="60" spans="1:6" x14ac:dyDescent="0.25">
      <c r="A60" s="51">
        <v>44501</v>
      </c>
      <c r="B60" s="52">
        <f>'11.21'!L6</f>
        <v>0.26237623762376239</v>
      </c>
      <c r="C60" s="58">
        <f>'11.21'!J6</f>
        <v>159</v>
      </c>
      <c r="E60" s="93">
        <f t="shared" si="0"/>
        <v>954</v>
      </c>
    </row>
    <row r="61" spans="1:6" x14ac:dyDescent="0.25">
      <c r="A61" s="51">
        <v>44531</v>
      </c>
      <c r="B61" s="52">
        <f>'12.21'!L6</f>
        <v>0.55115511551155116</v>
      </c>
      <c r="C61" s="58">
        <f>'12.21'!J6</f>
        <v>334</v>
      </c>
      <c r="D61" s="103">
        <f>SUM(C50:C61)</f>
        <v>4807</v>
      </c>
      <c r="E61" s="93">
        <f t="shared" si="0"/>
        <v>2004</v>
      </c>
      <c r="F61" s="102">
        <f>SUM(E50:E61)/12</f>
        <v>2403.5</v>
      </c>
    </row>
    <row r="62" spans="1:6" x14ac:dyDescent="0.25">
      <c r="A62" s="51">
        <v>44562</v>
      </c>
      <c r="B62" s="52">
        <f>'01.22'!L6</f>
        <v>0.70957095709570961</v>
      </c>
      <c r="C62" s="58">
        <f>'01.22'!J6</f>
        <v>430</v>
      </c>
      <c r="E62" s="93">
        <f t="shared" si="0"/>
        <v>2580</v>
      </c>
    </row>
    <row r="63" spans="1:6" x14ac:dyDescent="0.25">
      <c r="A63" s="51">
        <v>44593</v>
      </c>
      <c r="B63" s="52">
        <f>'02.22'!L6</f>
        <v>0.41584158415841582</v>
      </c>
      <c r="C63" s="58">
        <f>'02.22'!J6</f>
        <v>252</v>
      </c>
      <c r="E63" s="93">
        <f t="shared" si="0"/>
        <v>1512</v>
      </c>
    </row>
    <row r="64" spans="1:6" x14ac:dyDescent="0.25">
      <c r="A64" s="51">
        <v>44621</v>
      </c>
      <c r="B64" s="52">
        <f>'03.22'!L6</f>
        <v>0.55610561056105612</v>
      </c>
      <c r="C64" s="58">
        <f>'03.22'!J6</f>
        <v>337</v>
      </c>
      <c r="E64" s="93">
        <f t="shared" si="0"/>
        <v>2022</v>
      </c>
    </row>
    <row r="65" spans="1:6" x14ac:dyDescent="0.25">
      <c r="A65" s="51">
        <v>44652</v>
      </c>
      <c r="B65" s="52">
        <f>'04.22'!L6</f>
        <v>0.11056105610561057</v>
      </c>
      <c r="C65" s="58">
        <f>'04.22'!J6</f>
        <v>67</v>
      </c>
      <c r="E65" s="93">
        <f t="shared" si="0"/>
        <v>402</v>
      </c>
    </row>
    <row r="66" spans="1:6" x14ac:dyDescent="0.25">
      <c r="A66" s="51">
        <v>44682</v>
      </c>
      <c r="B66" s="52">
        <f>'05.22'!L6</f>
        <v>9.5709570957095716E-2</v>
      </c>
      <c r="C66" s="58">
        <f>'05.22'!J6</f>
        <v>58</v>
      </c>
      <c r="E66" s="93">
        <f t="shared" si="0"/>
        <v>348</v>
      </c>
    </row>
    <row r="67" spans="1:6" x14ac:dyDescent="0.25">
      <c r="A67" s="51">
        <v>44713</v>
      </c>
      <c r="B67" s="52">
        <f>'06.22'!L6</f>
        <v>0.32673267326732675</v>
      </c>
      <c r="C67" s="58">
        <f>'06.22'!J6</f>
        <v>198</v>
      </c>
      <c r="E67" s="93">
        <f t="shared" ref="E67:E73" si="1">C67*6</f>
        <v>1188</v>
      </c>
    </row>
    <row r="68" spans="1:6" x14ac:dyDescent="0.25">
      <c r="A68" s="51">
        <v>44743</v>
      </c>
      <c r="B68" s="52">
        <f>'07.22'!L6</f>
        <v>0.72607260726072609</v>
      </c>
      <c r="C68" s="58">
        <f>'07.22'!J6</f>
        <v>440</v>
      </c>
      <c r="E68" s="93">
        <f t="shared" si="1"/>
        <v>2640</v>
      </c>
    </row>
    <row r="69" spans="1:6" x14ac:dyDescent="0.25">
      <c r="A69" s="51">
        <v>44774</v>
      </c>
      <c r="B69" s="52">
        <f>'08.22'!L6</f>
        <v>0.80218068535825549</v>
      </c>
      <c r="C69" s="58">
        <f>'08.22'!J6</f>
        <v>515</v>
      </c>
      <c r="E69" s="93">
        <f t="shared" si="1"/>
        <v>3090</v>
      </c>
    </row>
    <row r="70" spans="1:6" x14ac:dyDescent="0.25">
      <c r="A70" s="51">
        <v>44805</v>
      </c>
      <c r="B70" s="52">
        <f>'09.22'!L6</f>
        <v>0.67601246105919</v>
      </c>
      <c r="C70" s="58">
        <f>'09.22'!J6</f>
        <v>434</v>
      </c>
      <c r="E70" s="93">
        <f t="shared" si="1"/>
        <v>2604</v>
      </c>
    </row>
    <row r="71" spans="1:6" x14ac:dyDescent="0.25">
      <c r="A71" s="51">
        <v>44835</v>
      </c>
      <c r="B71" s="52">
        <f>'10.22'!L6</f>
        <v>0.55607476635514019</v>
      </c>
      <c r="C71" s="58">
        <f>'10.22'!J6</f>
        <v>357</v>
      </c>
      <c r="E71" s="93">
        <f t="shared" si="1"/>
        <v>2142</v>
      </c>
    </row>
    <row r="72" spans="1:6" x14ac:dyDescent="0.25">
      <c r="A72" s="51">
        <v>44866</v>
      </c>
      <c r="B72" s="52">
        <f>'11.22'!L6</f>
        <v>0.69626168224299068</v>
      </c>
      <c r="C72" s="58">
        <f>'11.22'!J6</f>
        <v>447</v>
      </c>
      <c r="E72" s="93">
        <f t="shared" si="1"/>
        <v>2682</v>
      </c>
    </row>
    <row r="73" spans="1:6" x14ac:dyDescent="0.25">
      <c r="A73" s="51">
        <v>44896</v>
      </c>
      <c r="B73" s="52">
        <f>'12.22'!L6</f>
        <v>1.0093457943925233</v>
      </c>
      <c r="C73" s="58">
        <f>'12.22'!J6</f>
        <v>648</v>
      </c>
      <c r="D73" s="103">
        <f>SUM(C62:C73)</f>
        <v>4183</v>
      </c>
      <c r="E73" s="93">
        <f t="shared" si="1"/>
        <v>3888</v>
      </c>
      <c r="F73" s="102">
        <f>SUM(E62:E73)/12</f>
        <v>2091.5</v>
      </c>
    </row>
    <row r="74" spans="1:6" x14ac:dyDescent="0.25">
      <c r="A74" s="51">
        <v>44927</v>
      </c>
      <c r="B74" s="52">
        <f>'01.23'!L6</f>
        <v>0.59345794392523366</v>
      </c>
      <c r="C74" s="58">
        <f>'01.23'!J6</f>
        <v>381</v>
      </c>
      <c r="E74" s="93">
        <f>C74*6.8</f>
        <v>2590.7999999999997</v>
      </c>
    </row>
    <row r="75" spans="1:6" x14ac:dyDescent="0.25">
      <c r="A75" s="51">
        <v>44958</v>
      </c>
      <c r="B75" s="52">
        <f>'02.23'!L6</f>
        <v>0.62305295950155759</v>
      </c>
      <c r="C75" s="58">
        <f>'02.23'!J6</f>
        <v>400</v>
      </c>
      <c r="E75" s="93">
        <f t="shared" ref="E75:E97" si="2">C75*6.8</f>
        <v>2720</v>
      </c>
    </row>
    <row r="76" spans="1:6" x14ac:dyDescent="0.25">
      <c r="A76" s="51">
        <v>44986</v>
      </c>
      <c r="B76" s="52">
        <f>'03.23'!L6</f>
        <v>0.74766355140186913</v>
      </c>
      <c r="C76" s="58">
        <f>'03.23'!J6</f>
        <v>480</v>
      </c>
      <c r="E76" s="93">
        <f t="shared" si="2"/>
        <v>3264</v>
      </c>
    </row>
    <row r="77" spans="1:6" x14ac:dyDescent="0.25">
      <c r="A77" s="51">
        <v>45017</v>
      </c>
      <c r="B77" s="52">
        <f>'04.23'!L6</f>
        <v>0.70249221183800625</v>
      </c>
      <c r="C77" s="58">
        <f>'04.23'!J6</f>
        <v>451</v>
      </c>
      <c r="E77" s="93">
        <f t="shared" si="2"/>
        <v>3066.7999999999997</v>
      </c>
    </row>
    <row r="78" spans="1:6" x14ac:dyDescent="0.25">
      <c r="A78" s="51">
        <v>45047</v>
      </c>
      <c r="B78" s="52">
        <f>'05.23'!L6</f>
        <v>0.6900311526479751</v>
      </c>
      <c r="C78" s="58">
        <f>'05.23'!J6</f>
        <v>443</v>
      </c>
      <c r="E78" s="93">
        <f t="shared" si="2"/>
        <v>3012.4</v>
      </c>
    </row>
    <row r="79" spans="1:6" x14ac:dyDescent="0.25">
      <c r="A79" s="51">
        <v>45078</v>
      </c>
      <c r="B79" s="52">
        <f>'06.23'!L6</f>
        <v>0.56386292834890961</v>
      </c>
      <c r="C79" s="58">
        <f>'06.23'!J6</f>
        <v>362</v>
      </c>
      <c r="E79" s="93">
        <f t="shared" si="2"/>
        <v>2461.6</v>
      </c>
    </row>
    <row r="80" spans="1:6" x14ac:dyDescent="0.25">
      <c r="A80" s="51">
        <v>45108</v>
      </c>
      <c r="B80" s="52">
        <f>'07.23'!L6</f>
        <v>0.27258566978193144</v>
      </c>
      <c r="C80" s="58">
        <f>'07.23'!J6</f>
        <v>175</v>
      </c>
      <c r="E80" s="93">
        <f t="shared" si="2"/>
        <v>1190</v>
      </c>
    </row>
    <row r="81" spans="1:6" x14ac:dyDescent="0.25">
      <c r="A81" s="51">
        <v>45139</v>
      </c>
      <c r="B81" s="52">
        <f>'08.23'!L6</f>
        <v>0.52959501557632394</v>
      </c>
      <c r="C81" s="58">
        <f>'08.23'!J6</f>
        <v>340</v>
      </c>
      <c r="E81" s="93">
        <f t="shared" si="2"/>
        <v>2312</v>
      </c>
    </row>
    <row r="82" spans="1:6" x14ac:dyDescent="0.25">
      <c r="A82" s="51">
        <v>45170</v>
      </c>
      <c r="B82" s="52">
        <f>'09.23'!L6</f>
        <v>0.24299065420560748</v>
      </c>
      <c r="C82" s="58">
        <f>'09.23'!J6</f>
        <v>156</v>
      </c>
      <c r="E82" s="93">
        <f t="shared" si="2"/>
        <v>1060.8</v>
      </c>
    </row>
    <row r="83" spans="1:6" x14ac:dyDescent="0.25">
      <c r="A83" s="51">
        <v>45200</v>
      </c>
      <c r="B83" s="52">
        <f>'10.23'!L6</f>
        <v>0.3909657320872274</v>
      </c>
      <c r="C83" s="58">
        <f>'10.23'!J6</f>
        <v>251</v>
      </c>
      <c r="E83" s="93">
        <f t="shared" si="2"/>
        <v>1706.8</v>
      </c>
    </row>
    <row r="84" spans="1:6" x14ac:dyDescent="0.25">
      <c r="A84" s="51">
        <v>45231</v>
      </c>
      <c r="B84" s="52">
        <f>'11.23'!L6</f>
        <v>0.42211838006230529</v>
      </c>
      <c r="C84" s="58">
        <f>'11.23'!J6</f>
        <v>271</v>
      </c>
      <c r="E84" s="93">
        <f t="shared" si="2"/>
        <v>1842.8</v>
      </c>
    </row>
    <row r="85" spans="1:6" x14ac:dyDescent="0.25">
      <c r="A85" s="51">
        <v>45261</v>
      </c>
      <c r="B85" s="52">
        <f>'12.23'!L6</f>
        <v>0.71495327102803741</v>
      </c>
      <c r="C85" s="58">
        <f>'12.23'!J6</f>
        <v>459</v>
      </c>
      <c r="D85" s="103">
        <f>SUM(C74:C85)</f>
        <v>4169</v>
      </c>
      <c r="E85" s="93">
        <f t="shared" si="2"/>
        <v>3121.2</v>
      </c>
      <c r="F85" s="102">
        <f>SUM(E74:E85)/12</f>
        <v>2362.4333333333329</v>
      </c>
    </row>
    <row r="86" spans="1:6" x14ac:dyDescent="0.25">
      <c r="A86" s="51">
        <v>45292</v>
      </c>
      <c r="B86" s="52">
        <f>'01.24'!L6</f>
        <v>0.30373831775700932</v>
      </c>
      <c r="C86" s="58">
        <f>'01.24'!J6</f>
        <v>195</v>
      </c>
      <c r="E86" s="93">
        <f t="shared" si="2"/>
        <v>1326</v>
      </c>
    </row>
    <row r="87" spans="1:6" x14ac:dyDescent="0.25">
      <c r="A87" s="51">
        <v>45323</v>
      </c>
      <c r="B87" s="52">
        <f>'02.24'!L6</f>
        <v>0.69626168224299068</v>
      </c>
      <c r="C87" s="58">
        <f>'02.24'!J6</f>
        <v>447</v>
      </c>
      <c r="E87" s="93">
        <f t="shared" si="2"/>
        <v>3039.6</v>
      </c>
    </row>
    <row r="88" spans="1:6" x14ac:dyDescent="0.25">
      <c r="A88" s="51">
        <v>45352</v>
      </c>
      <c r="B88" s="52">
        <f>'03.24'!L6</f>
        <v>0.52180685358255452</v>
      </c>
      <c r="C88" s="58">
        <f>'03.24'!J6</f>
        <v>335</v>
      </c>
      <c r="E88" s="93">
        <f t="shared" si="2"/>
        <v>2278</v>
      </c>
    </row>
    <row r="89" spans="1:6" x14ac:dyDescent="0.25">
      <c r="A89" s="51">
        <v>45383</v>
      </c>
      <c r="B89" s="52">
        <f>'04.24'!L6</f>
        <v>0.49532710280373832</v>
      </c>
      <c r="C89" s="58">
        <f>'04.24'!J6</f>
        <v>318</v>
      </c>
      <c r="E89" s="93">
        <f t="shared" si="2"/>
        <v>2162.4</v>
      </c>
    </row>
    <row r="90" spans="1:6" x14ac:dyDescent="0.25">
      <c r="A90" s="51">
        <v>45413</v>
      </c>
      <c r="B90" s="52">
        <f>'05.24'!L6</f>
        <v>0.49532710280373832</v>
      </c>
      <c r="C90" s="58">
        <f>'05.24'!J6</f>
        <v>318</v>
      </c>
      <c r="E90" s="93">
        <f t="shared" si="2"/>
        <v>2162.4</v>
      </c>
    </row>
    <row r="91" spans="1:6" x14ac:dyDescent="0.25">
      <c r="A91" s="51">
        <v>45444</v>
      </c>
      <c r="B91" s="52">
        <f>'06.24'!L6</f>
        <v>0.41121495327102803</v>
      </c>
      <c r="C91" s="58">
        <f>'06.24'!J6</f>
        <v>264</v>
      </c>
      <c r="E91" s="93">
        <f t="shared" si="2"/>
        <v>1795.2</v>
      </c>
    </row>
    <row r="92" spans="1:6" x14ac:dyDescent="0.25">
      <c r="A92" s="51">
        <v>45474</v>
      </c>
      <c r="B92" s="52">
        <f>'07.24'!L6</f>
        <v>0.37694704049844235</v>
      </c>
      <c r="C92" s="58">
        <f>'07.24'!J6</f>
        <v>242</v>
      </c>
      <c r="E92" s="93">
        <f t="shared" si="2"/>
        <v>1645.6</v>
      </c>
    </row>
    <row r="93" spans="1:6" x14ac:dyDescent="0.25">
      <c r="A93" s="51">
        <v>45505</v>
      </c>
      <c r="B93" s="52">
        <f>'08.24'!L6</f>
        <v>0.37227414330218067</v>
      </c>
      <c r="C93" s="58">
        <f>'08.24'!J6</f>
        <v>239</v>
      </c>
      <c r="E93" s="93">
        <f t="shared" si="2"/>
        <v>1625.2</v>
      </c>
    </row>
    <row r="94" spans="1:6" x14ac:dyDescent="0.25">
      <c r="A94" s="51">
        <v>45536</v>
      </c>
      <c r="B94" s="52">
        <f>'09.24'!L6</f>
        <v>0.49844236760124611</v>
      </c>
      <c r="C94" s="58">
        <f>'09.24'!J6</f>
        <v>320</v>
      </c>
      <c r="E94" s="93">
        <f t="shared" si="2"/>
        <v>2176</v>
      </c>
    </row>
    <row r="95" spans="1:6" ht="15" customHeight="1" x14ac:dyDescent="0.25">
      <c r="A95" s="51">
        <v>45566</v>
      </c>
      <c r="B95" s="52">
        <f>'10.24'!L6</f>
        <v>0.24610591900311526</v>
      </c>
      <c r="C95" s="58">
        <f>'10.24'!J6</f>
        <v>158</v>
      </c>
      <c r="E95" s="93">
        <f t="shared" si="2"/>
        <v>1074.3999999999999</v>
      </c>
    </row>
    <row r="96" spans="1:6" x14ac:dyDescent="0.25">
      <c r="A96" s="51">
        <v>45597</v>
      </c>
      <c r="B96" s="52">
        <f>'11.24'!L6</f>
        <v>0.38473520249221183</v>
      </c>
      <c r="C96" s="58">
        <f>'11.24'!J6</f>
        <v>247</v>
      </c>
      <c r="E96" s="93">
        <f t="shared" si="2"/>
        <v>1679.6</v>
      </c>
    </row>
    <row r="97" spans="1:12" x14ac:dyDescent="0.25">
      <c r="A97" s="51">
        <v>45627</v>
      </c>
      <c r="B97" s="52">
        <f>'12.24'!L6</f>
        <v>0.83333333333333337</v>
      </c>
      <c r="C97" s="58">
        <f>'12.24'!J6</f>
        <v>535</v>
      </c>
      <c r="D97" s="103">
        <f>SUM(C86:C97)</f>
        <v>3618</v>
      </c>
      <c r="E97" s="93">
        <f t="shared" si="2"/>
        <v>3638</v>
      </c>
      <c r="F97" s="102">
        <f>SUM(E86:E97)/12</f>
        <v>2050.2000000000003</v>
      </c>
    </row>
    <row r="98" spans="1:12" x14ac:dyDescent="0.25">
      <c r="A98" s="51">
        <v>45658</v>
      </c>
      <c r="B98" s="52">
        <f>'01.25'!L6</f>
        <v>0.21339563862928349</v>
      </c>
      <c r="C98" s="58">
        <f>'01.25'!J6</f>
        <v>137</v>
      </c>
      <c r="E98" s="93">
        <f>C98*7.3</f>
        <v>1000.1</v>
      </c>
    </row>
    <row r="99" spans="1:12" x14ac:dyDescent="0.25">
      <c r="A99" s="51">
        <v>45689</v>
      </c>
      <c r="B99" s="52">
        <f>'02.25'!L6</f>
        <v>0.59968847352024923</v>
      </c>
      <c r="C99" s="58">
        <f>'02.25'!J6</f>
        <v>385</v>
      </c>
      <c r="E99" s="93">
        <f t="shared" ref="E99:E109" si="3">C99*7.3</f>
        <v>2810.5</v>
      </c>
    </row>
    <row r="100" spans="1:12" x14ac:dyDescent="0.25">
      <c r="A100" s="51">
        <v>45717</v>
      </c>
      <c r="B100" s="52">
        <f>'03.25'!L6</f>
        <v>0.42056074766355139</v>
      </c>
      <c r="C100" s="58">
        <f>'03.25'!J6</f>
        <v>270</v>
      </c>
      <c r="E100" s="93">
        <f t="shared" si="3"/>
        <v>1971</v>
      </c>
    </row>
    <row r="101" spans="1:12" x14ac:dyDescent="0.25">
      <c r="A101" s="51">
        <v>45748</v>
      </c>
      <c r="B101" s="52">
        <f>'04.25'!L6</f>
        <v>0.35358255451713394</v>
      </c>
      <c r="C101" s="58">
        <f>'04.25'!J6</f>
        <v>227</v>
      </c>
      <c r="E101" s="93">
        <f t="shared" si="3"/>
        <v>1657.1</v>
      </c>
    </row>
    <row r="102" spans="1:12" x14ac:dyDescent="0.25">
      <c r="A102" s="51">
        <v>45778</v>
      </c>
      <c r="B102" s="52">
        <f>'05.25'!L6</f>
        <v>0.21183800623052959</v>
      </c>
      <c r="C102" s="58">
        <f>'05.25'!J6</f>
        <v>136</v>
      </c>
      <c r="E102" s="93">
        <f t="shared" si="3"/>
        <v>992.8</v>
      </c>
    </row>
    <row r="103" spans="1:12" x14ac:dyDescent="0.25">
      <c r="A103" s="51">
        <v>45809</v>
      </c>
      <c r="B103" s="52">
        <f>'06.25'!L6</f>
        <v>0.34890965732087226</v>
      </c>
      <c r="C103" s="58">
        <f>'06.25'!J6</f>
        <v>224</v>
      </c>
      <c r="E103" s="93">
        <f t="shared" si="3"/>
        <v>1635.2</v>
      </c>
    </row>
    <row r="104" spans="1:12" x14ac:dyDescent="0.25">
      <c r="A104" s="51">
        <v>45839</v>
      </c>
      <c r="B104" s="52">
        <f>'07.25'!L6</f>
        <v>0.30529595015576322</v>
      </c>
      <c r="C104" s="58">
        <f>'07.25'!J6</f>
        <v>196</v>
      </c>
      <c r="E104" s="93">
        <f t="shared" si="3"/>
        <v>1430.8</v>
      </c>
    </row>
    <row r="105" spans="1:12" x14ac:dyDescent="0.25">
      <c r="A105" s="51">
        <v>45870</v>
      </c>
      <c r="B105" s="52">
        <f>'08.25'!L6</f>
        <v>0.5</v>
      </c>
      <c r="C105" s="58">
        <f>'08.25'!J6</f>
        <v>321</v>
      </c>
      <c r="E105" s="93">
        <f t="shared" si="3"/>
        <v>2343.2999999999997</v>
      </c>
    </row>
    <row r="106" spans="1:12" x14ac:dyDescent="0.25">
      <c r="A106" s="51">
        <v>45901</v>
      </c>
      <c r="B106" s="52">
        <f>'09.25'!L6</f>
        <v>0.41121495327102803</v>
      </c>
      <c r="C106" s="58">
        <f>'09.25'!J6</f>
        <v>264</v>
      </c>
      <c r="E106" s="93">
        <f t="shared" si="3"/>
        <v>1927.2</v>
      </c>
    </row>
    <row r="107" spans="1:12" x14ac:dyDescent="0.25">
      <c r="A107" s="51">
        <v>45931</v>
      </c>
      <c r="B107" s="52">
        <f>'10.25'!L6</f>
        <v>0.99221183800623058</v>
      </c>
      <c r="C107" s="58">
        <f>'10.25'!J6</f>
        <v>637</v>
      </c>
      <c r="E107" s="93">
        <f t="shared" si="3"/>
        <v>4650.0999999999995</v>
      </c>
    </row>
    <row r="108" spans="1:12" x14ac:dyDescent="0.25">
      <c r="A108" s="51">
        <v>45962</v>
      </c>
      <c r="B108" s="52">
        <f>'11.25'!L6</f>
        <v>0.75545171339563866</v>
      </c>
      <c r="C108" s="58">
        <f>'11.25'!J6</f>
        <v>485</v>
      </c>
      <c r="E108" s="93">
        <f t="shared" si="3"/>
        <v>3540.5</v>
      </c>
    </row>
    <row r="109" spans="1:12" ht="15" customHeight="1" x14ac:dyDescent="0.25">
      <c r="A109" s="51">
        <v>45992</v>
      </c>
      <c r="B109" s="52">
        <f>'12.25'!L6</f>
        <v>0.83177570093457942</v>
      </c>
      <c r="C109" s="58">
        <f>'12.25'!J6</f>
        <v>534</v>
      </c>
      <c r="D109" s="103">
        <f>SUM(C98:C109)</f>
        <v>3816</v>
      </c>
      <c r="E109" s="93">
        <f t="shared" si="3"/>
        <v>3898.2</v>
      </c>
      <c r="F109" s="102">
        <f>SUM(E98:E109)/12</f>
        <v>2321.4</v>
      </c>
      <c r="G109" s="122" t="s">
        <v>2747</v>
      </c>
      <c r="H109" s="122"/>
      <c r="I109" s="122"/>
      <c r="J109" s="122"/>
      <c r="K109" s="122"/>
      <c r="L109" s="122"/>
    </row>
    <row r="110" spans="1:12" x14ac:dyDescent="0.25">
      <c r="A110" s="51">
        <v>46023</v>
      </c>
      <c r="B110" s="52">
        <f>'01.26'!L6</f>
        <v>0.85358255451713394</v>
      </c>
      <c r="C110" s="58">
        <f>'01.26'!J6</f>
        <v>548</v>
      </c>
      <c r="E110" s="93">
        <f>C110*7.47</f>
        <v>4093.56</v>
      </c>
      <c r="F110" s="102"/>
    </row>
    <row r="111" spans="1:12" x14ac:dyDescent="0.25">
      <c r="A111" s="51">
        <v>46054</v>
      </c>
      <c r="B111" s="52">
        <f>'02.26'!L6</f>
        <v>0.49065420560747663</v>
      </c>
      <c r="C111" s="58">
        <f>'02.26'!J6</f>
        <v>315</v>
      </c>
      <c r="E111" s="93">
        <f t="shared" ref="E111:E121" si="4">C111*7.47</f>
        <v>2353.0499999999997</v>
      </c>
      <c r="F111" s="102"/>
    </row>
    <row r="112" spans="1:12" x14ac:dyDescent="0.25">
      <c r="A112" s="51">
        <v>46082</v>
      </c>
      <c r="B112" s="52">
        <f>'03.26'!L6</f>
        <v>0.58255451713395634</v>
      </c>
      <c r="C112" s="58">
        <f>'03.26'!J6</f>
        <v>374</v>
      </c>
      <c r="E112" s="93">
        <f t="shared" si="4"/>
        <v>2793.7799999999997</v>
      </c>
      <c r="F112" s="102"/>
    </row>
    <row r="113" spans="1:6" x14ac:dyDescent="0.25">
      <c r="A113" s="51">
        <v>46113</v>
      </c>
      <c r="B113" s="52">
        <f>'04.26'!L6</f>
        <v>0.84735202492211836</v>
      </c>
      <c r="C113" s="58">
        <f>'04.26'!J6</f>
        <v>544</v>
      </c>
      <c r="E113" s="93">
        <f t="shared" si="4"/>
        <v>4063.68</v>
      </c>
      <c r="F113" s="102"/>
    </row>
    <row r="114" spans="1:6" x14ac:dyDescent="0.25">
      <c r="A114" s="51">
        <v>46143</v>
      </c>
      <c r="B114" s="52">
        <f>'05.26'!L6</f>
        <v>0.31464174454828658</v>
      </c>
      <c r="C114" s="58">
        <f>'05.26'!J6</f>
        <v>202</v>
      </c>
      <c r="E114" s="93">
        <f t="shared" si="4"/>
        <v>1508.94</v>
      </c>
      <c r="F114" s="102"/>
    </row>
    <row r="115" spans="1:6" x14ac:dyDescent="0.25">
      <c r="A115" s="51">
        <v>46174</v>
      </c>
      <c r="B115" s="52">
        <f>'06.26'!L6</f>
        <v>0.76323987538940807</v>
      </c>
      <c r="C115" s="58">
        <f>'06.26'!J6</f>
        <v>490</v>
      </c>
      <c r="E115" s="93">
        <f t="shared" si="4"/>
        <v>3660.2999999999997</v>
      </c>
      <c r="F115" s="102"/>
    </row>
    <row r="116" spans="1:6" x14ac:dyDescent="0.25">
      <c r="A116" s="51">
        <v>46204</v>
      </c>
      <c r="B116" s="52"/>
      <c r="E116" s="93">
        <f t="shared" si="4"/>
        <v>0</v>
      </c>
      <c r="F116" s="102"/>
    </row>
    <row r="117" spans="1:6" x14ac:dyDescent="0.25">
      <c r="A117" s="51">
        <v>46235</v>
      </c>
      <c r="B117" s="52"/>
      <c r="E117" s="93">
        <f t="shared" si="4"/>
        <v>0</v>
      </c>
      <c r="F117" s="102"/>
    </row>
    <row r="118" spans="1:6" x14ac:dyDescent="0.25">
      <c r="A118" s="51">
        <v>46266</v>
      </c>
      <c r="B118" s="52"/>
      <c r="E118" s="93">
        <f t="shared" si="4"/>
        <v>0</v>
      </c>
      <c r="F118" s="102"/>
    </row>
    <row r="119" spans="1:6" x14ac:dyDescent="0.25">
      <c r="A119" s="51">
        <v>46296</v>
      </c>
      <c r="B119" s="52"/>
      <c r="E119" s="93">
        <f t="shared" si="4"/>
        <v>0</v>
      </c>
      <c r="F119" s="102"/>
    </row>
    <row r="120" spans="1:6" x14ac:dyDescent="0.25">
      <c r="A120" s="51">
        <v>46327</v>
      </c>
      <c r="B120" s="52"/>
      <c r="E120" s="93">
        <f t="shared" si="4"/>
        <v>0</v>
      </c>
      <c r="F120" s="102"/>
    </row>
    <row r="121" spans="1:6" x14ac:dyDescent="0.25">
      <c r="A121" s="51">
        <v>46357</v>
      </c>
      <c r="B121" s="52"/>
      <c r="D121" s="103">
        <f>SUM(C110:C121)</f>
        <v>2473</v>
      </c>
      <c r="E121" s="93">
        <f t="shared" si="4"/>
        <v>0</v>
      </c>
      <c r="F121" s="102">
        <f>SUM(E110:E121)/12</f>
        <v>1539.4425000000001</v>
      </c>
    </row>
    <row r="122" spans="1:6" x14ac:dyDescent="0.25">
      <c r="A122" s="51">
        <v>46388</v>
      </c>
      <c r="B122" s="52"/>
      <c r="E122" s="93">
        <f t="shared" ref="E122:E130" si="5">C122*7.3</f>
        <v>0</v>
      </c>
      <c r="F122" s="102"/>
    </row>
    <row r="123" spans="1:6" x14ac:dyDescent="0.25">
      <c r="A123" s="51">
        <v>46419</v>
      </c>
      <c r="B123" s="52"/>
      <c r="E123" s="93">
        <f t="shared" si="5"/>
        <v>0</v>
      </c>
      <c r="F123" s="102"/>
    </row>
    <row r="124" spans="1:6" x14ac:dyDescent="0.25">
      <c r="A124" s="51">
        <v>46447</v>
      </c>
      <c r="B124" s="52"/>
      <c r="E124" s="93">
        <f t="shared" si="5"/>
        <v>0</v>
      </c>
      <c r="F124" s="102"/>
    </row>
    <row r="125" spans="1:6" x14ac:dyDescent="0.25">
      <c r="A125" s="51">
        <v>46478</v>
      </c>
      <c r="B125" s="52"/>
      <c r="E125" s="93">
        <f t="shared" si="5"/>
        <v>0</v>
      </c>
      <c r="F125" s="102"/>
    </row>
    <row r="126" spans="1:6" x14ac:dyDescent="0.25">
      <c r="A126" s="51">
        <v>46508</v>
      </c>
      <c r="B126" s="52"/>
      <c r="E126" s="93">
        <f t="shared" si="5"/>
        <v>0</v>
      </c>
      <c r="F126" s="102"/>
    </row>
    <row r="127" spans="1:6" x14ac:dyDescent="0.25">
      <c r="A127" s="51">
        <v>46539</v>
      </c>
      <c r="B127" s="52"/>
      <c r="E127" s="93">
        <f t="shared" si="5"/>
        <v>0</v>
      </c>
      <c r="F127" s="102"/>
    </row>
    <row r="128" spans="1:6" x14ac:dyDescent="0.25">
      <c r="A128" s="51">
        <v>46569</v>
      </c>
      <c r="B128" s="52"/>
      <c r="E128" s="93">
        <f t="shared" si="5"/>
        <v>0</v>
      </c>
      <c r="F128" s="102"/>
    </row>
    <row r="129" spans="1:6" x14ac:dyDescent="0.25">
      <c r="A129" s="51">
        <v>46600</v>
      </c>
      <c r="B129" s="52"/>
      <c r="E129" s="93">
        <f t="shared" si="5"/>
        <v>0</v>
      </c>
      <c r="F129" s="102"/>
    </row>
    <row r="130" spans="1:6" x14ac:dyDescent="0.25">
      <c r="A130" s="51">
        <v>46631</v>
      </c>
      <c r="B130" s="52"/>
      <c r="E130" s="93">
        <f t="shared" si="5"/>
        <v>0</v>
      </c>
      <c r="F130" s="102"/>
    </row>
    <row r="131" spans="1:6" x14ac:dyDescent="0.25">
      <c r="A131" s="51">
        <v>46661</v>
      </c>
      <c r="B131" s="52"/>
      <c r="E131" s="93">
        <f t="shared" ref="E131:E145" si="6">C131*7.3</f>
        <v>0</v>
      </c>
      <c r="F131" s="102"/>
    </row>
    <row r="132" spans="1:6" x14ac:dyDescent="0.25">
      <c r="A132" s="51">
        <v>46692</v>
      </c>
      <c r="B132" s="52"/>
      <c r="E132" s="93">
        <f t="shared" si="6"/>
        <v>0</v>
      </c>
      <c r="F132" s="102"/>
    </row>
    <row r="133" spans="1:6" x14ac:dyDescent="0.25">
      <c r="A133" s="51">
        <v>46722</v>
      </c>
      <c r="B133" s="52"/>
      <c r="D133" s="103">
        <f>SUM(C122:C133)</f>
        <v>0</v>
      </c>
      <c r="E133" s="93">
        <f t="shared" si="6"/>
        <v>0</v>
      </c>
      <c r="F133" s="102">
        <f>SUM(E122:E133)/12</f>
        <v>0</v>
      </c>
    </row>
    <row r="134" spans="1:6" x14ac:dyDescent="0.25">
      <c r="A134" s="51">
        <v>46753</v>
      </c>
      <c r="B134" s="52"/>
      <c r="E134" s="93">
        <f t="shared" si="6"/>
        <v>0</v>
      </c>
      <c r="F134" s="102"/>
    </row>
    <row r="135" spans="1:6" x14ac:dyDescent="0.25">
      <c r="A135" s="51">
        <v>46784</v>
      </c>
      <c r="B135" s="52"/>
      <c r="E135" s="93">
        <f t="shared" si="6"/>
        <v>0</v>
      </c>
      <c r="F135" s="102"/>
    </row>
    <row r="136" spans="1:6" x14ac:dyDescent="0.25">
      <c r="A136" s="51">
        <v>46813</v>
      </c>
      <c r="B136" s="52"/>
      <c r="E136" s="93">
        <f t="shared" si="6"/>
        <v>0</v>
      </c>
      <c r="F136" s="102"/>
    </row>
    <row r="137" spans="1:6" x14ac:dyDescent="0.25">
      <c r="A137" s="51">
        <v>46844</v>
      </c>
      <c r="B137" s="52"/>
      <c r="E137" s="93">
        <f t="shared" si="6"/>
        <v>0</v>
      </c>
      <c r="F137" s="102"/>
    </row>
    <row r="138" spans="1:6" x14ac:dyDescent="0.25">
      <c r="A138" s="51">
        <v>46874</v>
      </c>
      <c r="B138" s="52"/>
      <c r="E138" s="93">
        <f t="shared" si="6"/>
        <v>0</v>
      </c>
      <c r="F138" s="102"/>
    </row>
    <row r="139" spans="1:6" x14ac:dyDescent="0.25">
      <c r="A139" s="51">
        <v>46905</v>
      </c>
      <c r="B139" s="52"/>
      <c r="E139" s="93">
        <f t="shared" si="6"/>
        <v>0</v>
      </c>
      <c r="F139" s="102"/>
    </row>
    <row r="140" spans="1:6" x14ac:dyDescent="0.25">
      <c r="A140" s="51">
        <v>46935</v>
      </c>
      <c r="B140" s="52"/>
      <c r="E140" s="93">
        <f t="shared" si="6"/>
        <v>0</v>
      </c>
      <c r="F140" s="102"/>
    </row>
    <row r="141" spans="1:6" x14ac:dyDescent="0.25">
      <c r="A141" s="51">
        <v>46966</v>
      </c>
      <c r="B141" s="52"/>
      <c r="E141" s="93">
        <f t="shared" si="6"/>
        <v>0</v>
      </c>
      <c r="F141" s="102"/>
    </row>
    <row r="142" spans="1:6" x14ac:dyDescent="0.25">
      <c r="A142" s="51">
        <v>46997</v>
      </c>
      <c r="B142" s="52"/>
      <c r="E142" s="93">
        <f t="shared" si="6"/>
        <v>0</v>
      </c>
      <c r="F142" s="102"/>
    </row>
    <row r="143" spans="1:6" x14ac:dyDescent="0.25">
      <c r="A143" s="51">
        <v>47027</v>
      </c>
      <c r="B143" s="52"/>
      <c r="E143" s="93">
        <f t="shared" si="6"/>
        <v>0</v>
      </c>
      <c r="F143" s="102"/>
    </row>
    <row r="144" spans="1:6" x14ac:dyDescent="0.25">
      <c r="A144" s="51">
        <v>47058</v>
      </c>
      <c r="B144" s="52"/>
      <c r="E144" s="93">
        <f t="shared" si="6"/>
        <v>0</v>
      </c>
      <c r="F144" s="102"/>
    </row>
    <row r="145" spans="1:6" x14ac:dyDescent="0.25">
      <c r="A145" s="51">
        <v>47088</v>
      </c>
      <c r="B145" s="52"/>
      <c r="D145" s="103">
        <f>SUM(C134:C145)</f>
        <v>0</v>
      </c>
      <c r="E145" s="93">
        <f t="shared" si="6"/>
        <v>0</v>
      </c>
      <c r="F145" s="102">
        <f>SUM(E134:E145)/12</f>
        <v>0</v>
      </c>
    </row>
  </sheetData>
  <customSheetViews>
    <customSheetView guid="{E5A7B818-645B-417C-A128-9FE559D9B124}">
      <pane ySplit="1" topLeftCell="A65" activePane="bottomLeft" state="frozen"/>
      <selection pane="bottomLeft" activeCell="C73" sqref="C73"/>
      <pageMargins left="0.7" right="0.7" top="0.78740157499999996" bottom="0.78740157499999996" header="0.3" footer="0.3"/>
      <pageSetup paperSize="9" orientation="portrait" r:id="rId1"/>
    </customSheetView>
  </customSheetViews>
  <mergeCells count="1">
    <mergeCell ref="G109:L109"/>
  </mergeCells>
  <conditionalFormatting sqref="B1:B1048576">
    <cfRule type="top10" dxfId="1" priority="2" rank="1"/>
  </conditionalFormatting>
  <conditionalFormatting sqref="C1:D1048576">
    <cfRule type="top10" dxfId="0" priority="1" rank="1"/>
  </conditionalFormatting>
  <pageMargins left="0.7" right="0.7" top="0.78740157499999996" bottom="0.78740157499999996" header="0.3" footer="0.3"/>
  <pageSetup paperSize="9" orientation="portrait" r:id="rId2"/>
  <drawing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
  <sheetViews>
    <sheetView topLeftCell="A28" workbookViewId="0">
      <selection activeCell="L31" sqref="L31"/>
    </sheetView>
  </sheetViews>
  <sheetFormatPr baseColWidth="10" defaultColWidth="10.7109375" defaultRowHeight="15" x14ac:dyDescent="0.25"/>
  <sheetData/>
  <customSheetViews>
    <customSheetView guid="{E5A7B818-645B-417C-A128-9FE559D9B124}" topLeftCell="A13">
      <selection activeCell="Q3" sqref="Q3"/>
      <pageMargins left="0.7" right="0.7" top="0.78740157499999996" bottom="0.78740157499999996" header="0.3" footer="0.3"/>
    </customSheetView>
  </customSheetView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119</vt:i4>
      </vt:variant>
      <vt:variant>
        <vt:lpstr>Benannte Bereiche</vt:lpstr>
      </vt:variant>
      <vt:variant>
        <vt:i4>117</vt:i4>
      </vt:variant>
    </vt:vector>
  </HeadingPairs>
  <TitlesOfParts>
    <vt:vector size="236" baseType="lpstr">
      <vt:lpstr>11.16</vt:lpstr>
      <vt:lpstr>12.16</vt:lpstr>
      <vt:lpstr>01.17</vt:lpstr>
      <vt:lpstr>02.17</vt:lpstr>
      <vt:lpstr>03.17</vt:lpstr>
      <vt:lpstr>04.17</vt:lpstr>
      <vt:lpstr>05.17</vt:lpstr>
      <vt:lpstr>06.17</vt:lpstr>
      <vt:lpstr>07.17</vt:lpstr>
      <vt:lpstr>08.17</vt:lpstr>
      <vt:lpstr>09.17</vt:lpstr>
      <vt:lpstr>10.17</vt:lpstr>
      <vt:lpstr>11.17</vt:lpstr>
      <vt:lpstr>12.17</vt:lpstr>
      <vt:lpstr>01.18</vt:lpstr>
      <vt:lpstr>02.18</vt:lpstr>
      <vt:lpstr>03.18</vt:lpstr>
      <vt:lpstr>04.18</vt:lpstr>
      <vt:lpstr>05.18</vt:lpstr>
      <vt:lpstr>06.18</vt:lpstr>
      <vt:lpstr>07.18</vt:lpstr>
      <vt:lpstr>08.18</vt:lpstr>
      <vt:lpstr>09.18</vt:lpstr>
      <vt:lpstr>10.18</vt:lpstr>
      <vt:lpstr>11.18</vt:lpstr>
      <vt:lpstr>12.18</vt:lpstr>
      <vt:lpstr>01.19</vt:lpstr>
      <vt:lpstr>02.19</vt:lpstr>
      <vt:lpstr>03.19</vt:lpstr>
      <vt:lpstr>04.19</vt:lpstr>
      <vt:lpstr>05.19</vt:lpstr>
      <vt:lpstr>06.19</vt:lpstr>
      <vt:lpstr>07.19</vt:lpstr>
      <vt:lpstr>08.19</vt:lpstr>
      <vt:lpstr>09.19</vt:lpstr>
      <vt:lpstr>10.19</vt:lpstr>
      <vt:lpstr>11.19</vt:lpstr>
      <vt:lpstr>12.19</vt:lpstr>
      <vt:lpstr>01.20</vt:lpstr>
      <vt:lpstr>02.20</vt:lpstr>
      <vt:lpstr>03.20</vt:lpstr>
      <vt:lpstr>04.20</vt:lpstr>
      <vt:lpstr>05.20</vt:lpstr>
      <vt:lpstr>06.20</vt:lpstr>
      <vt:lpstr>07.20</vt:lpstr>
      <vt:lpstr>08.20</vt:lpstr>
      <vt:lpstr>09.20</vt:lpstr>
      <vt:lpstr>10.20</vt:lpstr>
      <vt:lpstr>11.20</vt:lpstr>
      <vt:lpstr>12.20</vt:lpstr>
      <vt:lpstr>01.21</vt:lpstr>
      <vt:lpstr>02.21</vt:lpstr>
      <vt:lpstr>03.21</vt:lpstr>
      <vt:lpstr>04.21</vt:lpstr>
      <vt:lpstr>05.21</vt:lpstr>
      <vt:lpstr>06.21</vt:lpstr>
      <vt:lpstr>07.21</vt:lpstr>
      <vt:lpstr>08.21</vt:lpstr>
      <vt:lpstr>09.21</vt:lpstr>
      <vt:lpstr>10.21</vt:lpstr>
      <vt:lpstr>11.21</vt:lpstr>
      <vt:lpstr>12.21</vt:lpstr>
      <vt:lpstr>01.22</vt:lpstr>
      <vt:lpstr>02.22</vt:lpstr>
      <vt:lpstr>03.22</vt:lpstr>
      <vt:lpstr>04.22</vt:lpstr>
      <vt:lpstr>05.22</vt:lpstr>
      <vt:lpstr>06.22</vt:lpstr>
      <vt:lpstr>07.22</vt:lpstr>
      <vt:lpstr>08.22</vt:lpstr>
      <vt:lpstr>09.22</vt:lpstr>
      <vt:lpstr>10.22</vt:lpstr>
      <vt:lpstr>11.22</vt:lpstr>
      <vt:lpstr>12.22</vt:lpstr>
      <vt:lpstr>01.23</vt:lpstr>
      <vt:lpstr>02.23</vt:lpstr>
      <vt:lpstr>03.23</vt:lpstr>
      <vt:lpstr>04.23</vt:lpstr>
      <vt:lpstr>05.23</vt:lpstr>
      <vt:lpstr>06.23</vt:lpstr>
      <vt:lpstr>07.23</vt:lpstr>
      <vt:lpstr>08.23</vt:lpstr>
      <vt:lpstr>09.23</vt:lpstr>
      <vt:lpstr>10.23</vt:lpstr>
      <vt:lpstr>11.23</vt:lpstr>
      <vt:lpstr>12.23</vt:lpstr>
      <vt:lpstr>01.24</vt:lpstr>
      <vt:lpstr>02.24</vt:lpstr>
      <vt:lpstr>03.24</vt:lpstr>
      <vt:lpstr>04.24</vt:lpstr>
      <vt:lpstr>05.24</vt:lpstr>
      <vt:lpstr>06.24</vt:lpstr>
      <vt:lpstr>07.24</vt:lpstr>
      <vt:lpstr>08.24</vt:lpstr>
      <vt:lpstr>09.24</vt:lpstr>
      <vt:lpstr>10.24</vt:lpstr>
      <vt:lpstr>11.24</vt:lpstr>
      <vt:lpstr>12.24</vt:lpstr>
      <vt:lpstr>01.25</vt:lpstr>
      <vt:lpstr>02.25</vt:lpstr>
      <vt:lpstr>03.25</vt:lpstr>
      <vt:lpstr>04.25</vt:lpstr>
      <vt:lpstr>05.25</vt:lpstr>
      <vt:lpstr>06.25</vt:lpstr>
      <vt:lpstr>07.25</vt:lpstr>
      <vt:lpstr>08.25</vt:lpstr>
      <vt:lpstr>09.25</vt:lpstr>
      <vt:lpstr>10.25</vt:lpstr>
      <vt:lpstr>11.25</vt:lpstr>
      <vt:lpstr>12.25</vt:lpstr>
      <vt:lpstr>01.26</vt:lpstr>
      <vt:lpstr>02.26</vt:lpstr>
      <vt:lpstr>03.26</vt:lpstr>
      <vt:lpstr>04.26</vt:lpstr>
      <vt:lpstr>05.26</vt:lpstr>
      <vt:lpstr>06.26</vt:lpstr>
      <vt:lpstr>VORLAGE</vt:lpstr>
      <vt:lpstr>Traffic</vt:lpstr>
      <vt:lpstr>Traffic alle Jahre</vt:lpstr>
      <vt:lpstr>'01.17'!Druckbereich</vt:lpstr>
      <vt:lpstr>'01.18'!Druckbereich</vt:lpstr>
      <vt:lpstr>'01.19'!Druckbereich</vt:lpstr>
      <vt:lpstr>'01.20'!Druckbereich</vt:lpstr>
      <vt:lpstr>'01.21'!Druckbereich</vt:lpstr>
      <vt:lpstr>'01.22'!Druckbereich</vt:lpstr>
      <vt:lpstr>'01.23'!Druckbereich</vt:lpstr>
      <vt:lpstr>'01.24'!Druckbereich</vt:lpstr>
      <vt:lpstr>'01.25'!Druckbereich</vt:lpstr>
      <vt:lpstr>'01.26'!Druckbereich</vt:lpstr>
      <vt:lpstr>'02.17'!Druckbereich</vt:lpstr>
      <vt:lpstr>'02.18'!Druckbereich</vt:lpstr>
      <vt:lpstr>'02.19'!Druckbereich</vt:lpstr>
      <vt:lpstr>'02.20'!Druckbereich</vt:lpstr>
      <vt:lpstr>'02.21'!Druckbereich</vt:lpstr>
      <vt:lpstr>'02.22'!Druckbereich</vt:lpstr>
      <vt:lpstr>'02.23'!Druckbereich</vt:lpstr>
      <vt:lpstr>'02.24'!Druckbereich</vt:lpstr>
      <vt:lpstr>'02.25'!Druckbereich</vt:lpstr>
      <vt:lpstr>'02.26'!Druckbereich</vt:lpstr>
      <vt:lpstr>'03.17'!Druckbereich</vt:lpstr>
      <vt:lpstr>'03.18'!Druckbereich</vt:lpstr>
      <vt:lpstr>'03.19'!Druckbereich</vt:lpstr>
      <vt:lpstr>'03.20'!Druckbereich</vt:lpstr>
      <vt:lpstr>'03.21'!Druckbereich</vt:lpstr>
      <vt:lpstr>'03.22'!Druckbereich</vt:lpstr>
      <vt:lpstr>'03.23'!Druckbereich</vt:lpstr>
      <vt:lpstr>'03.24'!Druckbereich</vt:lpstr>
      <vt:lpstr>'03.25'!Druckbereich</vt:lpstr>
      <vt:lpstr>'03.26'!Druckbereich</vt:lpstr>
      <vt:lpstr>'04.17'!Druckbereich</vt:lpstr>
      <vt:lpstr>'04.18'!Druckbereich</vt:lpstr>
      <vt:lpstr>'04.19'!Druckbereich</vt:lpstr>
      <vt:lpstr>'04.20'!Druckbereich</vt:lpstr>
      <vt:lpstr>'04.21'!Druckbereich</vt:lpstr>
      <vt:lpstr>'04.22'!Druckbereich</vt:lpstr>
      <vt:lpstr>'04.23'!Druckbereich</vt:lpstr>
      <vt:lpstr>'04.24'!Druckbereich</vt:lpstr>
      <vt:lpstr>'04.25'!Druckbereich</vt:lpstr>
      <vt:lpstr>'04.26'!Druckbereich</vt:lpstr>
      <vt:lpstr>'05.17'!Druckbereich</vt:lpstr>
      <vt:lpstr>'05.18'!Druckbereich</vt:lpstr>
      <vt:lpstr>'05.19'!Druckbereich</vt:lpstr>
      <vt:lpstr>'05.20'!Druckbereich</vt:lpstr>
      <vt:lpstr>'05.21'!Druckbereich</vt:lpstr>
      <vt:lpstr>'05.22'!Druckbereich</vt:lpstr>
      <vt:lpstr>'05.23'!Druckbereich</vt:lpstr>
      <vt:lpstr>'05.24'!Druckbereich</vt:lpstr>
      <vt:lpstr>'05.25'!Druckbereich</vt:lpstr>
      <vt:lpstr>'05.26'!Druckbereich</vt:lpstr>
      <vt:lpstr>'06.17'!Druckbereich</vt:lpstr>
      <vt:lpstr>'06.18'!Druckbereich</vt:lpstr>
      <vt:lpstr>'06.19'!Druckbereich</vt:lpstr>
      <vt:lpstr>'06.20'!Druckbereich</vt:lpstr>
      <vt:lpstr>'06.21'!Druckbereich</vt:lpstr>
      <vt:lpstr>'06.22'!Druckbereich</vt:lpstr>
      <vt:lpstr>'06.23'!Druckbereich</vt:lpstr>
      <vt:lpstr>'06.24'!Druckbereich</vt:lpstr>
      <vt:lpstr>'06.25'!Druckbereich</vt:lpstr>
      <vt:lpstr>'06.26'!Druckbereich</vt:lpstr>
      <vt:lpstr>'07.17'!Druckbereich</vt:lpstr>
      <vt:lpstr>'07.18'!Druckbereich</vt:lpstr>
      <vt:lpstr>'07.19'!Druckbereich</vt:lpstr>
      <vt:lpstr>'07.20'!Druckbereich</vt:lpstr>
      <vt:lpstr>'07.21'!Druckbereich</vt:lpstr>
      <vt:lpstr>'07.22'!Druckbereich</vt:lpstr>
      <vt:lpstr>'07.23'!Druckbereich</vt:lpstr>
      <vt:lpstr>'07.24'!Druckbereich</vt:lpstr>
      <vt:lpstr>'07.25'!Druckbereich</vt:lpstr>
      <vt:lpstr>'08.17'!Druckbereich</vt:lpstr>
      <vt:lpstr>'08.18'!Druckbereich</vt:lpstr>
      <vt:lpstr>'08.19'!Druckbereich</vt:lpstr>
      <vt:lpstr>'08.20'!Druckbereich</vt:lpstr>
      <vt:lpstr>'08.21'!Druckbereich</vt:lpstr>
      <vt:lpstr>'08.22'!Druckbereich</vt:lpstr>
      <vt:lpstr>'08.23'!Druckbereich</vt:lpstr>
      <vt:lpstr>'08.24'!Druckbereich</vt:lpstr>
      <vt:lpstr>'08.25'!Druckbereich</vt:lpstr>
      <vt:lpstr>'09.17'!Druckbereich</vt:lpstr>
      <vt:lpstr>'09.18'!Druckbereich</vt:lpstr>
      <vt:lpstr>'09.19'!Druckbereich</vt:lpstr>
      <vt:lpstr>'09.20'!Druckbereich</vt:lpstr>
      <vt:lpstr>'09.21'!Druckbereich</vt:lpstr>
      <vt:lpstr>'09.22'!Druckbereich</vt:lpstr>
      <vt:lpstr>'09.23'!Druckbereich</vt:lpstr>
      <vt:lpstr>'09.24'!Druckbereich</vt:lpstr>
      <vt:lpstr>'09.25'!Druckbereich</vt:lpstr>
      <vt:lpstr>'10.17'!Druckbereich</vt:lpstr>
      <vt:lpstr>'10.18'!Druckbereich</vt:lpstr>
      <vt:lpstr>'10.19'!Druckbereich</vt:lpstr>
      <vt:lpstr>'10.20'!Druckbereich</vt:lpstr>
      <vt:lpstr>'10.21'!Druckbereich</vt:lpstr>
      <vt:lpstr>'10.22'!Druckbereich</vt:lpstr>
      <vt:lpstr>'10.23'!Druckbereich</vt:lpstr>
      <vt:lpstr>'10.24'!Druckbereich</vt:lpstr>
      <vt:lpstr>'10.25'!Druckbereich</vt:lpstr>
      <vt:lpstr>'11.16'!Druckbereich</vt:lpstr>
      <vt:lpstr>'11.17'!Druckbereich</vt:lpstr>
      <vt:lpstr>'11.18'!Druckbereich</vt:lpstr>
      <vt:lpstr>'11.19'!Druckbereich</vt:lpstr>
      <vt:lpstr>'11.20'!Druckbereich</vt:lpstr>
      <vt:lpstr>'11.21'!Druckbereich</vt:lpstr>
      <vt:lpstr>'11.22'!Druckbereich</vt:lpstr>
      <vt:lpstr>'11.23'!Druckbereich</vt:lpstr>
      <vt:lpstr>'11.24'!Druckbereich</vt:lpstr>
      <vt:lpstr>'11.25'!Druckbereich</vt:lpstr>
      <vt:lpstr>'12.16'!Druckbereich</vt:lpstr>
      <vt:lpstr>'12.17'!Druckbereich</vt:lpstr>
      <vt:lpstr>'12.18'!Druckbereich</vt:lpstr>
      <vt:lpstr>'12.19'!Druckbereich</vt:lpstr>
      <vt:lpstr>'12.20'!Druckbereich</vt:lpstr>
      <vt:lpstr>'12.21'!Druckbereich</vt:lpstr>
      <vt:lpstr>'12.22'!Druckbereich</vt:lpstr>
      <vt:lpstr>'12.23'!Druckbereich</vt:lpstr>
      <vt:lpstr>'12.24'!Druckbereich</vt:lpstr>
      <vt:lpstr>'12.25'!Druckbereich</vt:lpstr>
      <vt:lpstr>VORLAGE!Druckbereich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Klüber</dc:creator>
  <cp:keywords/>
  <dc:description/>
  <cp:lastModifiedBy>Martin Klüber</cp:lastModifiedBy>
  <cp:revision/>
  <cp:lastPrinted>2026-06-01T07:19:27Z</cp:lastPrinted>
  <dcterms:created xsi:type="dcterms:W3CDTF">2016-11-08T17:04:18Z</dcterms:created>
  <dcterms:modified xsi:type="dcterms:W3CDTF">2026-06-19T08:07:48Z</dcterms:modified>
  <cp:category/>
  <cp:contentStatus/>
</cp:coreProperties>
</file>