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highspeedkurierde-my.sharepoint.com/personal/mk_highspeedlogistik_de/Documents/M.Klüber(U)/HIGHSPEED/HIGHSPEED - LAGER/20606 · LAGER PANPHARMA, Trittau/PPH-Lagerverwaltung/"/>
    </mc:Choice>
  </mc:AlternateContent>
  <xr:revisionPtr revIDLastSave="302" documentId="11_97305D30DC7911A903A70DA1AF1C957B2A1BB969" xr6:coauthVersionLast="47" xr6:coauthVersionMax="47" xr10:uidLastSave="{9D61F1B9-EEEC-4641-AB2E-FE4C4E0FBD87}"/>
  <bookViews>
    <workbookView xWindow="28680" yWindow="-120" windowWidth="29040" windowHeight="15720" tabRatio="884" activeTab="2" xr2:uid="{00000000-000D-0000-FFFF-FFFF00000000}"/>
  </bookViews>
  <sheets>
    <sheet name="Abrufliste" sheetId="6" r:id="rId1"/>
    <sheet name="DirektABHOLUNG" sheetId="16" r:id="rId2"/>
    <sheet name="Einlagerungsliste DIREKTANL" sheetId="7" r:id="rId3"/>
    <sheet name="MUSTER" sheetId="12" r:id="rId4"/>
    <sheet name="UMlagerung" sheetId="15" r:id="rId5"/>
    <sheet name="UMlag.zur Prüf." sheetId="5" r:id="rId6"/>
    <sheet name="Inventur PPH-nur Archiv" sheetId="14" r:id="rId7"/>
    <sheet name="Einlagerungsliste" sheetId="11" r:id="rId8"/>
    <sheet name="Einlagerungsliste Neue Eb-Numme" sheetId="8" r:id="rId9"/>
    <sheet name="Abrufliste Vorvor-Arbeitstag 10" sheetId="10" r:id="rId10"/>
    <sheet name="Wirtschaftspr.31.12.22" sheetId="13" r:id="rId11"/>
  </sheets>
  <definedNames>
    <definedName name="_xlnm.Print_Area" localSheetId="0">Abrufliste!$A$1:$C$41</definedName>
    <definedName name="_xlnm.Print_Area" localSheetId="9">'Abrufliste Vorvor-Arbeitstag 10'!$A$1:$C$23</definedName>
    <definedName name="_xlnm.Print_Area" localSheetId="1">DirektABHOLUNG!$A$1:$D$65</definedName>
    <definedName name="_xlnm.Print_Area" localSheetId="7">Einlagerungsliste!$A$1:$C$44</definedName>
    <definedName name="_xlnm.Print_Area" localSheetId="2">'Einlagerungsliste DIREKTANL'!$A$1:$C$44</definedName>
    <definedName name="_xlnm.Print_Area" localSheetId="8">'Einlagerungsliste Neue Eb-Numme'!$A$1:$C$69</definedName>
    <definedName name="_xlnm.Print_Area" localSheetId="6">'Inventur PPH-nur Archiv'!$A$1:$D$90</definedName>
    <definedName name="_xlnm.Print_Area" localSheetId="3">MUSTER!$A$1:$D$23</definedName>
    <definedName name="_xlnm.Print_Area" localSheetId="5">'UMlag.zur Prüf.'!$A$1:$D$37</definedName>
    <definedName name="_xlnm.Print_Area" localSheetId="4">UMlagerung!$A$1:$D$37</definedName>
    <definedName name="_xlnm.Print_Area" localSheetId="10">'Wirtschaftspr.31.12.22'!$A$1:$E$146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6" l="1"/>
  <c r="C2" i="6"/>
  <c r="C1" i="11" l="1"/>
  <c r="C1" i="5" l="1"/>
  <c r="C1" i="15" l="1"/>
  <c r="C1" i="14" l="1"/>
  <c r="C1" i="7" l="1"/>
  <c r="B2" i="12" l="1"/>
  <c r="B2" i="10" l="1"/>
  <c r="C2" i="10" s="1"/>
  <c r="C1" i="8" l="1"/>
</calcChain>
</file>

<file path=xl/sharedStrings.xml><?xml version="1.0" encoding="utf-8"?>
<sst xmlns="http://schemas.openxmlformats.org/spreadsheetml/2006/main" count="445" uniqueCount="251">
  <si>
    <r>
      <t>UMLAGERUNG</t>
    </r>
    <r>
      <rPr>
        <b/>
        <sz val="16"/>
        <color rgb="FF00B050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 xml:space="preserve">am </t>
    </r>
  </si>
  <si>
    <t>Pos. Alt</t>
  </si>
  <si>
    <t>Pos. Neu</t>
  </si>
  <si>
    <r>
      <t xml:space="preserve">Panpharma </t>
    </r>
    <r>
      <rPr>
        <b/>
        <sz val="12"/>
        <color rgb="FF00B050"/>
        <rFont val="Arial"/>
        <family val="2"/>
      </rPr>
      <t>Einlagerung am</t>
    </r>
  </si>
  <si>
    <t xml:space="preserve">DIREKTANLIEFERUNG vom </t>
  </si>
  <si>
    <t>Panpharma ABRUF</t>
  </si>
  <si>
    <t>NEUE Eb-Nummern</t>
  </si>
  <si>
    <t>lfd. Nummer</t>
  </si>
  <si>
    <t>Lagerplatz</t>
  </si>
  <si>
    <t>Palettenummer (EB-Nummer)</t>
  </si>
  <si>
    <t>im Tagesverlauf</t>
  </si>
  <si>
    <t>MUSTER</t>
  </si>
  <si>
    <t>Menge</t>
  </si>
  <si>
    <t>EB-Nummer / Ch.Nr.</t>
  </si>
  <si>
    <t>E57</t>
  </si>
  <si>
    <t>Block F</t>
  </si>
  <si>
    <t>E50</t>
  </si>
  <si>
    <t>C63</t>
  </si>
  <si>
    <t>E49</t>
  </si>
  <si>
    <t>Lagerbestand am 31.12.2022</t>
  </si>
  <si>
    <t>Eb-Nr.</t>
  </si>
  <si>
    <t>Datum 
Einlagerung</t>
  </si>
  <si>
    <t>Datum 
Auslagerung</t>
  </si>
  <si>
    <t>C76</t>
  </si>
  <si>
    <t>D78</t>
  </si>
  <si>
    <t>D74</t>
  </si>
  <si>
    <t>D73</t>
  </si>
  <si>
    <t>D72</t>
  </si>
  <si>
    <t>D70</t>
  </si>
  <si>
    <t>B82</t>
  </si>
  <si>
    <t>F35</t>
  </si>
  <si>
    <t>F70</t>
  </si>
  <si>
    <t>F16</t>
  </si>
  <si>
    <t>B34</t>
  </si>
  <si>
    <t>D39</t>
  </si>
  <si>
    <t>D37</t>
  </si>
  <si>
    <t>D02</t>
  </si>
  <si>
    <t>P3</t>
  </si>
  <si>
    <t>D18</t>
  </si>
  <si>
    <t>D16</t>
  </si>
  <si>
    <t>A34</t>
  </si>
  <si>
    <t>A30</t>
  </si>
  <si>
    <t>D12</t>
  </si>
  <si>
    <t>D11</t>
  </si>
  <si>
    <t>C77</t>
  </si>
  <si>
    <t>B30</t>
  </si>
  <si>
    <t>E15</t>
  </si>
  <si>
    <t>E01</t>
  </si>
  <si>
    <t>E31</t>
  </si>
  <si>
    <t>E23</t>
  </si>
  <si>
    <t>D13</t>
  </si>
  <si>
    <t>B33</t>
  </si>
  <si>
    <t>C74</t>
  </si>
  <si>
    <t>C73</t>
  </si>
  <si>
    <t>C26</t>
  </si>
  <si>
    <t>D10</t>
  </si>
  <si>
    <t>D09</t>
  </si>
  <si>
    <t>D08</t>
  </si>
  <si>
    <t>C81</t>
  </si>
  <si>
    <t>C72</t>
  </si>
  <si>
    <t>A39</t>
  </si>
  <si>
    <t>A38</t>
  </si>
  <si>
    <t>A37</t>
  </si>
  <si>
    <t>A36</t>
  </si>
  <si>
    <t>E13</t>
  </si>
  <si>
    <t>F81</t>
  </si>
  <si>
    <t>B36</t>
  </si>
  <si>
    <t>B39</t>
  </si>
  <si>
    <t>E19</t>
  </si>
  <si>
    <t>F34</t>
  </si>
  <si>
    <t>A22</t>
  </si>
  <si>
    <t>A25</t>
  </si>
  <si>
    <t>D21</t>
  </si>
  <si>
    <t>E11</t>
  </si>
  <si>
    <t>F10</t>
  </si>
  <si>
    <t>F11</t>
  </si>
  <si>
    <t>F12</t>
  </si>
  <si>
    <t>D07</t>
  </si>
  <si>
    <t>F13</t>
  </si>
  <si>
    <t>F80</t>
  </si>
  <si>
    <t>B22</t>
  </si>
  <si>
    <t>D17</t>
  </si>
  <si>
    <t>F28</t>
  </si>
  <si>
    <t>F31</t>
  </si>
  <si>
    <t>F30</t>
  </si>
  <si>
    <t>F29</t>
  </si>
  <si>
    <t>letzter 
Lagerplatz</t>
  </si>
  <si>
    <t>A23</t>
  </si>
  <si>
    <t>F09</t>
  </si>
  <si>
    <t>B35</t>
  </si>
  <si>
    <t>B32</t>
  </si>
  <si>
    <t>B31</t>
  </si>
  <si>
    <t>B25</t>
  </si>
  <si>
    <t>B24</t>
  </si>
  <si>
    <t>B29</t>
  </si>
  <si>
    <t>F79</t>
  </si>
  <si>
    <t>A29</t>
  </si>
  <si>
    <t>D03</t>
  </si>
  <si>
    <t>D04</t>
  </si>
  <si>
    <t>C22</t>
  </si>
  <si>
    <t>E20</t>
  </si>
  <si>
    <t>E05</t>
  </si>
  <si>
    <t>D41</t>
  </si>
  <si>
    <t>B79</t>
  </si>
  <si>
    <t>B44</t>
  </si>
  <si>
    <t>C5a</t>
  </si>
  <si>
    <t>Pos.</t>
  </si>
  <si>
    <t>Mengenprüfung durch HS i.A. PPH/Daniel Schidlowski</t>
  </si>
  <si>
    <t xml:space="preserve"> </t>
  </si>
  <si>
    <t>Datum:</t>
  </si>
  <si>
    <t>Inventur am</t>
  </si>
  <si>
    <t>Lagerort</t>
  </si>
  <si>
    <t>Vorhanden?</t>
  </si>
  <si>
    <t>A02</t>
  </si>
  <si>
    <t>D84</t>
  </si>
  <si>
    <t>A08</t>
  </si>
  <si>
    <t>A75</t>
  </si>
  <si>
    <t>E10</t>
  </si>
  <si>
    <t>A07</t>
  </si>
  <si>
    <t>A21</t>
  </si>
  <si>
    <t>A01</t>
  </si>
  <si>
    <t>A61</t>
  </si>
  <si>
    <t>C39</t>
  </si>
  <si>
    <t>A60</t>
  </si>
  <si>
    <t>A59</t>
  </si>
  <si>
    <t>A06</t>
  </si>
  <si>
    <t>E06</t>
  </si>
  <si>
    <t>F47</t>
  </si>
  <si>
    <t>A09</t>
  </si>
  <si>
    <t>F64</t>
  </si>
  <si>
    <t>C16</t>
  </si>
  <si>
    <t>C53</t>
  </si>
  <si>
    <t>F72</t>
  </si>
  <si>
    <t>A10</t>
  </si>
  <si>
    <t>A13</t>
  </si>
  <si>
    <t>A71</t>
  </si>
  <si>
    <t>C09</t>
  </si>
  <si>
    <t>C05</t>
  </si>
  <si>
    <t>A66</t>
  </si>
  <si>
    <t>C36</t>
  </si>
  <si>
    <t>C62</t>
  </si>
  <si>
    <t>C34</t>
  </si>
  <si>
    <t>A04</t>
  </si>
  <si>
    <t>A05</t>
  </si>
  <si>
    <t>A11</t>
  </si>
  <si>
    <t>A12</t>
  </si>
  <si>
    <t>B03</t>
  </si>
  <si>
    <t>C57</t>
  </si>
  <si>
    <t>B01</t>
  </si>
  <si>
    <t>A62</t>
  </si>
  <si>
    <t>A14</t>
  </si>
  <si>
    <t>A17</t>
  </si>
  <si>
    <t>B61</t>
  </si>
  <si>
    <t>P1</t>
  </si>
  <si>
    <t>C42</t>
  </si>
  <si>
    <t>A18</t>
  </si>
  <si>
    <t>C37</t>
  </si>
  <si>
    <t>A44</t>
  </si>
  <si>
    <t>B02</t>
  </si>
  <si>
    <t>C32</t>
  </si>
  <si>
    <t>C35</t>
  </si>
  <si>
    <t>B51</t>
  </si>
  <si>
    <t>nur Archivnummern</t>
  </si>
  <si>
    <t>Pal.Nr. (Archiv)</t>
  </si>
  <si>
    <t>je 4x Markierung anbringen</t>
  </si>
  <si>
    <t>A65</t>
  </si>
  <si>
    <t>B53</t>
  </si>
  <si>
    <t>50-A</t>
  </si>
  <si>
    <t>50-B</t>
  </si>
  <si>
    <t>B54</t>
  </si>
  <si>
    <t>C31</t>
  </si>
  <si>
    <t>B77</t>
  </si>
  <si>
    <t>E03</t>
  </si>
  <si>
    <t xml:space="preserve"> 08.08.24 ausgel. (Schidlowski)</t>
  </si>
  <si>
    <t>21.02.24 ausgel. (Haustechnik)</t>
  </si>
  <si>
    <t>21.06.24 ausgel. (Nonnenkamp)</t>
  </si>
  <si>
    <t>ja</t>
  </si>
  <si>
    <t>LKW 2</t>
  </si>
  <si>
    <t xml:space="preserve">Gestellung zur Überprüfung 
durch PPH </t>
  </si>
  <si>
    <t>Abholtisch</t>
  </si>
  <si>
    <t>E52</t>
  </si>
  <si>
    <t>E53</t>
  </si>
  <si>
    <t>F60</t>
  </si>
  <si>
    <t>LKW 1</t>
  </si>
  <si>
    <t>DirektABHOLUNG</t>
  </si>
  <si>
    <t>04.-05.06.2026</t>
  </si>
  <si>
    <t>08:00-16:00</t>
  </si>
  <si>
    <t>Charge.: 600950</t>
  </si>
  <si>
    <t>INJ3F043</t>
  </si>
  <si>
    <t>Charge.: 600900</t>
  </si>
  <si>
    <t>Charge.: 600960</t>
  </si>
  <si>
    <t>INJ3F005</t>
  </si>
  <si>
    <t>Charge.: 106710</t>
  </si>
  <si>
    <t>bei PPH</t>
  </si>
  <si>
    <t>Charge.: 106720</t>
  </si>
  <si>
    <t>E54</t>
  </si>
  <si>
    <t>E47</t>
  </si>
  <si>
    <t>C04</t>
  </si>
  <si>
    <t>C03</t>
  </si>
  <si>
    <t>E46</t>
  </si>
  <si>
    <t>B12</t>
  </si>
  <si>
    <t>D43</t>
  </si>
  <si>
    <t>D45</t>
  </si>
  <si>
    <t>D46</t>
  </si>
  <si>
    <t>D47</t>
  </si>
  <si>
    <t>D53</t>
  </si>
  <si>
    <t>D62</t>
  </si>
  <si>
    <t>E45</t>
  </si>
  <si>
    <t>F57</t>
  </si>
  <si>
    <t>F59</t>
  </si>
  <si>
    <t>A03</t>
  </si>
  <si>
    <t>A16</t>
  </si>
  <si>
    <t>A19</t>
  </si>
  <si>
    <t>D56</t>
  </si>
  <si>
    <t>E55</t>
  </si>
  <si>
    <t>E56</t>
  </si>
  <si>
    <t>F56</t>
  </si>
  <si>
    <t>E60</t>
  </si>
  <si>
    <t>E62</t>
  </si>
  <si>
    <t>E63</t>
  </si>
  <si>
    <t>B06</t>
  </si>
  <si>
    <t>D58</t>
  </si>
  <si>
    <t>B18</t>
  </si>
  <si>
    <t>A20</t>
  </si>
  <si>
    <t>F78</t>
  </si>
  <si>
    <t>D63</t>
  </si>
  <si>
    <t>D19</t>
  </si>
  <si>
    <t>D20</t>
  </si>
  <si>
    <t>E48</t>
  </si>
  <si>
    <t>E51</t>
  </si>
  <si>
    <t>C47</t>
  </si>
  <si>
    <t>F58</t>
  </si>
  <si>
    <t>F54</t>
  </si>
  <si>
    <t>F52</t>
  </si>
  <si>
    <t>F51</t>
  </si>
  <si>
    <t>A53</t>
  </si>
  <si>
    <t>F50</t>
  </si>
  <si>
    <t>F49</t>
  </si>
  <si>
    <t>F45</t>
  </si>
  <si>
    <t>F44</t>
  </si>
  <si>
    <t>F43</t>
  </si>
  <si>
    <t>Block E</t>
  </si>
  <si>
    <t>heute</t>
  </si>
  <si>
    <t>2026/148-1</t>
  </si>
  <si>
    <t>C23</t>
  </si>
  <si>
    <t>D15</t>
  </si>
  <si>
    <t>E04</t>
  </si>
  <si>
    <t>B26</t>
  </si>
  <si>
    <t>F14</t>
  </si>
  <si>
    <t>C19a</t>
  </si>
  <si>
    <t>18.06.26_1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</si>
</sst>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General"/>
  </numFmts>
  <fonts count="4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00B050"/>
      <name val="Arial"/>
      <family val="2"/>
    </font>
    <font>
      <sz val="11"/>
      <color rgb="FF000000"/>
      <name val="Calibri"/>
      <family val="2"/>
    </font>
    <font>
      <b/>
      <sz val="12"/>
      <color rgb="FF00B05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Calibri"/>
      <family val="2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</font>
    <font>
      <sz val="1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0000"/>
      <name val="Arial"/>
      <family val="2"/>
    </font>
    <font>
      <sz val="9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Times New Roman"/>
      <family val="1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b/>
      <sz val="16"/>
      <color rgb="FFFF0000"/>
      <name val="Calibri"/>
      <family val="2"/>
      <scheme val="minor"/>
    </font>
    <font>
      <b/>
      <sz val="16"/>
      <color rgb="FFFF0000"/>
      <name val="Arial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sz val="16"/>
      <color theme="1"/>
      <name val="Aptos"/>
      <family val="2"/>
    </font>
    <font>
      <sz val="12"/>
      <color theme="1"/>
      <name val="Aptos"/>
      <family val="2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3" fillId="0" borderId="0" applyBorder="0" applyProtection="0"/>
  </cellStyleXfs>
  <cellXfs count="212">
    <xf numFmtId="0" fontId="0" fillId="0" borderId="0" xfId="0"/>
    <xf numFmtId="0" fontId="5" fillId="0" borderId="0" xfId="0" applyFont="1" applyAlignment="1"/>
    <xf numFmtId="0" fontId="9" fillId="0" borderId="0" xfId="0" applyFont="1" applyAlignment="1"/>
    <xf numFmtId="0" fontId="5" fillId="0" borderId="0" xfId="0" applyFont="1" applyAlignment="1">
      <alignment horizontal="center" wrapText="1"/>
    </xf>
    <xf numFmtId="0" fontId="1" fillId="0" borderId="0" xfId="0" applyFont="1" applyAlignment="1"/>
    <xf numFmtId="0" fontId="5" fillId="0" borderId="0" xfId="0" applyFont="1" applyAlignment="1">
      <alignment wrapText="1"/>
    </xf>
    <xf numFmtId="0" fontId="0" fillId="0" borderId="0" xfId="0" applyAlignment="1"/>
    <xf numFmtId="0" fontId="7" fillId="0" borderId="0" xfId="0" applyFont="1" applyAlignment="1">
      <alignment horizontal="right"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0" fillId="0" borderId="0" xfId="0" applyFont="1" applyAlignment="1"/>
    <xf numFmtId="0" fontId="13" fillId="0" borderId="0" xfId="0" applyFont="1" applyAlignment="1">
      <alignment horizontal="right"/>
    </xf>
    <xf numFmtId="14" fontId="6" fillId="0" borderId="0" xfId="0" applyNumberFormat="1" applyFont="1" applyAlignment="1"/>
    <xf numFmtId="14" fontId="14" fillId="0" borderId="0" xfId="0" applyNumberFormat="1" applyFont="1" applyAlignment="1">
      <alignment horizontal="left"/>
    </xf>
    <xf numFmtId="0" fontId="0" fillId="0" borderId="0" xfId="0" applyFill="1" applyBorder="1" applyAlignment="1"/>
    <xf numFmtId="0" fontId="4" fillId="0" borderId="0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/>
    <xf numFmtId="0" fontId="7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17" fillId="0" borderId="0" xfId="0" applyFont="1" applyAlignment="1">
      <alignment horizontal="right" vertical="center"/>
    </xf>
    <xf numFmtId="14" fontId="18" fillId="2" borderId="0" xfId="0" applyNumberFormat="1" applyFont="1" applyFill="1" applyAlignment="1">
      <alignment horizontal="left" wrapText="1"/>
    </xf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8" fillId="0" borderId="0" xfId="0" applyFont="1" applyAlignment="1"/>
    <xf numFmtId="0" fontId="0" fillId="0" borderId="0" xfId="0" applyFill="1" applyAlignment="1"/>
    <xf numFmtId="0" fontId="7" fillId="0" borderId="0" xfId="0" applyFont="1" applyAlignment="1">
      <alignment wrapText="1"/>
    </xf>
    <xf numFmtId="0" fontId="13" fillId="0" borderId="0" xfId="0" applyFont="1" applyAlignment="1">
      <alignment horizontal="right" vertical="center"/>
    </xf>
    <xf numFmtId="0" fontId="0" fillId="0" borderId="0" xfId="0" applyFont="1" applyAlignment="1"/>
    <xf numFmtId="0" fontId="19" fillId="0" borderId="0" xfId="0" applyFont="1" applyAlignment="1">
      <alignment wrapText="1"/>
    </xf>
    <xf numFmtId="0" fontId="0" fillId="0" borderId="0" xfId="0" applyFont="1" applyFill="1" applyAlignment="1"/>
    <xf numFmtId="0" fontId="27" fillId="0" borderId="0" xfId="0" applyFont="1" applyAlignment="1"/>
    <xf numFmtId="0" fontId="2" fillId="0" borderId="0" xfId="0" applyFont="1"/>
    <xf numFmtId="0" fontId="28" fillId="0" borderId="0" xfId="0" applyFont="1" applyAlignment="1">
      <alignment wrapText="1"/>
    </xf>
    <xf numFmtId="0" fontId="28" fillId="0" borderId="0" xfId="0" applyFont="1" applyFill="1" applyBorder="1" applyAlignment="1">
      <alignment wrapText="1"/>
    </xf>
    <xf numFmtId="0" fontId="28" fillId="0" borderId="0" xfId="0" applyFont="1" applyAlignment="1"/>
    <xf numFmtId="0" fontId="29" fillId="0" borderId="0" xfId="0" applyFont="1" applyFill="1" applyAlignment="1"/>
    <xf numFmtId="0" fontId="22" fillId="0" borderId="0" xfId="0" applyFont="1" applyAlignment="1" applyProtection="1">
      <alignment horizontal="left" wrapText="1"/>
      <protection locked="0"/>
    </xf>
    <xf numFmtId="0" fontId="22" fillId="0" borderId="0" xfId="0" applyFont="1" applyAlignment="1" applyProtection="1">
      <alignment wrapText="1"/>
      <protection locked="0"/>
    </xf>
    <xf numFmtId="0" fontId="22" fillId="0" borderId="0" xfId="0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25" fillId="0" borderId="0" xfId="0" applyFont="1" applyAlignment="1" applyProtection="1">
      <protection locked="0"/>
    </xf>
    <xf numFmtId="0" fontId="21" fillId="0" borderId="0" xfId="0" applyFont="1" applyAlignment="1" applyProtection="1"/>
    <xf numFmtId="0" fontId="2" fillId="0" borderId="0" xfId="0" applyFont="1" applyAlignment="1" applyProtection="1"/>
    <xf numFmtId="0" fontId="22" fillId="0" borderId="0" xfId="0" applyFont="1" applyAlignment="1" applyProtection="1">
      <alignment horizontal="left"/>
    </xf>
    <xf numFmtId="14" fontId="22" fillId="0" borderId="0" xfId="0" applyNumberFormat="1" applyFont="1" applyAlignment="1" applyProtection="1">
      <alignment horizontal="left" wrapText="1"/>
    </xf>
    <xf numFmtId="20" fontId="23" fillId="0" borderId="0" xfId="0" applyNumberFormat="1" applyFont="1" applyAlignment="1" applyProtection="1">
      <alignment horizontal="left"/>
    </xf>
    <xf numFmtId="0" fontId="30" fillId="0" borderId="0" xfId="0" applyFont="1" applyAlignment="1" applyProtection="1">
      <alignment horizontal="right"/>
    </xf>
    <xf numFmtId="0" fontId="30" fillId="0" borderId="0" xfId="0" applyFont="1" applyAlignment="1" applyProtection="1">
      <alignment horizontal="left"/>
    </xf>
    <xf numFmtId="0" fontId="24" fillId="0" borderId="0" xfId="0" applyFont="1" applyAlignment="1" applyProtection="1">
      <alignment horizontal="right" wrapText="1"/>
    </xf>
    <xf numFmtId="0" fontId="24" fillId="0" borderId="0" xfId="0" applyFont="1" applyAlignment="1" applyProtection="1">
      <alignment wrapText="1"/>
    </xf>
    <xf numFmtId="0" fontId="24" fillId="0" borderId="0" xfId="0" applyFont="1" applyAlignment="1" applyProtection="1">
      <alignment horizontal="center" wrapText="1"/>
    </xf>
    <xf numFmtId="0" fontId="24" fillId="0" borderId="0" xfId="0" applyFont="1" applyAlignment="1" applyProtection="1"/>
    <xf numFmtId="0" fontId="20" fillId="0" borderId="0" xfId="0" applyFont="1" applyAlignment="1" applyProtection="1">
      <alignment horizontal="right" wrapText="1"/>
    </xf>
    <xf numFmtId="0" fontId="20" fillId="0" borderId="0" xfId="0" applyFont="1" applyAlignment="1" applyProtection="1">
      <alignment wrapText="1"/>
    </xf>
    <xf numFmtId="0" fontId="21" fillId="0" borderId="0" xfId="0" applyFont="1" applyAlignment="1" applyProtection="1">
      <alignment wrapText="1"/>
    </xf>
    <xf numFmtId="0" fontId="20" fillId="0" borderId="0" xfId="0" applyFont="1" applyAlignment="1" applyProtection="1">
      <alignment horizontal="center" wrapText="1"/>
    </xf>
    <xf numFmtId="0" fontId="0" fillId="0" borderId="0" xfId="0" applyAlignment="1" applyProtection="1">
      <alignment vertical="center"/>
    </xf>
    <xf numFmtId="0" fontId="21" fillId="0" borderId="0" xfId="0" applyFont="1" applyAlignment="1" applyProtection="1">
      <alignment horizontal="right"/>
    </xf>
    <xf numFmtId="0" fontId="23" fillId="0" borderId="0" xfId="0" applyFont="1" applyAlignment="1" applyProtection="1">
      <alignment horizontal="left"/>
    </xf>
    <xf numFmtId="0" fontId="0" fillId="0" borderId="0" xfId="0" applyAlignment="1" applyProtection="1">
      <alignment horizontal="justify" vertical="center"/>
    </xf>
    <xf numFmtId="0" fontId="26" fillId="0" borderId="0" xfId="0" applyFont="1" applyAlignment="1" applyProtection="1"/>
    <xf numFmtId="0" fontId="9" fillId="0" borderId="0" xfId="0" applyFont="1" applyAlignment="1" applyProtection="1"/>
    <xf numFmtId="14" fontId="12" fillId="0" borderId="0" xfId="0" applyNumberFormat="1" applyFont="1" applyAlignment="1" applyProtection="1">
      <alignment horizontal="left"/>
    </xf>
    <xf numFmtId="14" fontId="6" fillId="0" borderId="0" xfId="0" applyNumberFormat="1" applyFont="1" applyAlignment="1" applyProtection="1"/>
    <xf numFmtId="14" fontId="6" fillId="0" borderId="0" xfId="0" applyNumberFormat="1" applyFont="1" applyAlignment="1" applyProtection="1">
      <alignment horizontal="left" wrapText="1"/>
    </xf>
    <xf numFmtId="0" fontId="11" fillId="0" borderId="0" xfId="0" applyFont="1" applyAlignment="1" applyProtection="1"/>
    <xf numFmtId="0" fontId="11" fillId="0" borderId="0" xfId="0" applyFont="1" applyAlignment="1" applyProtection="1">
      <alignment wrapText="1"/>
    </xf>
    <xf numFmtId="0" fontId="5" fillId="0" borderId="0" xfId="0" applyFont="1" applyAlignment="1" applyProtection="1">
      <alignment horizontal="right" wrapText="1"/>
    </xf>
    <xf numFmtId="0" fontId="5" fillId="0" borderId="0" xfId="0" applyFont="1" applyAlignment="1" applyProtection="1">
      <alignment wrapText="1"/>
    </xf>
    <xf numFmtId="0" fontId="5" fillId="0" borderId="0" xfId="0" applyFont="1" applyAlignment="1" applyProtection="1">
      <alignment horizontal="center" wrapText="1"/>
    </xf>
    <xf numFmtId="0" fontId="9" fillId="0" borderId="0" xfId="0" applyFont="1" applyAlignment="1" applyProtection="1">
      <alignment wrapText="1"/>
    </xf>
    <xf numFmtId="0" fontId="9" fillId="0" borderId="0" xfId="0" applyFont="1" applyAlignment="1" applyProtection="1">
      <alignment horizontal="right" wrapText="1"/>
    </xf>
    <xf numFmtId="14" fontId="6" fillId="0" borderId="0" xfId="0" applyNumberFormat="1" applyFont="1" applyAlignment="1" applyProtection="1">
      <alignment horizontal="left" wrapText="1"/>
      <protection locked="0"/>
    </xf>
    <xf numFmtId="0" fontId="5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protection locked="0"/>
    </xf>
    <xf numFmtId="0" fontId="5" fillId="0" borderId="0" xfId="0" applyFont="1" applyAlignment="1" applyProtection="1">
      <protection locked="0"/>
    </xf>
    <xf numFmtId="0" fontId="25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11" fillId="0" borderId="0" xfId="0" applyFont="1" applyAlignment="1" applyProtection="1">
      <alignment horizontal="left" wrapText="1"/>
    </xf>
    <xf numFmtId="14" fontId="2" fillId="0" borderId="0" xfId="0" applyNumberFormat="1" applyFont="1" applyAlignment="1" applyProtection="1"/>
    <xf numFmtId="0" fontId="25" fillId="0" borderId="0" xfId="0" applyFont="1" applyAlignment="1" applyProtection="1">
      <alignment horizontal="right"/>
    </xf>
    <xf numFmtId="0" fontId="22" fillId="0" borderId="0" xfId="0" applyFont="1" applyAlignment="1" applyProtection="1">
      <alignment horizontal="left" wrapText="1"/>
    </xf>
    <xf numFmtId="0" fontId="22" fillId="0" borderId="0" xfId="0" applyFont="1" applyAlignment="1" applyProtection="1">
      <alignment wrapText="1"/>
    </xf>
    <xf numFmtId="0" fontId="28" fillId="0" borderId="0" xfId="0" applyFont="1" applyAlignment="1" applyProtection="1">
      <alignment horizontal="left"/>
      <protection locked="0"/>
    </xf>
    <xf numFmtId="0" fontId="2" fillId="0" borderId="0" xfId="0" applyFont="1" applyAlignment="1"/>
    <xf numFmtId="0" fontId="31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14" fontId="22" fillId="0" borderId="0" xfId="0" applyNumberFormat="1" applyFont="1" applyAlignment="1" applyProtection="1">
      <alignment horizontal="left"/>
    </xf>
    <xf numFmtId="14" fontId="23" fillId="0" borderId="0" xfId="0" applyNumberFormat="1" applyFont="1" applyAlignment="1" applyProtection="1">
      <alignment horizontal="left"/>
    </xf>
    <xf numFmtId="0" fontId="32" fillId="0" borderId="0" xfId="0" applyFont="1" applyAlignment="1"/>
    <xf numFmtId="14" fontId="28" fillId="0" borderId="0" xfId="0" applyNumberFormat="1" applyFont="1" applyFill="1" applyAlignment="1"/>
    <xf numFmtId="0" fontId="10" fillId="0" borderId="0" xfId="0" applyFont="1" applyAlignment="1">
      <alignment horizontal="right"/>
    </xf>
    <xf numFmtId="0" fontId="33" fillId="0" borderId="0" xfId="0" applyFont="1" applyAlignment="1"/>
    <xf numFmtId="0" fontId="34" fillId="0" borderId="0" xfId="0" applyFont="1" applyAlignment="1">
      <alignment horizontal="right" vertical="center"/>
    </xf>
    <xf numFmtId="14" fontId="33" fillId="0" borderId="0" xfId="0" applyNumberFormat="1" applyFont="1" applyAlignment="1">
      <alignment horizontal="right"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3" fillId="0" borderId="0" xfId="0" applyFont="1" applyFill="1" applyBorder="1" applyAlignment="1"/>
    <xf numFmtId="0" fontId="34" fillId="0" borderId="0" xfId="0" applyFont="1" applyFill="1" applyBorder="1" applyAlignment="1">
      <alignment wrapText="1"/>
    </xf>
    <xf numFmtId="0" fontId="33" fillId="0" borderId="0" xfId="0" applyFont="1" applyFill="1" applyBorder="1" applyAlignment="1">
      <alignment horizontal="right" wrapText="1"/>
    </xf>
    <xf numFmtId="0" fontId="33" fillId="0" borderId="0" xfId="0" applyFont="1" applyAlignment="1">
      <alignment horizontal="right"/>
    </xf>
    <xf numFmtId="14" fontId="33" fillId="0" borderId="0" xfId="0" applyNumberFormat="1" applyFont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14" fontId="0" fillId="0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14" fontId="33" fillId="0" borderId="0" xfId="0" applyNumberFormat="1" applyFont="1" applyAlignment="1">
      <alignment horizontal="right" vertical="center"/>
    </xf>
    <xf numFmtId="0" fontId="36" fillId="0" borderId="0" xfId="0" applyFont="1" applyAlignment="1"/>
    <xf numFmtId="0" fontId="36" fillId="0" borderId="0" xfId="0" applyFont="1" applyFill="1" applyAlignment="1">
      <alignment horizontal="right"/>
    </xf>
    <xf numFmtId="0" fontId="36" fillId="0" borderId="0" xfId="0" applyFont="1" applyAlignment="1">
      <alignment horizontal="right" wrapText="1"/>
    </xf>
    <xf numFmtId="0" fontId="36" fillId="0" borderId="0" xfId="0" applyFont="1" applyAlignment="1">
      <alignment horizontal="right"/>
    </xf>
    <xf numFmtId="14" fontId="33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4" fontId="36" fillId="0" borderId="0" xfId="0" applyNumberFormat="1" applyFont="1" applyAlignment="1">
      <alignment horizontal="right" wrapText="1"/>
    </xf>
    <xf numFmtId="14" fontId="37" fillId="0" borderId="0" xfId="0" applyNumberFormat="1" applyFont="1" applyAlignment="1">
      <alignment horizontal="right" wrapText="1"/>
    </xf>
    <xf numFmtId="14" fontId="38" fillId="0" borderId="0" xfId="0" applyNumberFormat="1" applyFont="1" applyAlignment="1">
      <alignment horizontal="right" wrapText="1"/>
    </xf>
    <xf numFmtId="14" fontId="34" fillId="0" borderId="0" xfId="0" applyNumberFormat="1" applyFont="1" applyFill="1" applyBorder="1" applyAlignment="1">
      <alignment horizontal="right" wrapText="1"/>
    </xf>
    <xf numFmtId="14" fontId="8" fillId="0" borderId="0" xfId="0" applyNumberFormat="1" applyFont="1" applyAlignment="1" applyProtection="1">
      <alignment horizontal="left" wrapText="1"/>
      <protection locked="0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164" fontId="13" fillId="0" borderId="0" xfId="1" applyFont="1" applyFill="1" applyBorder="1" applyAlignment="1" applyProtection="1">
      <alignment horizontal="center"/>
      <protection locked="0"/>
    </xf>
    <xf numFmtId="164" fontId="13" fillId="0" borderId="0" xfId="1" applyFont="1" applyFill="1" applyAlignment="1" applyProtection="1">
      <alignment horizontal="center"/>
      <protection locked="0"/>
    </xf>
    <xf numFmtId="0" fontId="28" fillId="0" borderId="0" xfId="0" applyFont="1" applyAlignment="1" applyProtection="1">
      <alignment horizontal="left" wrapText="1"/>
    </xf>
    <xf numFmtId="0" fontId="7" fillId="0" borderId="0" xfId="0" applyFont="1" applyAlignment="1">
      <alignment wrapText="1"/>
    </xf>
    <xf numFmtId="0" fontId="27" fillId="0" borderId="0" xfId="0" applyFont="1" applyAlignment="1">
      <alignment horizontal="right"/>
    </xf>
    <xf numFmtId="0" fontId="0" fillId="0" borderId="0" xfId="0" applyFill="1" applyAlignment="1">
      <alignment horizontal="right"/>
    </xf>
    <xf numFmtId="0" fontId="28" fillId="2" borderId="0" xfId="0" applyFont="1" applyFill="1" applyAlignment="1"/>
    <xf numFmtId="0" fontId="2" fillId="0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10" fillId="0" borderId="0" xfId="0" applyFont="1" applyFill="1" applyAlignment="1">
      <alignment horizontal="right"/>
    </xf>
    <xf numFmtId="0" fontId="31" fillId="0" borderId="0" xfId="0" applyFont="1" applyAlignment="1">
      <alignment horizontal="center" vertical="center"/>
    </xf>
    <xf numFmtId="0" fontId="40" fillId="0" borderId="0" xfId="0" applyFont="1" applyAlignment="1" applyProtection="1">
      <alignment horizontal="right"/>
    </xf>
    <xf numFmtId="0" fontId="7" fillId="0" borderId="0" xfId="0" applyFont="1" applyAlignment="1">
      <alignment wrapText="1"/>
    </xf>
    <xf numFmtId="0" fontId="21" fillId="0" borderId="0" xfId="0" applyNumberFormat="1" applyFont="1" applyFill="1" applyBorder="1" applyAlignment="1" applyProtection="1"/>
    <xf numFmtId="0" fontId="2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8" fillId="0" borderId="0" xfId="0" applyFont="1" applyAlignment="1">
      <alignment horizontal="left" wrapText="1"/>
    </xf>
    <xf numFmtId="0" fontId="28" fillId="0" borderId="0" xfId="0" applyFont="1" applyFill="1" applyAlignment="1"/>
    <xf numFmtId="0" fontId="28" fillId="2" borderId="0" xfId="0" applyFont="1" applyFill="1" applyAlignment="1">
      <alignment wrapText="1"/>
    </xf>
    <xf numFmtId="0" fontId="28" fillId="2" borderId="0" xfId="0" applyFont="1" applyFill="1" applyAlignment="1">
      <alignment horizontal="left" wrapText="1"/>
    </xf>
    <xf numFmtId="0" fontId="21" fillId="0" borderId="0" xfId="0" applyFont="1" applyFill="1" applyAlignment="1">
      <alignment horizontal="right"/>
    </xf>
    <xf numFmtId="0" fontId="28" fillId="0" borderId="0" xfId="0" applyFont="1" applyFill="1" applyAlignment="1">
      <alignment horizontal="left"/>
    </xf>
    <xf numFmtId="0" fontId="31" fillId="0" borderId="0" xfId="0" applyFont="1" applyFill="1" applyAlignment="1">
      <alignment horizontal="right"/>
    </xf>
    <xf numFmtId="0" fontId="9" fillId="0" borderId="0" xfId="0" applyFont="1" applyAlignment="1" applyProtection="1">
      <alignment wrapText="1"/>
    </xf>
    <xf numFmtId="0" fontId="5" fillId="0" borderId="0" xfId="0" applyFont="1" applyAlignment="1" applyProtection="1">
      <alignment horizontal="right" wrapText="1"/>
    </xf>
    <xf numFmtId="0" fontId="26" fillId="0" borderId="0" xfId="0" applyFont="1" applyAlignment="1"/>
    <xf numFmtId="0" fontId="2" fillId="0" borderId="0" xfId="0" applyFont="1" applyAlignment="1">
      <alignment horizontal="right"/>
    </xf>
    <xf numFmtId="0" fontId="31" fillId="0" borderId="0" xfId="0" applyFont="1" applyAlignment="1"/>
    <xf numFmtId="0" fontId="21" fillId="0" borderId="0" xfId="0" applyFont="1" applyFill="1" applyBorder="1" applyAlignment="1" applyProtection="1"/>
    <xf numFmtId="0" fontId="30" fillId="0" borderId="0" xfId="0" applyFont="1" applyFill="1" applyBorder="1" applyAlignment="1" applyProtection="1">
      <alignment horizontal="left"/>
    </xf>
    <xf numFmtId="0" fontId="13" fillId="0" borderId="0" xfId="0" applyFont="1" applyFill="1" applyBorder="1" applyAlignment="1">
      <alignment vertical="center"/>
    </xf>
    <xf numFmtId="0" fontId="28" fillId="0" borderId="0" xfId="0" applyFont="1" applyFill="1" applyBorder="1" applyAlignment="1" applyProtection="1">
      <alignment horizontal="left" wrapText="1"/>
    </xf>
    <xf numFmtId="0" fontId="23" fillId="0" borderId="0" xfId="0" applyFont="1" applyFill="1" applyBorder="1" applyAlignment="1" applyProtection="1">
      <alignment horizontal="left"/>
    </xf>
    <xf numFmtId="0" fontId="44" fillId="0" borderId="0" xfId="0" applyFont="1" applyAlignment="1">
      <alignment horizontal="right"/>
    </xf>
    <xf numFmtId="0" fontId="39" fillId="0" borderId="0" xfId="0" applyFont="1" applyAlignment="1">
      <alignment wrapText="1"/>
    </xf>
    <xf numFmtId="0" fontId="45" fillId="0" borderId="0" xfId="0" applyFont="1" applyAlignment="1">
      <alignment vertical="center"/>
    </xf>
    <xf numFmtId="14" fontId="28" fillId="0" borderId="0" xfId="0" applyNumberFormat="1" applyFont="1" applyAlignment="1" applyProtection="1">
      <alignment horizontal="left" wrapText="1"/>
    </xf>
    <xf numFmtId="0" fontId="10" fillId="0" borderId="0" xfId="0" applyFont="1" applyAlignment="1" applyProtection="1">
      <alignment horizontal="left" wrapText="1"/>
    </xf>
    <xf numFmtId="14" fontId="23" fillId="0" borderId="0" xfId="0" applyNumberFormat="1" applyFont="1" applyFill="1" applyBorder="1" applyAlignment="1" applyProtection="1">
      <alignment horizontal="left"/>
    </xf>
    <xf numFmtId="0" fontId="4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right" vertical="center"/>
    </xf>
    <xf numFmtId="0" fontId="0" fillId="0" borderId="0" xfId="0" applyFill="1" applyBorder="1"/>
    <xf numFmtId="0" fontId="22" fillId="0" borderId="0" xfId="0" applyFont="1" applyFill="1" applyBorder="1" applyAlignment="1" applyProtection="1">
      <alignment horizontal="left" wrapText="1"/>
    </xf>
    <xf numFmtId="0" fontId="42" fillId="0" borderId="0" xfId="0" applyFont="1" applyAlignment="1">
      <alignment vertical="center"/>
    </xf>
    <xf numFmtId="0" fontId="28" fillId="0" borderId="0" xfId="0" applyFont="1" applyAlignment="1" applyProtection="1">
      <alignment horizontal="left"/>
    </xf>
    <xf numFmtId="0" fontId="46" fillId="0" borderId="0" xfId="0" applyFont="1" applyAlignment="1" applyProtection="1">
      <alignment horizontal="right" wrapText="1"/>
    </xf>
    <xf numFmtId="0" fontId="2" fillId="0" borderId="0" xfId="0" applyFont="1" applyAlignment="1" applyProtection="1">
      <alignment horizontal="right"/>
    </xf>
    <xf numFmtId="17" fontId="22" fillId="0" borderId="0" xfId="0" applyNumberFormat="1" applyFont="1" applyAlignment="1" applyProtection="1">
      <alignment horizontal="left"/>
    </xf>
    <xf numFmtId="0" fontId="21" fillId="3" borderId="0" xfId="0" applyFont="1" applyFill="1" applyAlignment="1" applyProtection="1"/>
    <xf numFmtId="0" fontId="42" fillId="3" borderId="0" xfId="0" applyFont="1" applyFill="1" applyAlignment="1">
      <alignment vertical="center"/>
    </xf>
    <xf numFmtId="0" fontId="22" fillId="3" borderId="0" xfId="0" applyFont="1" applyFill="1" applyAlignment="1" applyProtection="1">
      <alignment horizontal="left"/>
    </xf>
    <xf numFmtId="0" fontId="21" fillId="3" borderId="0" xfId="0" applyFont="1" applyFill="1" applyBorder="1" applyAlignment="1" applyProtection="1"/>
    <xf numFmtId="0" fontId="28" fillId="3" borderId="0" xfId="0" applyFont="1" applyFill="1" applyAlignment="1" applyProtection="1">
      <alignment horizontal="left" wrapText="1"/>
    </xf>
    <xf numFmtId="0" fontId="28" fillId="3" borderId="0" xfId="0" applyFont="1" applyFill="1" applyBorder="1" applyAlignment="1" applyProtection="1">
      <alignment horizontal="left" wrapText="1"/>
    </xf>
    <xf numFmtId="0" fontId="13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right" vertical="center"/>
    </xf>
    <xf numFmtId="0" fontId="24" fillId="3" borderId="0" xfId="0" applyFont="1" applyFill="1" applyAlignment="1" applyProtection="1">
      <alignment wrapText="1"/>
    </xf>
    <xf numFmtId="0" fontId="24" fillId="3" borderId="0" xfId="0" applyFont="1" applyFill="1" applyAlignment="1" applyProtection="1">
      <alignment horizontal="center" wrapText="1"/>
    </xf>
    <xf numFmtId="0" fontId="24" fillId="3" borderId="0" xfId="0" applyFont="1" applyFill="1" applyAlignment="1" applyProtection="1">
      <alignment horizontal="right" wrapText="1"/>
    </xf>
    <xf numFmtId="0" fontId="2" fillId="3" borderId="0" xfId="0" applyFont="1" applyFill="1" applyAlignment="1">
      <alignment horizontal="right"/>
    </xf>
    <xf numFmtId="0" fontId="2" fillId="3" borderId="0" xfId="0" applyFont="1" applyFill="1" applyBorder="1" applyAlignment="1">
      <alignment horizontal="right"/>
    </xf>
    <xf numFmtId="20" fontId="22" fillId="0" borderId="0" xfId="0" applyNumberFormat="1" applyFont="1" applyAlignment="1" applyProtection="1">
      <alignment horizontal="left"/>
    </xf>
    <xf numFmtId="0" fontId="41" fillId="0" borderId="0" xfId="0" applyFont="1" applyAlignment="1" applyProtection="1">
      <alignment vertical="center"/>
    </xf>
    <xf numFmtId="0" fontId="13" fillId="0" borderId="0" xfId="0" applyFont="1" applyFill="1" applyBorder="1" applyAlignment="1" applyProtection="1">
      <alignment horizontal="right" vertical="center"/>
    </xf>
    <xf numFmtId="0" fontId="13" fillId="0" borderId="0" xfId="0" applyFont="1" applyFill="1" applyBorder="1" applyAlignment="1" applyProtection="1">
      <alignment vertical="center"/>
    </xf>
    <xf numFmtId="0" fontId="0" fillId="0" borderId="0" xfId="0" applyFill="1" applyBorder="1" applyProtection="1"/>
    <xf numFmtId="14" fontId="23" fillId="0" borderId="0" xfId="0" applyNumberFormat="1" applyFont="1" applyAlignment="1" applyProtection="1">
      <alignment horizontal="left"/>
      <protection locked="0"/>
    </xf>
    <xf numFmtId="14" fontId="22" fillId="0" borderId="0" xfId="0" applyNumberFormat="1" applyFont="1" applyAlignment="1" applyProtection="1">
      <alignment horizontal="left"/>
      <protection locked="0"/>
    </xf>
    <xf numFmtId="20" fontId="22" fillId="0" borderId="0" xfId="0" applyNumberFormat="1" applyFont="1" applyAlignment="1" applyProtection="1">
      <alignment horizontal="left"/>
      <protection locked="0"/>
    </xf>
    <xf numFmtId="0" fontId="25" fillId="0" borderId="0" xfId="0" applyFont="1" applyFill="1" applyBorder="1" applyAlignment="1" applyProtection="1">
      <alignment horizontal="right" vertical="center"/>
      <protection locked="0"/>
    </xf>
    <xf numFmtId="14" fontId="23" fillId="0" borderId="0" xfId="0" applyNumberFormat="1" applyFont="1" applyFill="1" applyBorder="1" applyAlignment="1" applyProtection="1">
      <alignment horizontal="left"/>
      <protection locked="0"/>
    </xf>
    <xf numFmtId="0" fontId="21" fillId="0" borderId="0" xfId="0" applyNumberFormat="1" applyFont="1" applyFill="1" applyBorder="1" applyAlignment="1" applyProtection="1">
      <protection locked="0"/>
    </xf>
    <xf numFmtId="0" fontId="42" fillId="0" borderId="0" xfId="0" applyFont="1" applyFill="1" applyBorder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left"/>
      <protection locked="0"/>
    </xf>
    <xf numFmtId="0" fontId="28" fillId="0" borderId="0" xfId="0" applyFont="1" applyAlignment="1" applyProtection="1">
      <alignment horizontal="left" wrapText="1"/>
      <protection locked="0"/>
    </xf>
    <xf numFmtId="14" fontId="28" fillId="0" borderId="0" xfId="0" applyNumberFormat="1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wrapText="1"/>
    </xf>
    <xf numFmtId="0" fontId="5" fillId="0" borderId="0" xfId="0" applyFont="1" applyAlignment="1" applyProtection="1">
      <alignment horizontal="right" wrapText="1"/>
    </xf>
    <xf numFmtId="0" fontId="32" fillId="0" borderId="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 wrapText="1"/>
    </xf>
  </cellXfs>
  <cellStyles count="2">
    <cellStyle name="Excel Built-in Normal" xfId="1" xr:uid="{00000000-0005-0000-0000-000000000000}"/>
    <cellStyle name="Standard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auto="1"/>
          <bgColor rgb="FFFF000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auto="1"/>
          <bgColor rgb="FFFF000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638175</xdr:colOff>
      <xdr:row>12</xdr:row>
      <xdr:rowOff>204787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582025" y="31670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638175</xdr:colOff>
      <xdr:row>12</xdr:row>
      <xdr:rowOff>204787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8943975" y="3338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638175</xdr:colOff>
      <xdr:row>11</xdr:row>
      <xdr:rowOff>204787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8943975" y="31670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zoomScaleNormal="100" workbookViewId="0">
      <selection activeCell="C6" sqref="C6"/>
    </sheetView>
  </sheetViews>
  <sheetFormatPr baseColWidth="10" defaultRowHeight="21" x14ac:dyDescent="0.35"/>
  <cols>
    <col min="1" max="1" width="11.42578125" style="43"/>
    <col min="2" max="2" width="27.42578125" style="44" customWidth="1"/>
    <col min="3" max="3" width="23" style="45" customWidth="1"/>
    <col min="4" max="4" width="11.42578125" style="43"/>
    <col min="5" max="5" width="30.5703125" style="199" customWidth="1"/>
    <col min="6" max="8" width="11.42578125" style="156"/>
    <col min="9" max="16384" width="11.42578125" style="43"/>
  </cols>
  <sheetData>
    <row r="1" spans="1:19" x14ac:dyDescent="0.35">
      <c r="B1" s="44" t="s">
        <v>5</v>
      </c>
      <c r="C1" s="194" t="s">
        <v>243</v>
      </c>
      <c r="E1" s="198"/>
    </row>
    <row r="2" spans="1:19" x14ac:dyDescent="0.35">
      <c r="B2" s="81" t="s">
        <v>109</v>
      </c>
      <c r="C2" s="195">
        <f ca="1">TODAY()</f>
        <v>46192</v>
      </c>
    </row>
    <row r="3" spans="1:19" ht="18.75" x14ac:dyDescent="0.3">
      <c r="B3" s="47" t="s">
        <v>183</v>
      </c>
      <c r="C3" s="196" t="s">
        <v>242</v>
      </c>
    </row>
    <row r="4" spans="1:19" ht="18.75" x14ac:dyDescent="0.3">
      <c r="B4" s="43"/>
      <c r="C4" s="43"/>
    </row>
    <row r="5" spans="1:19" ht="18.75" x14ac:dyDescent="0.3">
      <c r="A5" s="48" t="s">
        <v>7</v>
      </c>
      <c r="B5" s="48" t="s">
        <v>9</v>
      </c>
      <c r="C5" s="49" t="s">
        <v>8</v>
      </c>
      <c r="D5" s="48"/>
    </row>
    <row r="6" spans="1:19" ht="23.25" customHeight="1" x14ac:dyDescent="0.35">
      <c r="A6" s="43">
        <v>1</v>
      </c>
      <c r="B6" s="197">
        <v>649225</v>
      </c>
      <c r="C6" s="202" t="s">
        <v>244</v>
      </c>
      <c r="D6" s="190"/>
      <c r="F6" s="191"/>
      <c r="G6" s="192"/>
      <c r="H6" s="191"/>
      <c r="I6" s="51"/>
      <c r="J6" s="52"/>
      <c r="K6" s="50"/>
      <c r="L6" s="50"/>
      <c r="M6" s="50"/>
      <c r="N6" s="51"/>
      <c r="O6" s="51"/>
      <c r="P6" s="51"/>
      <c r="Q6" s="51"/>
      <c r="R6" s="51"/>
      <c r="S6" s="51"/>
    </row>
    <row r="7" spans="1:19" ht="23.25" customHeight="1" x14ac:dyDescent="0.35">
      <c r="A7" s="43">
        <v>2</v>
      </c>
      <c r="B7" s="197">
        <v>649226</v>
      </c>
      <c r="C7" s="202" t="s">
        <v>77</v>
      </c>
      <c r="D7" s="165"/>
      <c r="F7" s="191"/>
      <c r="G7" s="192"/>
      <c r="H7" s="191"/>
      <c r="I7" s="51"/>
      <c r="J7" s="52"/>
      <c r="K7" s="50"/>
      <c r="L7" s="50"/>
      <c r="M7" s="50"/>
      <c r="N7" s="51"/>
      <c r="O7" s="51"/>
      <c r="P7" s="51"/>
      <c r="Q7" s="51"/>
      <c r="R7" s="51"/>
      <c r="S7" s="51"/>
    </row>
    <row r="8" spans="1:19" ht="23.25" customHeight="1" x14ac:dyDescent="0.35">
      <c r="A8" s="43">
        <v>3</v>
      </c>
      <c r="B8" s="197">
        <v>649227</v>
      </c>
      <c r="C8" s="202" t="s">
        <v>245</v>
      </c>
      <c r="D8" s="190"/>
      <c r="F8" s="191"/>
      <c r="G8" s="192"/>
      <c r="H8" s="191"/>
      <c r="I8" s="51"/>
      <c r="J8" s="52"/>
      <c r="K8" s="50"/>
      <c r="L8" s="50"/>
      <c r="M8" s="50"/>
      <c r="N8" s="51"/>
      <c r="O8" s="51"/>
      <c r="P8" s="51"/>
      <c r="Q8" s="51"/>
      <c r="R8" s="51"/>
      <c r="S8" s="51"/>
    </row>
    <row r="9" spans="1:19" ht="23.25" customHeight="1" x14ac:dyDescent="0.35">
      <c r="A9" s="43">
        <v>4</v>
      </c>
      <c r="B9" s="197">
        <v>649228</v>
      </c>
      <c r="C9" s="202" t="s">
        <v>42</v>
      </c>
      <c r="D9" s="190"/>
      <c r="F9" s="191"/>
      <c r="G9" s="192"/>
      <c r="H9" s="191"/>
      <c r="I9" s="51"/>
      <c r="J9" s="52"/>
      <c r="K9" s="50"/>
      <c r="L9" s="50"/>
      <c r="M9" s="50"/>
      <c r="N9" s="51"/>
      <c r="O9" s="51"/>
      <c r="P9" s="51"/>
      <c r="Q9" s="51"/>
      <c r="R9" s="51"/>
      <c r="S9" s="51"/>
    </row>
    <row r="10" spans="1:19" ht="23.25" customHeight="1" x14ac:dyDescent="0.35">
      <c r="A10" s="43">
        <v>5</v>
      </c>
      <c r="B10" s="197">
        <v>649229</v>
      </c>
      <c r="C10" s="202" t="s">
        <v>246</v>
      </c>
      <c r="D10" s="190"/>
      <c r="F10" s="191"/>
      <c r="G10" s="192"/>
      <c r="H10" s="19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spans="1:19" ht="23.25" customHeight="1" x14ac:dyDescent="0.35">
      <c r="A11" s="43">
        <v>6</v>
      </c>
      <c r="B11" s="197">
        <v>649230</v>
      </c>
      <c r="C11" s="202" t="s">
        <v>69</v>
      </c>
      <c r="D11" s="190"/>
      <c r="F11" s="191"/>
      <c r="G11" s="192"/>
      <c r="H11" s="191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</row>
    <row r="12" spans="1:19" ht="23.25" customHeight="1" x14ac:dyDescent="0.35">
      <c r="A12" s="43">
        <v>7</v>
      </c>
      <c r="B12" s="197">
        <v>649231</v>
      </c>
      <c r="C12" s="202" t="s">
        <v>247</v>
      </c>
      <c r="D12" s="190"/>
      <c r="F12" s="191"/>
      <c r="G12" s="192"/>
      <c r="H12" s="191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</row>
    <row r="13" spans="1:19" ht="23.25" customHeight="1" x14ac:dyDescent="0.35">
      <c r="A13" s="43">
        <v>8</v>
      </c>
      <c r="B13" s="197">
        <v>652838</v>
      </c>
      <c r="C13" s="202" t="s">
        <v>31</v>
      </c>
      <c r="D13" s="190"/>
      <c r="F13" s="191"/>
      <c r="G13" s="192"/>
      <c r="H13" s="191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</row>
    <row r="14" spans="1:19" ht="23.25" customHeight="1" x14ac:dyDescent="0.35">
      <c r="A14" s="43">
        <v>9</v>
      </c>
      <c r="B14" s="197">
        <v>652839</v>
      </c>
      <c r="C14" s="202" t="s">
        <v>248</v>
      </c>
      <c r="D14" s="190"/>
      <c r="F14" s="191"/>
      <c r="G14" s="192"/>
      <c r="H14" s="191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1:19" ht="23.25" customHeight="1" x14ac:dyDescent="0.35">
      <c r="A15" s="43">
        <v>10</v>
      </c>
      <c r="B15" s="197">
        <v>644896</v>
      </c>
      <c r="C15" s="202" t="s">
        <v>15</v>
      </c>
      <c r="D15" s="190"/>
      <c r="F15" s="191"/>
      <c r="G15" s="192"/>
      <c r="H15" s="191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19" ht="23.25" customHeight="1" x14ac:dyDescent="0.35">
      <c r="A16" s="43">
        <v>11</v>
      </c>
      <c r="B16" s="197">
        <v>644897</v>
      </c>
      <c r="C16" s="202" t="s">
        <v>15</v>
      </c>
      <c r="D16" s="190"/>
      <c r="F16" s="191"/>
      <c r="G16" s="192"/>
      <c r="H16" s="191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23.25" customHeight="1" x14ac:dyDescent="0.35">
      <c r="A17" s="43">
        <v>12</v>
      </c>
      <c r="B17" s="197">
        <v>644898</v>
      </c>
      <c r="C17" s="202" t="s">
        <v>15</v>
      </c>
      <c r="D17" s="190"/>
      <c r="F17" s="191"/>
      <c r="G17" s="192"/>
      <c r="H17" s="191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</row>
    <row r="18" spans="1:19" ht="23.25" customHeight="1" x14ac:dyDescent="0.35">
      <c r="A18" s="43">
        <v>13</v>
      </c>
      <c r="B18" s="197">
        <v>644899</v>
      </c>
      <c r="C18" s="202" t="s">
        <v>15</v>
      </c>
      <c r="D18" s="190"/>
      <c r="F18" s="191"/>
      <c r="G18" s="192"/>
      <c r="H18" s="191"/>
      <c r="I18" s="55"/>
      <c r="J18" s="57"/>
      <c r="K18" s="54"/>
      <c r="L18" s="54"/>
      <c r="M18" s="54"/>
      <c r="N18" s="55"/>
      <c r="O18" s="55"/>
      <c r="P18" s="55"/>
      <c r="Q18" s="55"/>
      <c r="R18" s="56"/>
      <c r="S18" s="56"/>
    </row>
    <row r="19" spans="1:19" ht="23.25" customHeight="1" x14ac:dyDescent="0.35">
      <c r="A19" s="43">
        <v>14</v>
      </c>
      <c r="B19" s="197">
        <v>644900</v>
      </c>
      <c r="C19" s="202" t="s">
        <v>15</v>
      </c>
      <c r="D19" s="190"/>
      <c r="F19" s="193"/>
      <c r="G19" s="193"/>
      <c r="H19" s="193"/>
      <c r="I19" s="55"/>
      <c r="J19" s="57"/>
      <c r="K19" s="54"/>
      <c r="L19" s="54"/>
      <c r="M19" s="54"/>
      <c r="N19" s="55"/>
      <c r="O19" s="55"/>
      <c r="P19" s="55"/>
      <c r="Q19" s="55"/>
      <c r="R19" s="56"/>
      <c r="S19" s="56"/>
    </row>
    <row r="20" spans="1:19" ht="23.25" customHeight="1" x14ac:dyDescent="0.35">
      <c r="A20" s="43">
        <v>15</v>
      </c>
      <c r="B20" s="197">
        <v>644901</v>
      </c>
      <c r="C20" s="202" t="s">
        <v>15</v>
      </c>
      <c r="D20" s="190"/>
      <c r="F20" s="193"/>
      <c r="G20" s="193"/>
      <c r="H20" s="193"/>
      <c r="I20" s="55"/>
      <c r="J20" s="57"/>
      <c r="K20" s="54"/>
      <c r="L20" s="54"/>
      <c r="M20" s="54"/>
      <c r="N20" s="55"/>
      <c r="O20" s="55"/>
      <c r="P20" s="55"/>
      <c r="Q20" s="55"/>
      <c r="R20" s="56"/>
      <c r="S20" s="56"/>
    </row>
    <row r="21" spans="1:19" ht="23.25" customHeight="1" x14ac:dyDescent="0.35">
      <c r="A21" s="43">
        <v>16</v>
      </c>
      <c r="B21" s="197">
        <v>644902</v>
      </c>
      <c r="C21" s="202" t="s">
        <v>15</v>
      </c>
      <c r="D21" s="190"/>
      <c r="F21" s="193"/>
      <c r="G21" s="193"/>
      <c r="H21" s="193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spans="1:19" ht="23.25" customHeight="1" x14ac:dyDescent="0.35">
      <c r="A22" s="43">
        <v>17</v>
      </c>
      <c r="B22" s="197">
        <v>648456</v>
      </c>
      <c r="C22" s="202" t="s">
        <v>249</v>
      </c>
      <c r="D22" s="190"/>
      <c r="F22" s="193"/>
      <c r="G22" s="193"/>
      <c r="H22" s="193"/>
    </row>
    <row r="23" spans="1:19" ht="23.25" customHeight="1" x14ac:dyDescent="0.3">
      <c r="A23" s="48"/>
      <c r="B23" s="47" t="s">
        <v>177</v>
      </c>
      <c r="C23" s="189" t="str">
        <f>C3</f>
        <v>heute</v>
      </c>
      <c r="D23" s="190"/>
      <c r="E23" s="200"/>
      <c r="F23" s="193"/>
      <c r="G23" s="193"/>
      <c r="H23" s="193"/>
    </row>
    <row r="24" spans="1:19" ht="23.25" customHeight="1" x14ac:dyDescent="0.3">
      <c r="A24" s="48" t="s">
        <v>7</v>
      </c>
      <c r="B24" s="48" t="s">
        <v>9</v>
      </c>
      <c r="C24" s="49" t="s">
        <v>8</v>
      </c>
      <c r="D24" s="190"/>
      <c r="E24" s="200"/>
      <c r="F24" s="193"/>
      <c r="G24" s="193"/>
      <c r="H24" s="193"/>
    </row>
    <row r="25" spans="1:19" ht="23.25" customHeight="1" x14ac:dyDescent="0.35">
      <c r="A25" s="43">
        <v>18</v>
      </c>
      <c r="B25" s="197">
        <v>653200</v>
      </c>
      <c r="C25" s="202" t="s">
        <v>241</v>
      </c>
      <c r="D25" s="190"/>
      <c r="F25" s="170"/>
    </row>
    <row r="26" spans="1:19" ht="23.25" customHeight="1" x14ac:dyDescent="0.35">
      <c r="A26" s="43">
        <v>19</v>
      </c>
      <c r="B26" s="197">
        <v>653201</v>
      </c>
      <c r="C26" s="202" t="s">
        <v>241</v>
      </c>
      <c r="D26" s="190"/>
    </row>
    <row r="27" spans="1:19" ht="23.25" customHeight="1" x14ac:dyDescent="0.35">
      <c r="A27" s="43">
        <v>20</v>
      </c>
      <c r="B27" s="197">
        <v>653202</v>
      </c>
      <c r="C27" s="202" t="s">
        <v>241</v>
      </c>
      <c r="D27" s="190"/>
      <c r="L27" s="56"/>
    </row>
    <row r="28" spans="1:19" ht="23.25" customHeight="1" x14ac:dyDescent="0.35">
      <c r="A28" s="43">
        <v>21</v>
      </c>
      <c r="B28" s="197">
        <v>653203</v>
      </c>
      <c r="C28" s="203" t="s">
        <v>241</v>
      </c>
      <c r="D28" s="190"/>
    </row>
    <row r="29" spans="1:19" ht="23.25" customHeight="1" x14ac:dyDescent="0.35">
      <c r="A29" s="43">
        <v>22</v>
      </c>
      <c r="B29" s="197">
        <v>653204</v>
      </c>
      <c r="C29" s="203" t="s">
        <v>241</v>
      </c>
      <c r="D29" s="190"/>
      <c r="E29" s="200"/>
    </row>
    <row r="30" spans="1:19" ht="23.25" customHeight="1" x14ac:dyDescent="0.35">
      <c r="A30" s="43">
        <v>23</v>
      </c>
      <c r="B30" s="197">
        <v>653205</v>
      </c>
      <c r="C30" s="202" t="s">
        <v>241</v>
      </c>
      <c r="D30" s="190"/>
      <c r="E30" s="200"/>
    </row>
    <row r="31" spans="1:19" ht="23.25" customHeight="1" x14ac:dyDescent="0.35">
      <c r="A31" s="43">
        <v>24</v>
      </c>
      <c r="B31" s="204"/>
      <c r="C31" s="202"/>
      <c r="D31" s="190"/>
    </row>
    <row r="32" spans="1:19" ht="23.25" customHeight="1" x14ac:dyDescent="0.35">
      <c r="A32" s="43">
        <v>25</v>
      </c>
      <c r="B32" s="204"/>
      <c r="C32" s="202"/>
      <c r="D32" s="190"/>
    </row>
    <row r="33" spans="1:8" ht="23.25" customHeight="1" x14ac:dyDescent="0.35">
      <c r="A33" s="43">
        <v>26</v>
      </c>
      <c r="B33" s="204"/>
      <c r="C33" s="202"/>
      <c r="D33" s="190"/>
    </row>
    <row r="34" spans="1:8" ht="23.25" customHeight="1" x14ac:dyDescent="0.35">
      <c r="A34" s="43">
        <v>27</v>
      </c>
      <c r="B34" s="204"/>
      <c r="C34" s="202"/>
      <c r="D34" s="190"/>
      <c r="E34" s="200"/>
    </row>
    <row r="35" spans="1:8" ht="23.25" customHeight="1" x14ac:dyDescent="0.35">
      <c r="A35" s="43">
        <v>28</v>
      </c>
      <c r="B35" s="204"/>
      <c r="C35" s="202"/>
      <c r="D35" s="190"/>
      <c r="E35" s="200"/>
    </row>
    <row r="36" spans="1:8" ht="23.25" customHeight="1" x14ac:dyDescent="0.35">
      <c r="A36" s="43">
        <v>29</v>
      </c>
      <c r="B36" s="204"/>
      <c r="C36" s="202"/>
      <c r="D36" s="190"/>
    </row>
    <row r="37" spans="1:8" ht="23.25" customHeight="1" x14ac:dyDescent="0.35">
      <c r="A37" s="43">
        <v>30</v>
      </c>
      <c r="B37" s="204"/>
      <c r="C37" s="202"/>
      <c r="D37" s="190"/>
    </row>
    <row r="38" spans="1:8" s="60" customFormat="1" ht="23.25" customHeight="1" x14ac:dyDescent="0.35">
      <c r="A38" s="43">
        <v>31</v>
      </c>
      <c r="B38" s="204"/>
      <c r="C38" s="202"/>
      <c r="D38" s="190"/>
      <c r="E38" s="201"/>
      <c r="F38" s="160"/>
      <c r="G38" s="160"/>
      <c r="H38" s="160"/>
    </row>
    <row r="39" spans="1:8" s="60" customFormat="1" ht="23.25" customHeight="1" x14ac:dyDescent="0.35">
      <c r="A39" s="43">
        <v>32</v>
      </c>
      <c r="B39" s="204"/>
      <c r="C39" s="202"/>
      <c r="D39" s="190"/>
      <c r="E39" s="201"/>
      <c r="F39" s="160"/>
      <c r="G39" s="160"/>
      <c r="H39" s="160"/>
    </row>
    <row r="40" spans="1:8" s="60" customFormat="1" ht="23.25" customHeight="1" x14ac:dyDescent="0.35">
      <c r="A40" s="43">
        <v>33</v>
      </c>
      <c r="B40" s="204"/>
      <c r="C40" s="202"/>
      <c r="E40" s="201"/>
      <c r="F40" s="160"/>
      <c r="G40" s="160"/>
      <c r="H40" s="160"/>
    </row>
    <row r="41" spans="1:8" s="60" customFormat="1" ht="23.25" customHeight="1" x14ac:dyDescent="0.35">
      <c r="A41" s="43">
        <v>34</v>
      </c>
      <c r="B41" s="204"/>
      <c r="C41" s="202"/>
      <c r="D41" s="190"/>
      <c r="E41" s="200"/>
      <c r="F41" s="160"/>
      <c r="G41" s="160"/>
      <c r="H41" s="160"/>
    </row>
    <row r="42" spans="1:8" s="60" customFormat="1" ht="23.25" customHeight="1" x14ac:dyDescent="0.35">
      <c r="A42" s="43"/>
      <c r="B42" s="44"/>
      <c r="C42" s="45"/>
      <c r="D42" s="190"/>
      <c r="E42" s="200"/>
      <c r="F42" s="160"/>
      <c r="G42" s="160"/>
      <c r="H42" s="160"/>
    </row>
    <row r="43" spans="1:8" s="60" customFormat="1" ht="23.25" customHeight="1" x14ac:dyDescent="0.3">
      <c r="A43" s="43"/>
      <c r="B43" s="139"/>
      <c r="C43" s="45"/>
      <c r="E43" s="201"/>
      <c r="F43" s="160"/>
      <c r="G43" s="160"/>
      <c r="H43" s="160"/>
    </row>
    <row r="44" spans="1:8" s="60" customFormat="1" ht="23.25" customHeight="1" x14ac:dyDescent="0.3">
      <c r="A44" s="43"/>
      <c r="B44" s="139"/>
      <c r="D44" s="190"/>
      <c r="E44" s="200"/>
      <c r="F44" s="160"/>
      <c r="G44" s="160"/>
      <c r="H44" s="160"/>
    </row>
    <row r="45" spans="1:8" s="60" customFormat="1" ht="23.25" customHeight="1" x14ac:dyDescent="0.3">
      <c r="A45" s="43"/>
      <c r="C45" s="45"/>
      <c r="D45" s="190"/>
      <c r="E45" s="200"/>
      <c r="F45" s="160"/>
      <c r="G45" s="160"/>
      <c r="H45" s="160"/>
    </row>
    <row r="46" spans="1:8" ht="23.25" customHeight="1" x14ac:dyDescent="0.3">
      <c r="B46" s="61"/>
    </row>
    <row r="47" spans="1:8" ht="23.25" customHeight="1" x14ac:dyDescent="0.3">
      <c r="B47" s="61"/>
    </row>
    <row r="48" spans="1:8" ht="23.25" customHeight="1" x14ac:dyDescent="0.35">
      <c r="D48" s="190"/>
      <c r="E48" s="200"/>
    </row>
    <row r="49" spans="2:5" ht="23.25" customHeight="1" x14ac:dyDescent="0.35">
      <c r="D49" s="190"/>
      <c r="E49" s="200"/>
    </row>
    <row r="50" spans="2:5" ht="23.25" customHeight="1" x14ac:dyDescent="0.3">
      <c r="B50" s="61"/>
    </row>
    <row r="51" spans="2:5" ht="18.75" x14ac:dyDescent="0.3">
      <c r="B51" s="61"/>
    </row>
    <row r="52" spans="2:5" x14ac:dyDescent="0.35">
      <c r="D52" s="190"/>
    </row>
    <row r="53" spans="2:5" x14ac:dyDescent="0.35">
      <c r="D53" s="190"/>
    </row>
    <row r="58" spans="2:5" ht="18.75" x14ac:dyDescent="0.3">
      <c r="B58" s="58"/>
    </row>
    <row r="59" spans="2:5" ht="18.75" x14ac:dyDescent="0.3">
      <c r="B59" s="58"/>
      <c r="E59" s="200"/>
    </row>
    <row r="60" spans="2:5" x14ac:dyDescent="0.35">
      <c r="E60" s="200"/>
    </row>
    <row r="68" spans="2:2" x14ac:dyDescent="0.35">
      <c r="B68" s="62"/>
    </row>
    <row r="69" spans="2:2" x14ac:dyDescent="0.35">
      <c r="B69" s="62"/>
    </row>
    <row r="73" spans="2:2" x14ac:dyDescent="0.35">
      <c r="B73" s="62"/>
    </row>
  </sheetData>
  <sheetProtection algorithmName="SHA-512" hashValue="L2HqU3ItSKjNLax2bxpQOzjtB9IeJCpF2vsP6L4SiXvGWdbDji2yesf8+RtyeFq15dZzxu9/t9Rv+fZH8rq9rw==" saltValue="KAUqpm/ARYlrDzicNUkEkA==" spinCount="100000" sheet="1" objects="1" scenarios="1"/>
  <phoneticPr fontId="43" type="noConversion"/>
  <conditionalFormatting sqref="B42">
    <cfRule type="duplicateValues" dxfId="76" priority="14"/>
  </conditionalFormatting>
  <conditionalFormatting sqref="B43">
    <cfRule type="duplicateValues" dxfId="75" priority="24"/>
  </conditionalFormatting>
  <conditionalFormatting sqref="B43:B44">
    <cfRule type="duplicateValues" dxfId="74" priority="28"/>
    <cfRule type="duplicateValues" dxfId="73" priority="35"/>
    <cfRule type="duplicateValues" dxfId="72" priority="44"/>
  </conditionalFormatting>
  <conditionalFormatting sqref="B61:B1048576 B1:B2">
    <cfRule type="duplicateValues" dxfId="71" priority="106"/>
  </conditionalFormatting>
  <conditionalFormatting sqref="B62:B1048576 B1:B2">
    <cfRule type="duplicateValues" dxfId="70" priority="112"/>
  </conditionalFormatting>
  <conditionalFormatting sqref="B64:B1048576 B1:B2">
    <cfRule type="duplicateValues" dxfId="69" priority="130"/>
  </conditionalFormatting>
  <conditionalFormatting sqref="C6:C22 C24:C44">
    <cfRule type="cellIs" dxfId="68" priority="85" operator="between">
      <formula>"d64"</formula>
      <formula>"d84"</formula>
    </cfRule>
  </conditionalFormatting>
  <conditionalFormatting sqref="C6:C22">
    <cfRule type="duplicateValues" dxfId="67" priority="11"/>
  </conditionalFormatting>
  <conditionalFormatting sqref="C16:C22">
    <cfRule type="duplicateValues" dxfId="66" priority="13"/>
  </conditionalFormatting>
  <conditionalFormatting sqref="C24:C44 C6:C22">
    <cfRule type="duplicateValues" dxfId="65" priority="224"/>
  </conditionalFormatting>
  <conditionalFormatting sqref="D7">
    <cfRule type="duplicateValues" dxfId="64" priority="7"/>
    <cfRule type="cellIs" dxfId="63" priority="8" operator="between">
      <formula>"d64"</formula>
      <formula>"d84"</formula>
    </cfRule>
    <cfRule type="duplicateValues" dxfId="62" priority="9"/>
  </conditionalFormatting>
  <conditionalFormatting sqref="F25">
    <cfRule type="duplicateValues" dxfId="61" priority="228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fitToHeight="2" orientation="portrait" r:id="rId1"/>
  <headerFooter>
    <oddHeader xml:space="preserve">&amp;LEmpfänger:
PANPHARMA GmbH
Bunsenstrasse 4
22946 Trittau
DE&amp;RHIGHSPEED
Inh. Martin Klüber
Otto-Hahn-Str. 3a
22946 Trittau
DE
</oddHeader>
    <oddFooter>&amp;LDruckdatum / Zeit
&amp;D / &amp;T
Seite &amp;P von &amp;N&amp;R------------------------------------------------------------------------
Sendung vollzählig in einwandfreiem Zustand erhalten</oddFooter>
  </headerFooter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A84A-CB7B-4142-BB13-88CE3D50A3F5}">
  <dimension ref="A1:S71"/>
  <sheetViews>
    <sheetView topLeftCell="A53" zoomScaleNormal="100" workbookViewId="0">
      <selection activeCell="A65" sqref="A1:D65"/>
    </sheetView>
  </sheetViews>
  <sheetFormatPr baseColWidth="10" defaultRowHeight="21" x14ac:dyDescent="0.35"/>
  <cols>
    <col min="1" max="1" width="11.42578125" style="43"/>
    <col min="2" max="2" width="27.42578125" style="44" customWidth="1"/>
    <col min="3" max="3" width="23" style="45" customWidth="1"/>
    <col min="4" max="4" width="30.5703125" style="141" customWidth="1"/>
    <col min="5" max="5" width="11.42578125" style="156" customWidth="1"/>
    <col min="6" max="8" width="11.42578125" style="156"/>
    <col min="9" max="16384" width="11.42578125" style="43"/>
  </cols>
  <sheetData>
    <row r="1" spans="1:19" x14ac:dyDescent="0.35">
      <c r="B1" s="44" t="s">
        <v>5</v>
      </c>
      <c r="C1" s="90" t="s">
        <v>184</v>
      </c>
      <c r="D1" s="166"/>
    </row>
    <row r="2" spans="1:19" x14ac:dyDescent="0.35">
      <c r="B2" s="81" t="s">
        <v>109</v>
      </c>
      <c r="C2" s="89" t="s">
        <v>185</v>
      </c>
    </row>
    <row r="3" spans="1:19" ht="18.75" x14ac:dyDescent="0.3">
      <c r="B3" s="47"/>
      <c r="C3" s="175" t="s">
        <v>186</v>
      </c>
    </row>
    <row r="4" spans="1:19" ht="18.75" x14ac:dyDescent="0.3">
      <c r="B4" s="43"/>
      <c r="C4" s="43"/>
    </row>
    <row r="5" spans="1:19" ht="18.75" x14ac:dyDescent="0.3">
      <c r="A5" s="48" t="s">
        <v>7</v>
      </c>
      <c r="B5" s="48" t="s">
        <v>9</v>
      </c>
      <c r="C5" s="49" t="s">
        <v>8</v>
      </c>
      <c r="D5" s="167"/>
      <c r="E5" s="157"/>
    </row>
    <row r="6" spans="1:19" s="176" customFormat="1" ht="23.25" customHeight="1" x14ac:dyDescent="0.35">
      <c r="A6" s="176">
        <v>1</v>
      </c>
      <c r="B6" s="187">
        <v>649362</v>
      </c>
      <c r="C6" s="180" t="s">
        <v>195</v>
      </c>
      <c r="D6" s="177" t="s">
        <v>188</v>
      </c>
      <c r="E6" s="182"/>
      <c r="F6" s="183"/>
      <c r="G6" s="182"/>
      <c r="H6" s="183"/>
      <c r="I6" s="184"/>
      <c r="J6" s="185"/>
      <c r="K6" s="186"/>
      <c r="L6" s="186"/>
      <c r="M6" s="186"/>
      <c r="N6" s="184"/>
      <c r="O6" s="184"/>
      <c r="P6" s="184"/>
      <c r="Q6" s="184"/>
      <c r="R6" s="184"/>
      <c r="S6" s="184"/>
    </row>
    <row r="7" spans="1:19" ht="23.25" customHeight="1" x14ac:dyDescent="0.35">
      <c r="A7" s="43">
        <v>2</v>
      </c>
      <c r="B7" s="154">
        <v>649363</v>
      </c>
      <c r="C7" s="172" t="s">
        <v>196</v>
      </c>
      <c r="D7" s="171" t="s">
        <v>189</v>
      </c>
      <c r="E7" s="158"/>
      <c r="F7" s="168"/>
      <c r="G7" s="158"/>
      <c r="H7" s="168"/>
      <c r="I7" s="51"/>
      <c r="J7" s="52"/>
      <c r="K7" s="50"/>
      <c r="L7" s="50"/>
      <c r="M7" s="50"/>
      <c r="N7" s="51"/>
      <c r="O7" s="51"/>
      <c r="P7" s="51"/>
      <c r="Q7" s="51"/>
      <c r="R7" s="51"/>
      <c r="S7" s="51"/>
    </row>
    <row r="8" spans="1:19" ht="23.25" customHeight="1" x14ac:dyDescent="0.35">
      <c r="A8" s="43">
        <v>3</v>
      </c>
      <c r="B8" s="154">
        <v>649364</v>
      </c>
      <c r="C8" s="130" t="s">
        <v>197</v>
      </c>
      <c r="E8" s="158"/>
      <c r="F8" s="168"/>
      <c r="G8" s="158"/>
      <c r="H8" s="168"/>
      <c r="I8" s="51"/>
      <c r="J8" s="52"/>
      <c r="K8" s="50"/>
      <c r="L8" s="50"/>
      <c r="M8" s="50"/>
      <c r="N8" s="51"/>
      <c r="O8" s="51"/>
      <c r="P8" s="51"/>
      <c r="Q8" s="51"/>
      <c r="R8" s="51"/>
      <c r="S8" s="51"/>
    </row>
    <row r="9" spans="1:19" ht="23.25" customHeight="1" x14ac:dyDescent="0.35">
      <c r="A9" s="43">
        <v>4</v>
      </c>
      <c r="B9" s="154">
        <v>649365</v>
      </c>
      <c r="C9" s="130" t="s">
        <v>198</v>
      </c>
      <c r="E9" s="158"/>
      <c r="F9" s="168"/>
      <c r="G9" s="158"/>
      <c r="H9" s="168"/>
      <c r="I9" s="51"/>
      <c r="J9" s="52"/>
      <c r="K9" s="50"/>
      <c r="L9" s="50"/>
      <c r="M9" s="50"/>
      <c r="N9" s="51"/>
      <c r="O9" s="51"/>
      <c r="P9" s="51"/>
      <c r="Q9" s="51"/>
      <c r="R9" s="51"/>
      <c r="S9" s="51"/>
    </row>
    <row r="10" spans="1:19" ht="23.25" customHeight="1" x14ac:dyDescent="0.35">
      <c r="A10" s="43">
        <v>5</v>
      </c>
      <c r="B10" s="154">
        <v>649366</v>
      </c>
      <c r="C10" s="130" t="s">
        <v>199</v>
      </c>
      <c r="E10" s="158"/>
      <c r="F10" s="168"/>
      <c r="G10" s="158"/>
      <c r="H10" s="168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spans="1:19" ht="23.25" customHeight="1" x14ac:dyDescent="0.35">
      <c r="A11" s="43">
        <v>6</v>
      </c>
      <c r="B11" s="154">
        <v>649367</v>
      </c>
      <c r="C11" s="130" t="s">
        <v>200</v>
      </c>
      <c r="E11" s="158"/>
      <c r="F11" s="168"/>
      <c r="G11" s="158"/>
      <c r="H11" s="168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</row>
    <row r="12" spans="1:19" ht="23.25" customHeight="1" x14ac:dyDescent="0.35">
      <c r="A12" s="43">
        <v>7</v>
      </c>
      <c r="B12" s="154">
        <v>649368</v>
      </c>
      <c r="C12" s="130" t="s">
        <v>133</v>
      </c>
      <c r="D12" s="171"/>
      <c r="E12" s="158"/>
      <c r="F12" s="168"/>
      <c r="G12" s="158"/>
      <c r="H12" s="168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</row>
    <row r="13" spans="1:19" ht="23.25" customHeight="1" x14ac:dyDescent="0.35">
      <c r="A13" s="43">
        <v>8</v>
      </c>
      <c r="B13" s="154">
        <v>649369</v>
      </c>
      <c r="C13" s="130" t="s">
        <v>201</v>
      </c>
      <c r="D13" s="171"/>
      <c r="E13" s="158"/>
      <c r="F13" s="168"/>
      <c r="G13" s="158"/>
      <c r="H13" s="168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</row>
    <row r="14" spans="1:19" ht="23.25" customHeight="1" x14ac:dyDescent="0.35">
      <c r="A14" s="43">
        <v>9</v>
      </c>
      <c r="B14" s="154">
        <v>649370</v>
      </c>
      <c r="C14" s="130" t="s">
        <v>202</v>
      </c>
      <c r="E14" s="158"/>
      <c r="F14" s="168"/>
      <c r="G14" s="158"/>
      <c r="H14" s="168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1:19" ht="23.25" customHeight="1" x14ac:dyDescent="0.35">
      <c r="A15" s="43">
        <v>10</v>
      </c>
      <c r="B15" s="154">
        <v>649371</v>
      </c>
      <c r="C15" s="130" t="s">
        <v>203</v>
      </c>
      <c r="D15" s="171"/>
      <c r="E15" s="158"/>
      <c r="F15" s="168"/>
      <c r="G15" s="158"/>
      <c r="H15" s="168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19" ht="23.25" customHeight="1" x14ac:dyDescent="0.35">
      <c r="A16" s="43">
        <v>11</v>
      </c>
      <c r="B16" s="154">
        <v>649372</v>
      </c>
      <c r="C16" s="130" t="s">
        <v>204</v>
      </c>
      <c r="D16" s="171"/>
      <c r="E16" s="158"/>
      <c r="F16" s="168"/>
      <c r="G16" s="158"/>
      <c r="H16" s="168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23.25" customHeight="1" x14ac:dyDescent="0.35">
      <c r="A17" s="43">
        <v>12</v>
      </c>
      <c r="B17" s="154">
        <v>649373</v>
      </c>
      <c r="C17" s="130" t="s">
        <v>205</v>
      </c>
      <c r="E17" s="158"/>
      <c r="F17" s="168"/>
      <c r="G17" s="158"/>
      <c r="H17" s="168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</row>
    <row r="18" spans="1:19" ht="23.25" customHeight="1" x14ac:dyDescent="0.35">
      <c r="A18" s="43">
        <v>13</v>
      </c>
      <c r="B18" s="154">
        <v>649374</v>
      </c>
      <c r="C18" s="130" t="s">
        <v>206</v>
      </c>
      <c r="E18" s="158"/>
      <c r="F18" s="168"/>
      <c r="G18" s="158"/>
      <c r="H18" s="168"/>
      <c r="I18" s="55"/>
      <c r="J18" s="57"/>
      <c r="K18" s="54"/>
      <c r="L18" s="54"/>
      <c r="M18" s="54"/>
      <c r="N18" s="55"/>
      <c r="O18" s="55"/>
      <c r="P18" s="55"/>
      <c r="Q18" s="55"/>
      <c r="R18" s="56"/>
      <c r="S18" s="56"/>
    </row>
    <row r="19" spans="1:19" ht="23.25" customHeight="1" x14ac:dyDescent="0.35">
      <c r="A19" s="43">
        <v>14</v>
      </c>
      <c r="B19" s="154">
        <v>649375</v>
      </c>
      <c r="C19" s="130" t="s">
        <v>207</v>
      </c>
      <c r="D19" s="171"/>
      <c r="E19" s="169"/>
      <c r="F19" s="169"/>
      <c r="G19" s="169"/>
      <c r="H19" s="169"/>
      <c r="I19" s="55"/>
      <c r="J19" s="57"/>
      <c r="K19" s="54"/>
      <c r="L19" s="54"/>
      <c r="M19" s="54"/>
      <c r="N19" s="55"/>
      <c r="O19" s="55"/>
      <c r="P19" s="55"/>
      <c r="Q19" s="55"/>
      <c r="R19" s="56"/>
      <c r="S19" s="56"/>
    </row>
    <row r="20" spans="1:19" ht="23.25" customHeight="1" x14ac:dyDescent="0.35">
      <c r="A20" s="43">
        <v>15</v>
      </c>
      <c r="B20" s="154">
        <v>649376</v>
      </c>
      <c r="C20" s="130" t="s">
        <v>208</v>
      </c>
      <c r="D20" s="171"/>
      <c r="E20" s="169"/>
      <c r="F20" s="169"/>
      <c r="G20" s="169"/>
      <c r="H20" s="169"/>
      <c r="I20" s="55"/>
      <c r="J20" s="57"/>
      <c r="K20" s="54"/>
      <c r="L20" s="54"/>
      <c r="M20" s="54"/>
      <c r="N20" s="55"/>
      <c r="O20" s="55"/>
      <c r="P20" s="55"/>
      <c r="Q20" s="55"/>
      <c r="R20" s="56"/>
      <c r="S20" s="56"/>
    </row>
    <row r="21" spans="1:19" ht="23.25" customHeight="1" x14ac:dyDescent="0.35">
      <c r="A21" s="43">
        <v>16</v>
      </c>
      <c r="B21" s="154">
        <v>649377</v>
      </c>
      <c r="C21" s="130" t="s">
        <v>209</v>
      </c>
      <c r="E21" s="169"/>
      <c r="F21" s="169"/>
      <c r="G21" s="169"/>
      <c r="H21" s="169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spans="1:19" ht="23.25" customHeight="1" x14ac:dyDescent="0.35">
      <c r="A22" s="43">
        <v>17</v>
      </c>
      <c r="B22" s="154">
        <v>649378</v>
      </c>
      <c r="C22" s="130" t="s">
        <v>210</v>
      </c>
      <c r="E22" s="169"/>
      <c r="F22" s="169"/>
      <c r="G22" s="169"/>
      <c r="H22" s="169"/>
    </row>
    <row r="23" spans="1:19" ht="23.25" customHeight="1" x14ac:dyDescent="0.35">
      <c r="A23" s="43">
        <v>18</v>
      </c>
      <c r="B23" s="154">
        <v>649379</v>
      </c>
      <c r="C23" s="130" t="s">
        <v>211</v>
      </c>
      <c r="D23" s="171"/>
      <c r="E23" s="159"/>
      <c r="F23" s="170"/>
    </row>
    <row r="24" spans="1:19" ht="23.25" customHeight="1" x14ac:dyDescent="0.35">
      <c r="A24" s="43">
        <v>19</v>
      </c>
      <c r="B24" s="154">
        <v>649380</v>
      </c>
      <c r="C24" s="130" t="s">
        <v>212</v>
      </c>
      <c r="D24" s="171"/>
      <c r="E24" s="159"/>
    </row>
    <row r="25" spans="1:19" ht="23.25" customHeight="1" x14ac:dyDescent="0.35">
      <c r="A25" s="43">
        <v>20</v>
      </c>
      <c r="B25" s="154">
        <v>649381</v>
      </c>
      <c r="C25" s="130" t="s">
        <v>213</v>
      </c>
      <c r="E25" s="159"/>
      <c r="L25" s="56"/>
    </row>
    <row r="26" spans="1:19" ht="23.25" customHeight="1" x14ac:dyDescent="0.35">
      <c r="A26" s="43">
        <v>21</v>
      </c>
      <c r="B26" s="154">
        <v>649382</v>
      </c>
      <c r="C26" s="164" t="s">
        <v>214</v>
      </c>
      <c r="D26" s="171"/>
      <c r="E26" s="159"/>
    </row>
    <row r="27" spans="1:19" ht="23.25" customHeight="1" x14ac:dyDescent="0.35">
      <c r="A27" s="43">
        <v>22</v>
      </c>
      <c r="B27" s="154">
        <v>649383</v>
      </c>
      <c r="C27" s="164" t="s">
        <v>215</v>
      </c>
      <c r="D27" s="171"/>
      <c r="E27" s="159"/>
    </row>
    <row r="28" spans="1:19" s="176" customFormat="1" ht="23.25" customHeight="1" x14ac:dyDescent="0.35">
      <c r="A28" s="176">
        <v>23</v>
      </c>
      <c r="B28" s="187">
        <v>649431</v>
      </c>
      <c r="C28" s="180" t="s">
        <v>216</v>
      </c>
      <c r="D28" s="177" t="s">
        <v>188</v>
      </c>
      <c r="E28" s="181"/>
      <c r="F28" s="179"/>
      <c r="G28" s="179"/>
      <c r="H28" s="179"/>
    </row>
    <row r="29" spans="1:19" ht="23.25" customHeight="1" x14ac:dyDescent="0.35">
      <c r="A29" s="43">
        <v>24</v>
      </c>
      <c r="B29" s="154">
        <v>649432</v>
      </c>
      <c r="C29" s="130" t="s">
        <v>217</v>
      </c>
      <c r="D29" s="171" t="s">
        <v>187</v>
      </c>
      <c r="E29" s="159"/>
    </row>
    <row r="30" spans="1:19" ht="23.25" customHeight="1" x14ac:dyDescent="0.35">
      <c r="A30" s="43">
        <v>25</v>
      </c>
      <c r="B30" s="154">
        <v>649433</v>
      </c>
      <c r="C30" s="130" t="s">
        <v>218</v>
      </c>
      <c r="D30" s="171"/>
      <c r="E30" s="159"/>
    </row>
    <row r="31" spans="1:19" ht="23.25" customHeight="1" x14ac:dyDescent="0.35">
      <c r="A31" s="43">
        <v>26</v>
      </c>
      <c r="B31" s="154">
        <v>649434</v>
      </c>
      <c r="C31" s="130" t="s">
        <v>219</v>
      </c>
      <c r="D31" s="171"/>
      <c r="E31" s="159"/>
    </row>
    <row r="32" spans="1:19" ht="23.25" customHeight="1" x14ac:dyDescent="0.35">
      <c r="A32" s="43">
        <v>27</v>
      </c>
      <c r="B32" s="154">
        <v>649435</v>
      </c>
      <c r="C32" s="130" t="s">
        <v>220</v>
      </c>
      <c r="E32" s="159"/>
    </row>
    <row r="33" spans="1:19" ht="23.25" customHeight="1" x14ac:dyDescent="0.35">
      <c r="A33" s="43">
        <v>28</v>
      </c>
      <c r="B33" s="154">
        <v>649436</v>
      </c>
      <c r="C33" s="130" t="s">
        <v>14</v>
      </c>
      <c r="D33" s="171"/>
      <c r="E33" s="159"/>
    </row>
    <row r="34" spans="1:19" ht="23.25" customHeight="1" x14ac:dyDescent="0.35">
      <c r="A34" s="43">
        <v>29</v>
      </c>
      <c r="B34" s="154">
        <v>649437</v>
      </c>
      <c r="C34" s="130" t="s">
        <v>221</v>
      </c>
      <c r="D34" s="171"/>
      <c r="E34" s="159"/>
    </row>
    <row r="35" spans="1:19" ht="23.25" customHeight="1" x14ac:dyDescent="0.35">
      <c r="A35" s="43">
        <v>30</v>
      </c>
      <c r="B35" s="154">
        <v>649438</v>
      </c>
      <c r="C35" s="130" t="s">
        <v>222</v>
      </c>
      <c r="E35" s="159"/>
    </row>
    <row r="36" spans="1:19" s="60" customFormat="1" ht="23.25" customHeight="1" x14ac:dyDescent="0.35">
      <c r="A36" s="43">
        <v>31</v>
      </c>
      <c r="B36" s="154">
        <v>649439</v>
      </c>
      <c r="C36" s="130" t="s">
        <v>18</v>
      </c>
      <c r="D36" s="171"/>
      <c r="E36" s="159"/>
      <c r="F36" s="160"/>
      <c r="G36" s="160"/>
      <c r="H36" s="160"/>
    </row>
    <row r="37" spans="1:19" s="60" customFormat="1" ht="23.25" customHeight="1" x14ac:dyDescent="0.35">
      <c r="A37" s="43">
        <v>32</v>
      </c>
      <c r="B37" s="154">
        <v>649440</v>
      </c>
      <c r="C37" s="130" t="s">
        <v>223</v>
      </c>
      <c r="D37" s="171"/>
      <c r="E37" s="159"/>
      <c r="F37" s="160"/>
      <c r="G37" s="160"/>
      <c r="H37" s="160"/>
    </row>
    <row r="38" spans="1:19" s="60" customFormat="1" ht="23.25" customHeight="1" x14ac:dyDescent="0.35">
      <c r="A38" s="43">
        <v>33</v>
      </c>
      <c r="B38" s="154">
        <v>649441</v>
      </c>
      <c r="C38" s="130" t="s">
        <v>95</v>
      </c>
      <c r="E38" s="160"/>
      <c r="F38" s="160"/>
      <c r="G38" s="160"/>
      <c r="H38" s="160"/>
    </row>
    <row r="39" spans="1:19" s="60" customFormat="1" ht="23.25" customHeight="1" x14ac:dyDescent="0.35">
      <c r="A39" s="43">
        <v>34</v>
      </c>
      <c r="B39" s="154">
        <v>649442</v>
      </c>
      <c r="C39" s="130" t="s">
        <v>224</v>
      </c>
      <c r="E39" s="160"/>
      <c r="F39" s="160"/>
      <c r="G39" s="160"/>
      <c r="H39" s="160"/>
    </row>
    <row r="40" spans="1:19" s="60" customFormat="1" ht="23.25" customHeight="1" x14ac:dyDescent="0.35">
      <c r="A40" s="43">
        <v>35</v>
      </c>
      <c r="B40" s="154">
        <v>649443</v>
      </c>
      <c r="C40" s="39" t="s">
        <v>225</v>
      </c>
      <c r="E40" s="160"/>
      <c r="F40" s="160"/>
      <c r="G40" s="160"/>
      <c r="H40" s="160"/>
    </row>
    <row r="41" spans="1:19" s="60" customFormat="1" ht="23.25" customHeight="1" x14ac:dyDescent="0.35">
      <c r="A41" s="43">
        <v>36</v>
      </c>
      <c r="B41" s="154">
        <v>649444</v>
      </c>
      <c r="C41" s="39" t="s">
        <v>226</v>
      </c>
      <c r="E41" s="160"/>
      <c r="F41" s="160"/>
      <c r="G41" s="160"/>
      <c r="H41" s="160"/>
    </row>
    <row r="42" spans="1:19" s="60" customFormat="1" ht="23.25" customHeight="1" x14ac:dyDescent="0.35">
      <c r="A42" s="43">
        <v>37</v>
      </c>
      <c r="B42" s="154">
        <v>649445</v>
      </c>
      <c r="C42" s="45" t="s">
        <v>227</v>
      </c>
      <c r="E42" s="160"/>
      <c r="F42" s="160"/>
      <c r="G42" s="160"/>
      <c r="H42" s="160"/>
    </row>
    <row r="43" spans="1:19" s="60" customFormat="1" ht="23.25" customHeight="1" x14ac:dyDescent="0.35">
      <c r="A43" s="43">
        <v>38</v>
      </c>
      <c r="B43" s="154">
        <v>649446</v>
      </c>
      <c r="C43" s="45" t="s">
        <v>16</v>
      </c>
      <c r="E43" s="160"/>
      <c r="F43" s="160"/>
      <c r="G43" s="160"/>
      <c r="H43" s="160"/>
    </row>
    <row r="44" spans="1:19" ht="23.25" customHeight="1" x14ac:dyDescent="0.35">
      <c r="A44" s="43">
        <v>39</v>
      </c>
      <c r="B44" s="154">
        <v>649447</v>
      </c>
      <c r="C44" s="45" t="s">
        <v>228</v>
      </c>
    </row>
    <row r="45" spans="1:19" ht="23.25" customHeight="1" x14ac:dyDescent="0.35">
      <c r="A45" s="43">
        <v>40</v>
      </c>
      <c r="B45" s="154">
        <v>649448</v>
      </c>
      <c r="C45" s="45" t="s">
        <v>229</v>
      </c>
    </row>
    <row r="46" spans="1:19" ht="23.25" customHeight="1" x14ac:dyDescent="0.35">
      <c r="A46" s="43">
        <v>41</v>
      </c>
      <c r="B46" s="154">
        <v>649449</v>
      </c>
      <c r="C46" s="45" t="s">
        <v>230</v>
      </c>
      <c r="D46" s="171"/>
    </row>
    <row r="47" spans="1:19" s="179" customFormat="1" ht="23.25" customHeight="1" x14ac:dyDescent="0.35">
      <c r="A47" s="176">
        <v>42</v>
      </c>
      <c r="B47" s="187">
        <v>649454</v>
      </c>
      <c r="C47" s="178" t="s">
        <v>180</v>
      </c>
      <c r="D47" s="177" t="s">
        <v>188</v>
      </c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</row>
    <row r="48" spans="1:19" s="156" customFormat="1" ht="23.25" customHeight="1" x14ac:dyDescent="0.35">
      <c r="A48" s="43">
        <v>43</v>
      </c>
      <c r="B48" s="154">
        <v>649455</v>
      </c>
      <c r="C48" s="45" t="s">
        <v>181</v>
      </c>
      <c r="D48" s="171" t="s">
        <v>190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 spans="1:19" s="156" customFormat="1" x14ac:dyDescent="0.35">
      <c r="A49" s="43">
        <v>44</v>
      </c>
      <c r="B49" s="154">
        <v>649456</v>
      </c>
      <c r="C49" s="45" t="s">
        <v>182</v>
      </c>
      <c r="D49" s="141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1:19" s="179" customFormat="1" x14ac:dyDescent="0.35">
      <c r="A50" s="176">
        <v>45</v>
      </c>
      <c r="B50" s="188">
        <v>560771</v>
      </c>
      <c r="C50" s="178" t="s">
        <v>231</v>
      </c>
      <c r="D50" s="177" t="s">
        <v>191</v>
      </c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</row>
    <row r="51" spans="1:19" s="156" customFormat="1" x14ac:dyDescent="0.35">
      <c r="A51" s="43">
        <v>46</v>
      </c>
      <c r="B51" s="154">
        <v>560773</v>
      </c>
      <c r="C51" s="45" t="s">
        <v>193</v>
      </c>
      <c r="D51" s="171" t="s">
        <v>192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spans="1:19" x14ac:dyDescent="0.35">
      <c r="A52" s="43">
        <v>47</v>
      </c>
      <c r="B52" s="154">
        <v>560774</v>
      </c>
      <c r="C52" s="45" t="s">
        <v>232</v>
      </c>
    </row>
    <row r="53" spans="1:19" x14ac:dyDescent="0.35">
      <c r="A53" s="43">
        <v>48</v>
      </c>
      <c r="B53" s="154">
        <v>560775</v>
      </c>
      <c r="C53" s="45" t="s">
        <v>233</v>
      </c>
    </row>
    <row r="54" spans="1:19" x14ac:dyDescent="0.35">
      <c r="A54" s="43">
        <v>49</v>
      </c>
      <c r="B54" s="154">
        <v>560776</v>
      </c>
      <c r="C54" s="45" t="s">
        <v>234</v>
      </c>
    </row>
    <row r="55" spans="1:19" s="176" customFormat="1" x14ac:dyDescent="0.35">
      <c r="A55" s="176">
        <v>50</v>
      </c>
      <c r="B55" s="187">
        <v>560772</v>
      </c>
      <c r="C55" s="178" t="s">
        <v>235</v>
      </c>
      <c r="D55" s="177" t="s">
        <v>191</v>
      </c>
      <c r="E55" s="179"/>
      <c r="F55" s="179"/>
      <c r="G55" s="179"/>
      <c r="H55" s="179"/>
    </row>
    <row r="56" spans="1:19" s="156" customFormat="1" x14ac:dyDescent="0.35">
      <c r="A56" s="43">
        <v>51</v>
      </c>
      <c r="B56" s="154">
        <v>560778</v>
      </c>
      <c r="C56" s="45" t="s">
        <v>236</v>
      </c>
      <c r="D56" s="171" t="s">
        <v>194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 spans="1:19" s="156" customFormat="1" x14ac:dyDescent="0.35">
      <c r="A57" s="43">
        <v>52</v>
      </c>
      <c r="B57" s="154">
        <v>560779</v>
      </c>
      <c r="C57" s="45" t="s">
        <v>237</v>
      </c>
      <c r="D57" s="167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 spans="1:19" s="156" customFormat="1" x14ac:dyDescent="0.35">
      <c r="A58" s="43">
        <v>53</v>
      </c>
      <c r="B58" s="154">
        <v>560780</v>
      </c>
      <c r="C58" s="45" t="s">
        <v>238</v>
      </c>
      <c r="D58" s="167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 spans="1:19" x14ac:dyDescent="0.35">
      <c r="A59" s="43">
        <v>54</v>
      </c>
      <c r="B59" s="154">
        <v>560781</v>
      </c>
      <c r="C59" s="45" t="s">
        <v>239</v>
      </c>
    </row>
    <row r="60" spans="1:19" x14ac:dyDescent="0.35">
      <c r="A60" s="43">
        <v>55</v>
      </c>
      <c r="B60" s="154">
        <v>560782</v>
      </c>
      <c r="C60" s="45" t="s">
        <v>240</v>
      </c>
    </row>
    <row r="61" spans="1:19" x14ac:dyDescent="0.35">
      <c r="A61" s="43">
        <v>56</v>
      </c>
      <c r="B61" s="174"/>
    </row>
    <row r="62" spans="1:19" x14ac:dyDescent="0.35">
      <c r="A62" s="43">
        <v>57</v>
      </c>
      <c r="B62" s="174"/>
    </row>
    <row r="63" spans="1:19" x14ac:dyDescent="0.35">
      <c r="A63" s="43">
        <v>58</v>
      </c>
      <c r="B63" s="174"/>
    </row>
    <row r="64" spans="1:19" x14ac:dyDescent="0.35">
      <c r="A64" s="43">
        <v>59</v>
      </c>
      <c r="B64" s="174"/>
    </row>
    <row r="65" spans="1:19" x14ac:dyDescent="0.35">
      <c r="A65" s="43">
        <v>60</v>
      </c>
      <c r="B65" s="174"/>
    </row>
    <row r="66" spans="1:19" s="45" customFormat="1" x14ac:dyDescent="0.35">
      <c r="A66" s="43"/>
      <c r="B66" s="62"/>
      <c r="D66" s="141"/>
      <c r="E66" s="156"/>
      <c r="F66" s="156"/>
      <c r="G66" s="156"/>
      <c r="H66" s="156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 spans="1:19" s="45" customFormat="1" x14ac:dyDescent="0.35">
      <c r="A67" s="43"/>
      <c r="B67" s="62"/>
      <c r="D67" s="141"/>
      <c r="E67" s="156"/>
      <c r="F67" s="156"/>
      <c r="G67" s="156"/>
      <c r="H67" s="156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71" spans="1:19" s="45" customFormat="1" x14ac:dyDescent="0.35">
      <c r="A71" s="43"/>
      <c r="B71" s="62"/>
      <c r="D71" s="141"/>
      <c r="E71" s="156"/>
      <c r="F71" s="156"/>
      <c r="G71" s="156"/>
      <c r="H71" s="156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</row>
  </sheetData>
  <conditionalFormatting sqref="B61:B1048576 B1:B2">
    <cfRule type="duplicateValues" dxfId="60" priority="15"/>
    <cfRule type="duplicateValues" dxfId="59" priority="16"/>
  </conditionalFormatting>
  <conditionalFormatting sqref="B62:B1048576 B1:B2">
    <cfRule type="duplicateValues" dxfId="58" priority="17"/>
  </conditionalFormatting>
  <conditionalFormatting sqref="B6:C65">
    <cfRule type="duplicateValues" dxfId="57" priority="1"/>
  </conditionalFormatting>
  <conditionalFormatting sqref="C6 C8:C22">
    <cfRule type="duplicateValues" dxfId="56" priority="5"/>
  </conditionalFormatting>
  <conditionalFormatting sqref="C6 C8:C42">
    <cfRule type="duplicateValues" dxfId="55" priority="233"/>
  </conditionalFormatting>
  <conditionalFormatting sqref="C8:C42 C6">
    <cfRule type="cellIs" dxfId="54" priority="14" operator="between">
      <formula>"d64"</formula>
      <formula>"d84"</formula>
    </cfRule>
  </conditionalFormatting>
  <conditionalFormatting sqref="C16:C22">
    <cfRule type="duplicateValues" dxfId="53" priority="6"/>
  </conditionalFormatting>
  <conditionalFormatting sqref="E23:E37">
    <cfRule type="cellIs" dxfId="52" priority="8" operator="between">
      <formula>"d64"</formula>
      <formula>"d84"</formula>
    </cfRule>
    <cfRule type="duplicateValues" dxfId="51" priority="9"/>
  </conditionalFormatting>
  <conditionalFormatting sqref="F23">
    <cfRule type="duplicateValues" dxfId="50" priority="19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90" fitToHeight="2" orientation="portrait" r:id="rId1"/>
  <headerFooter>
    <oddHeader xml:space="preserve">&amp;LEmpfänger:
PANPHARMA GmbH
Bunsenstrasse 4
22946 Trittau
DE&amp;RHIGHSPEED
Inh. Martin Klüber
Otto-Hahn-Str. 3a
22946 Trittau
DE
</oddHeader>
    <oddFooter>&amp;LDruckdatum / Zeit
&amp;D / &amp;T
Seite &amp;P von &amp;N&amp;R------------------------------------------------------------------------
Sendung vollzählig in einwandfreiem Zustand erhalten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85"/>
  <sheetViews>
    <sheetView tabSelected="1" workbookViewId="0">
      <selection activeCell="C14" sqref="C14"/>
    </sheetView>
  </sheetViews>
  <sheetFormatPr baseColWidth="10" defaultRowHeight="15" x14ac:dyDescent="0.2"/>
  <cols>
    <col min="1" max="1" width="11.42578125" style="63"/>
    <col min="2" max="2" width="32.85546875" style="63" customWidth="1"/>
    <col min="3" max="3" width="23" style="67" customWidth="1"/>
    <col min="4" max="4" width="23" style="63" customWidth="1"/>
    <col min="5" max="16384" width="11.42578125" style="63"/>
  </cols>
  <sheetData>
    <row r="1" spans="1:40" ht="15.75" x14ac:dyDescent="0.25">
      <c r="B1" s="63" t="s">
        <v>3</v>
      </c>
      <c r="C1" s="64">
        <f ca="1">TODAY()</f>
        <v>46192</v>
      </c>
    </row>
    <row r="2" spans="1:40" x14ac:dyDescent="0.2">
      <c r="B2" s="65" t="s">
        <v>4</v>
      </c>
      <c r="C2" s="74" t="s">
        <v>250</v>
      </c>
    </row>
    <row r="4" spans="1:40" x14ac:dyDescent="0.2">
      <c r="A4" s="48" t="s">
        <v>7</v>
      </c>
      <c r="B4" s="48" t="s">
        <v>9</v>
      </c>
      <c r="C4" s="49" t="s">
        <v>8</v>
      </c>
    </row>
    <row r="5" spans="1:40" ht="23.25" customHeight="1" x14ac:dyDescent="0.35">
      <c r="A5" s="63">
        <v>1</v>
      </c>
      <c r="B5" s="86">
        <v>655564</v>
      </c>
      <c r="C5" s="130"/>
      <c r="D5" s="152"/>
      <c r="E5" s="70"/>
      <c r="F5" s="69"/>
      <c r="G5" s="71"/>
      <c r="H5" s="70"/>
      <c r="I5" s="70"/>
      <c r="J5" s="72"/>
      <c r="K5" s="69"/>
      <c r="L5" s="69"/>
      <c r="M5" s="70"/>
      <c r="N5" s="70"/>
      <c r="O5" s="73"/>
      <c r="P5" s="69"/>
      <c r="Q5" s="70"/>
      <c r="R5" s="70"/>
      <c r="S5" s="70"/>
      <c r="T5" s="70"/>
      <c r="U5" s="70"/>
      <c r="V5" s="73"/>
    </row>
    <row r="6" spans="1:40" ht="23.25" customHeight="1" x14ac:dyDescent="0.35">
      <c r="A6" s="63">
        <v>2</v>
      </c>
      <c r="B6" s="86">
        <v>655565</v>
      </c>
      <c r="C6" s="130"/>
      <c r="D6" s="152"/>
      <c r="E6" s="70"/>
      <c r="F6" s="69"/>
      <c r="G6" s="71"/>
      <c r="H6" s="70"/>
      <c r="I6" s="70"/>
      <c r="J6" s="72"/>
      <c r="K6" s="69"/>
      <c r="L6" s="69"/>
      <c r="M6" s="70"/>
      <c r="N6" s="70"/>
      <c r="O6" s="73"/>
      <c r="P6" s="69"/>
      <c r="Q6" s="70"/>
      <c r="R6" s="70"/>
      <c r="S6" s="70"/>
      <c r="T6" s="70"/>
      <c r="U6" s="72"/>
      <c r="V6" s="72"/>
    </row>
    <row r="7" spans="1:40" ht="23.25" customHeight="1" x14ac:dyDescent="0.35">
      <c r="A7" s="63">
        <v>3</v>
      </c>
      <c r="B7" s="86">
        <v>655566</v>
      </c>
      <c r="C7" s="130"/>
      <c r="D7" s="151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</row>
    <row r="8" spans="1:40" ht="23.25" customHeight="1" x14ac:dyDescent="0.35">
      <c r="A8" s="63">
        <v>4</v>
      </c>
      <c r="B8" s="86">
        <v>655567</v>
      </c>
      <c r="C8" s="130"/>
      <c r="D8" s="152"/>
      <c r="E8" s="70"/>
      <c r="F8" s="69"/>
      <c r="G8" s="71"/>
      <c r="H8" s="70"/>
      <c r="I8" s="70"/>
      <c r="J8" s="70"/>
      <c r="K8" s="69"/>
      <c r="L8" s="69"/>
      <c r="M8" s="70"/>
      <c r="N8" s="69"/>
      <c r="O8" s="70"/>
      <c r="P8" s="69"/>
      <c r="Q8" s="70"/>
      <c r="R8" s="70"/>
      <c r="S8" s="70"/>
      <c r="T8" s="70"/>
    </row>
    <row r="9" spans="1:40" ht="23.25" customHeight="1" x14ac:dyDescent="0.35">
      <c r="A9" s="63">
        <v>5</v>
      </c>
      <c r="B9" s="86">
        <v>655568</v>
      </c>
      <c r="C9" s="130"/>
      <c r="D9" s="152"/>
      <c r="E9" s="70"/>
      <c r="F9" s="69"/>
      <c r="G9" s="71"/>
      <c r="H9" s="70"/>
      <c r="I9" s="70"/>
      <c r="J9" s="70"/>
      <c r="K9" s="69"/>
      <c r="L9" s="69"/>
      <c r="M9" s="70"/>
      <c r="N9" s="69"/>
      <c r="O9" s="70"/>
      <c r="P9" s="69"/>
      <c r="Q9" s="70"/>
      <c r="R9" s="70"/>
      <c r="S9" s="70"/>
      <c r="T9" s="70"/>
    </row>
    <row r="10" spans="1:40" ht="23.25" customHeight="1" x14ac:dyDescent="0.35">
      <c r="A10" s="63">
        <v>6</v>
      </c>
      <c r="B10" s="86">
        <v>655569</v>
      </c>
      <c r="C10" s="130"/>
      <c r="D10" s="152"/>
      <c r="E10" s="70"/>
      <c r="F10" s="69"/>
      <c r="G10" s="71"/>
      <c r="H10" s="70"/>
      <c r="I10" s="70"/>
      <c r="J10" s="70"/>
      <c r="K10" s="69"/>
      <c r="L10" s="69"/>
      <c r="M10" s="70"/>
      <c r="N10" s="69"/>
      <c r="O10" s="70"/>
      <c r="P10" s="69"/>
      <c r="Q10" s="70"/>
      <c r="R10" s="70"/>
      <c r="S10" s="70"/>
      <c r="T10" s="70"/>
    </row>
    <row r="11" spans="1:40" ht="23.25" customHeight="1" x14ac:dyDescent="0.35">
      <c r="A11" s="63">
        <v>7</v>
      </c>
      <c r="B11" s="86">
        <v>655570</v>
      </c>
      <c r="C11" s="130"/>
      <c r="D11" s="152"/>
      <c r="E11" s="70"/>
      <c r="F11" s="69"/>
      <c r="G11" s="71"/>
      <c r="H11" s="70"/>
      <c r="I11" s="70"/>
      <c r="J11" s="72"/>
      <c r="K11" s="69"/>
      <c r="L11" s="69"/>
      <c r="M11" s="69"/>
      <c r="N11" s="72"/>
      <c r="O11" s="73"/>
      <c r="P11" s="69"/>
      <c r="Q11" s="70"/>
      <c r="R11" s="70"/>
      <c r="S11" s="70"/>
      <c r="T11" s="70"/>
      <c r="U11" s="72"/>
      <c r="V11" s="206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</row>
    <row r="12" spans="1:40" ht="23.25" customHeight="1" x14ac:dyDescent="0.35">
      <c r="A12" s="63">
        <v>8</v>
      </c>
      <c r="B12" s="86">
        <v>655571</v>
      </c>
      <c r="C12" s="130"/>
      <c r="D12" s="151"/>
      <c r="E12" s="72"/>
      <c r="F12" s="72"/>
      <c r="G12" s="72"/>
      <c r="H12" s="72"/>
      <c r="I12" s="72"/>
      <c r="J12" s="72"/>
      <c r="K12" s="69"/>
      <c r="L12" s="69"/>
      <c r="M12" s="69"/>
      <c r="N12" s="72"/>
      <c r="O12" s="73"/>
      <c r="P12" s="69"/>
      <c r="Q12" s="70"/>
      <c r="R12" s="70"/>
      <c r="S12" s="70"/>
      <c r="T12" s="70"/>
      <c r="U12" s="72"/>
      <c r="V12" s="206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</row>
    <row r="13" spans="1:40" ht="23.25" customHeight="1" x14ac:dyDescent="0.35">
      <c r="A13" s="63">
        <v>9</v>
      </c>
      <c r="B13" s="86">
        <v>655572</v>
      </c>
      <c r="C13" s="130"/>
      <c r="D13" s="152"/>
      <c r="E13" s="70"/>
      <c r="F13" s="69"/>
      <c r="G13" s="71"/>
      <c r="H13" s="70"/>
      <c r="I13" s="70"/>
      <c r="J13" s="72"/>
      <c r="K13" s="69"/>
      <c r="L13" s="69"/>
      <c r="M13" s="69"/>
      <c r="N13" s="72"/>
      <c r="O13" s="73"/>
      <c r="P13" s="69"/>
      <c r="Q13" s="70"/>
      <c r="R13" s="70"/>
      <c r="S13" s="70"/>
      <c r="T13" s="70"/>
      <c r="U13" s="72"/>
      <c r="V13" s="206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</row>
    <row r="14" spans="1:40" ht="23.25" customHeight="1" x14ac:dyDescent="0.35">
      <c r="A14" s="63">
        <v>10</v>
      </c>
      <c r="B14" s="86">
        <v>655573</v>
      </c>
      <c r="C14" s="130"/>
      <c r="D14" s="152"/>
      <c r="E14" s="70"/>
      <c r="F14" s="69"/>
      <c r="G14" s="71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206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</row>
    <row r="15" spans="1:40" ht="23.25" customHeight="1" x14ac:dyDescent="0.35">
      <c r="A15" s="63">
        <v>11</v>
      </c>
      <c r="B15" s="86">
        <v>655574</v>
      </c>
      <c r="C15" s="130"/>
      <c r="D15" s="152"/>
      <c r="E15" s="70"/>
      <c r="F15" s="69"/>
      <c r="G15" s="71"/>
      <c r="H15" s="70"/>
      <c r="I15" s="70"/>
      <c r="J15" s="70"/>
      <c r="K15" s="69"/>
      <c r="L15" s="69"/>
      <c r="M15" s="70"/>
      <c r="N15" s="69"/>
      <c r="O15" s="70"/>
      <c r="P15" s="69"/>
      <c r="Q15" s="70"/>
      <c r="R15" s="70"/>
      <c r="S15" s="70"/>
      <c r="T15" s="70"/>
    </row>
    <row r="16" spans="1:40" ht="23.25" customHeight="1" x14ac:dyDescent="0.35">
      <c r="A16" s="63">
        <v>12</v>
      </c>
      <c r="B16" s="86">
        <v>655575</v>
      </c>
      <c r="C16" s="130"/>
      <c r="D16" s="151"/>
      <c r="E16" s="72"/>
      <c r="F16" s="72"/>
      <c r="G16" s="72"/>
      <c r="H16" s="70"/>
      <c r="I16" s="70"/>
      <c r="J16" s="70"/>
      <c r="K16" s="69"/>
      <c r="L16" s="69"/>
      <c r="M16" s="70"/>
      <c r="N16" s="69"/>
      <c r="O16" s="70"/>
      <c r="P16" s="69"/>
      <c r="Q16" s="70"/>
      <c r="R16" s="70"/>
      <c r="S16" s="70"/>
      <c r="T16" s="70"/>
    </row>
    <row r="17" spans="1:20" ht="23.25" customHeight="1" x14ac:dyDescent="0.35">
      <c r="A17" s="63">
        <v>13</v>
      </c>
      <c r="B17" s="86"/>
      <c r="C17" s="130"/>
      <c r="D17" s="151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</row>
    <row r="18" spans="1:20" ht="23.25" customHeight="1" x14ac:dyDescent="0.35">
      <c r="A18" s="63">
        <v>14</v>
      </c>
      <c r="B18" s="86"/>
      <c r="C18" s="130"/>
      <c r="D18" s="151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</row>
    <row r="19" spans="1:20" ht="23.25" customHeight="1" x14ac:dyDescent="0.35">
      <c r="A19" s="63">
        <v>15</v>
      </c>
      <c r="B19" s="86"/>
      <c r="C19" s="130"/>
      <c r="D19" s="151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</row>
    <row r="20" spans="1:20" ht="23.25" customHeight="1" x14ac:dyDescent="0.35">
      <c r="A20" s="63">
        <v>16</v>
      </c>
      <c r="B20" s="86"/>
      <c r="C20" s="130"/>
      <c r="D20" s="151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</row>
    <row r="21" spans="1:20" ht="23.25" customHeight="1" x14ac:dyDescent="0.35">
      <c r="A21" s="63">
        <v>17</v>
      </c>
      <c r="B21" s="86"/>
      <c r="C21" s="130"/>
    </row>
    <row r="22" spans="1:20" ht="23.25" customHeight="1" x14ac:dyDescent="0.35">
      <c r="A22" s="63">
        <v>18</v>
      </c>
      <c r="B22" s="86"/>
      <c r="C22" s="130"/>
    </row>
    <row r="23" spans="1:20" ht="23.25" customHeight="1" x14ac:dyDescent="0.35">
      <c r="A23" s="63">
        <v>19</v>
      </c>
      <c r="B23" s="86"/>
      <c r="C23" s="130"/>
    </row>
    <row r="24" spans="1:20" ht="23.25" customHeight="1" x14ac:dyDescent="0.35">
      <c r="A24" s="63">
        <v>20</v>
      </c>
      <c r="B24" s="86"/>
      <c r="C24" s="130"/>
    </row>
    <row r="25" spans="1:20" ht="23.25" customHeight="1" x14ac:dyDescent="0.35">
      <c r="A25" s="63">
        <v>21</v>
      </c>
      <c r="B25" s="86"/>
      <c r="C25" s="130"/>
    </row>
    <row r="26" spans="1:20" ht="23.25" customHeight="1" x14ac:dyDescent="0.35">
      <c r="A26" s="63">
        <v>22</v>
      </c>
      <c r="B26" s="86"/>
      <c r="C26" s="130"/>
    </row>
    <row r="27" spans="1:20" ht="23.25" customHeight="1" x14ac:dyDescent="0.35">
      <c r="A27" s="63">
        <v>23</v>
      </c>
      <c r="B27" s="86"/>
      <c r="C27" s="130"/>
    </row>
    <row r="28" spans="1:20" ht="23.25" customHeight="1" x14ac:dyDescent="0.35">
      <c r="A28" s="63">
        <v>24</v>
      </c>
      <c r="B28" s="86"/>
      <c r="C28" s="130"/>
    </row>
    <row r="29" spans="1:20" ht="23.25" customHeight="1" x14ac:dyDescent="0.35">
      <c r="A29" s="63">
        <v>25</v>
      </c>
      <c r="B29" s="86"/>
      <c r="C29" s="130"/>
    </row>
    <row r="30" spans="1:20" ht="23.25" customHeight="1" x14ac:dyDescent="0.35">
      <c r="A30" s="63">
        <v>26</v>
      </c>
      <c r="B30" s="86"/>
      <c r="C30" s="130"/>
    </row>
    <row r="31" spans="1:20" ht="23.25" customHeight="1" x14ac:dyDescent="0.35">
      <c r="A31" s="63">
        <v>27</v>
      </c>
      <c r="B31" s="86"/>
      <c r="C31" s="130"/>
    </row>
    <row r="32" spans="1:20" ht="23.25" customHeight="1" x14ac:dyDescent="0.35">
      <c r="A32" s="63">
        <v>28</v>
      </c>
      <c r="B32" s="86"/>
      <c r="C32" s="130"/>
    </row>
    <row r="33" spans="1:3" ht="23.25" customHeight="1" x14ac:dyDescent="0.35">
      <c r="A33" s="63">
        <v>29</v>
      </c>
      <c r="B33" s="86"/>
      <c r="C33" s="130"/>
    </row>
    <row r="34" spans="1:3" s="67" customFormat="1" ht="23.25" customHeight="1" x14ac:dyDescent="0.35">
      <c r="A34" s="63">
        <v>30</v>
      </c>
      <c r="B34" s="86"/>
      <c r="C34" s="68"/>
    </row>
    <row r="35" spans="1:3" s="67" customFormat="1" ht="23.25" customHeight="1" x14ac:dyDescent="0.35">
      <c r="A35" s="63">
        <v>31</v>
      </c>
      <c r="B35" s="86"/>
      <c r="C35" s="68"/>
    </row>
    <row r="36" spans="1:3" s="67" customFormat="1" ht="23.25" customHeight="1" x14ac:dyDescent="0.35">
      <c r="A36" s="63">
        <v>32</v>
      </c>
      <c r="B36" s="86"/>
      <c r="C36" s="68"/>
    </row>
    <row r="37" spans="1:3" s="67" customFormat="1" ht="23.25" customHeight="1" x14ac:dyDescent="0.35">
      <c r="A37" s="63">
        <v>33</v>
      </c>
      <c r="B37" s="86"/>
      <c r="C37" s="68"/>
    </row>
    <row r="38" spans="1:3" s="67" customFormat="1" ht="23.25" customHeight="1" x14ac:dyDescent="0.35">
      <c r="A38" s="63">
        <v>34</v>
      </c>
      <c r="B38" s="86"/>
      <c r="C38" s="68"/>
    </row>
    <row r="39" spans="1:3" s="67" customFormat="1" ht="23.25" customHeight="1" x14ac:dyDescent="0.35">
      <c r="A39" s="63">
        <v>35</v>
      </c>
      <c r="B39" s="86"/>
      <c r="C39" s="68"/>
    </row>
    <row r="40" spans="1:3" s="67" customFormat="1" ht="23.25" customHeight="1" x14ac:dyDescent="0.2">
      <c r="A40" s="63">
        <v>36</v>
      </c>
      <c r="C40" s="68"/>
    </row>
    <row r="41" spans="1:3" s="67" customFormat="1" ht="23.25" customHeight="1" x14ac:dyDescent="0.35">
      <c r="A41" s="63">
        <v>37</v>
      </c>
      <c r="B41" s="86"/>
      <c r="C41" s="68"/>
    </row>
    <row r="42" spans="1:3" s="67" customFormat="1" ht="23.25" customHeight="1" x14ac:dyDescent="0.35">
      <c r="A42" s="63">
        <v>38</v>
      </c>
      <c r="B42" s="41"/>
      <c r="C42" s="68"/>
    </row>
    <row r="43" spans="1:3" s="67" customFormat="1" ht="23.25" customHeight="1" x14ac:dyDescent="0.35">
      <c r="A43" s="63">
        <v>39</v>
      </c>
      <c r="B43" s="41"/>
      <c r="C43" s="68"/>
    </row>
    <row r="44" spans="1:3" s="67" customFormat="1" ht="23.25" customHeight="1" x14ac:dyDescent="0.35">
      <c r="A44" s="63">
        <v>40</v>
      </c>
      <c r="B44" s="41"/>
      <c r="C44" s="68"/>
    </row>
    <row r="45" spans="1:3" s="67" customFormat="1" ht="23.25" customHeight="1" x14ac:dyDescent="0.2">
      <c r="A45" s="48" t="s">
        <v>7</v>
      </c>
      <c r="B45" s="48"/>
      <c r="C45" s="49"/>
    </row>
    <row r="46" spans="1:3" s="67" customFormat="1" ht="23.25" customHeight="1" x14ac:dyDescent="0.35">
      <c r="A46" s="63">
        <v>41</v>
      </c>
      <c r="B46" s="41"/>
      <c r="C46" s="68"/>
    </row>
    <row r="47" spans="1:3" s="67" customFormat="1" ht="23.25" customHeight="1" x14ac:dyDescent="0.35">
      <c r="A47" s="63">
        <v>42</v>
      </c>
      <c r="B47" s="41"/>
      <c r="C47" s="68"/>
    </row>
    <row r="48" spans="1:3" s="67" customFormat="1" ht="23.25" customHeight="1" x14ac:dyDescent="0.35">
      <c r="A48" s="63">
        <v>43</v>
      </c>
      <c r="B48" s="41"/>
      <c r="C48" s="68"/>
    </row>
    <row r="49" spans="1:3" s="67" customFormat="1" ht="23.25" customHeight="1" x14ac:dyDescent="0.35">
      <c r="A49" s="63">
        <v>44</v>
      </c>
      <c r="B49" s="41"/>
      <c r="C49" s="68"/>
    </row>
    <row r="50" spans="1:3" s="67" customFormat="1" ht="23.25" customHeight="1" x14ac:dyDescent="0.35">
      <c r="A50" s="63">
        <v>45</v>
      </c>
      <c r="B50" s="41"/>
    </row>
    <row r="51" spans="1:3" s="67" customFormat="1" ht="23.25" customHeight="1" x14ac:dyDescent="0.35">
      <c r="A51" s="63">
        <v>46</v>
      </c>
      <c r="B51" s="41"/>
    </row>
    <row r="52" spans="1:3" s="67" customFormat="1" ht="23.25" customHeight="1" x14ac:dyDescent="0.35">
      <c r="A52" s="63">
        <v>47</v>
      </c>
      <c r="B52" s="41"/>
    </row>
    <row r="53" spans="1:3" s="67" customFormat="1" ht="23.25" customHeight="1" x14ac:dyDescent="0.35">
      <c r="A53" s="63">
        <v>48</v>
      </c>
      <c r="B53" s="41"/>
    </row>
    <row r="54" spans="1:3" s="67" customFormat="1" ht="23.25" customHeight="1" x14ac:dyDescent="0.35">
      <c r="A54" s="63">
        <v>49</v>
      </c>
      <c r="B54" s="41"/>
    </row>
    <row r="55" spans="1:3" s="67" customFormat="1" ht="23.25" customHeight="1" x14ac:dyDescent="0.35">
      <c r="A55" s="63">
        <v>50</v>
      </c>
      <c r="B55" s="41"/>
    </row>
    <row r="56" spans="1:3" s="67" customFormat="1" ht="23.25" customHeight="1" x14ac:dyDescent="0.35">
      <c r="A56" s="63">
        <v>51</v>
      </c>
      <c r="B56" s="41"/>
    </row>
    <row r="57" spans="1:3" s="67" customFormat="1" ht="23.25" customHeight="1" x14ac:dyDescent="0.35">
      <c r="A57" s="63">
        <v>52</v>
      </c>
      <c r="B57" s="41"/>
    </row>
    <row r="58" spans="1:3" s="67" customFormat="1" ht="23.25" customHeight="1" x14ac:dyDescent="0.35">
      <c r="A58" s="63">
        <v>53</v>
      </c>
      <c r="B58" s="41"/>
    </row>
    <row r="59" spans="1:3" s="67" customFormat="1" ht="23.25" customHeight="1" x14ac:dyDescent="0.35">
      <c r="A59" s="63">
        <v>54</v>
      </c>
      <c r="B59" s="41"/>
    </row>
    <row r="60" spans="1:3" s="67" customFormat="1" ht="23.25" customHeight="1" x14ac:dyDescent="0.35">
      <c r="A60" s="63">
        <v>55</v>
      </c>
      <c r="B60" s="41"/>
    </row>
    <row r="61" spans="1:3" s="67" customFormat="1" ht="23.25" customHeight="1" x14ac:dyDescent="0.35">
      <c r="A61" s="63">
        <v>56</v>
      </c>
      <c r="B61" s="41"/>
    </row>
    <row r="62" spans="1:3" s="67" customFormat="1" ht="23.25" customHeight="1" x14ac:dyDescent="0.35">
      <c r="A62" s="63">
        <v>57</v>
      </c>
      <c r="B62" s="41"/>
    </row>
    <row r="63" spans="1:3" s="67" customFormat="1" ht="23.25" customHeight="1" x14ac:dyDescent="0.35">
      <c r="A63" s="63">
        <v>58</v>
      </c>
      <c r="B63" s="41"/>
    </row>
    <row r="64" spans="1:3" s="67" customFormat="1" ht="23.25" customHeight="1" x14ac:dyDescent="0.35">
      <c r="A64" s="63">
        <v>59</v>
      </c>
      <c r="B64" s="41"/>
    </row>
    <row r="65" spans="1:2" s="67" customFormat="1" ht="23.25" customHeight="1" x14ac:dyDescent="0.35">
      <c r="A65" s="63">
        <v>60</v>
      </c>
      <c r="B65" s="41"/>
    </row>
    <row r="66" spans="1:2" s="67" customFormat="1" ht="23.25" customHeight="1" x14ac:dyDescent="0.2">
      <c r="A66" s="63">
        <v>61</v>
      </c>
      <c r="B66" s="77"/>
    </row>
    <row r="67" spans="1:2" s="67" customFormat="1" ht="23.25" customHeight="1" x14ac:dyDescent="0.2">
      <c r="A67" s="63">
        <v>62</v>
      </c>
      <c r="B67" s="77"/>
    </row>
    <row r="68" spans="1:2" s="67" customFormat="1" ht="23.25" customHeight="1" x14ac:dyDescent="0.2">
      <c r="A68" s="63">
        <v>63</v>
      </c>
      <c r="B68" s="77"/>
    </row>
    <row r="69" spans="1:2" s="67" customFormat="1" ht="23.25" customHeight="1" x14ac:dyDescent="0.2">
      <c r="A69" s="63">
        <v>64</v>
      </c>
      <c r="B69" s="77"/>
    </row>
    <row r="70" spans="1:2" s="67" customFormat="1" ht="23.25" customHeight="1" x14ac:dyDescent="0.2">
      <c r="A70" s="63">
        <v>65</v>
      </c>
      <c r="B70" s="77"/>
    </row>
    <row r="71" spans="1:2" s="67" customFormat="1" ht="23.25" customHeight="1" x14ac:dyDescent="0.2">
      <c r="A71" s="63">
        <v>66</v>
      </c>
      <c r="B71" s="77"/>
    </row>
    <row r="72" spans="1:2" s="67" customFormat="1" ht="23.25" customHeight="1" x14ac:dyDescent="0.2">
      <c r="A72" s="63">
        <v>67</v>
      </c>
      <c r="B72" s="77"/>
    </row>
    <row r="73" spans="1:2" ht="23.45" customHeight="1" x14ac:dyDescent="0.2">
      <c r="A73" s="63">
        <v>68</v>
      </c>
      <c r="B73" s="76"/>
    </row>
    <row r="74" spans="1:2" ht="23.45" customHeight="1" x14ac:dyDescent="0.2">
      <c r="A74" s="63">
        <v>69</v>
      </c>
      <c r="B74" s="76"/>
    </row>
    <row r="75" spans="1:2" ht="23.45" customHeight="1" x14ac:dyDescent="0.2">
      <c r="A75" s="63">
        <v>70</v>
      </c>
      <c r="B75" s="76"/>
    </row>
    <row r="76" spans="1:2" ht="23.45" customHeight="1" x14ac:dyDescent="0.2">
      <c r="A76" s="63">
        <v>71</v>
      </c>
      <c r="B76" s="76"/>
    </row>
    <row r="77" spans="1:2" ht="23.45" customHeight="1" x14ac:dyDescent="0.2">
      <c r="A77" s="63">
        <v>72</v>
      </c>
      <c r="B77" s="76"/>
    </row>
    <row r="78" spans="1:2" ht="23.45" customHeight="1" x14ac:dyDescent="0.2">
      <c r="A78" s="63">
        <v>73</v>
      </c>
      <c r="B78" s="76"/>
    </row>
    <row r="79" spans="1:2" ht="23.45" customHeight="1" x14ac:dyDescent="0.2">
      <c r="A79" s="63">
        <v>74</v>
      </c>
      <c r="B79" s="76"/>
    </row>
    <row r="80" spans="1:2" ht="23.45" customHeight="1" x14ac:dyDescent="0.2">
      <c r="A80" s="63">
        <v>75</v>
      </c>
      <c r="B80" s="76"/>
    </row>
    <row r="81" spans="1:2" ht="23.45" customHeight="1" x14ac:dyDescent="0.2">
      <c r="A81" s="63">
        <v>76</v>
      </c>
      <c r="B81" s="76"/>
    </row>
    <row r="82" spans="1:2" ht="23.45" customHeight="1" x14ac:dyDescent="0.2">
      <c r="A82" s="63">
        <v>77</v>
      </c>
      <c r="B82" s="76"/>
    </row>
    <row r="83" spans="1:2" ht="23.45" customHeight="1" x14ac:dyDescent="0.2">
      <c r="A83" s="63">
        <v>78</v>
      </c>
      <c r="B83" s="76"/>
    </row>
    <row r="84" spans="1:2" ht="23.45" customHeight="1" x14ac:dyDescent="0.2">
      <c r="A84" s="63">
        <v>79</v>
      </c>
      <c r="B84" s="76"/>
    </row>
    <row r="85" spans="1:2" ht="23.45" customHeight="1" x14ac:dyDescent="0.2">
      <c r="A85" s="63">
        <v>80</v>
      </c>
      <c r="B85" s="76"/>
    </row>
  </sheetData>
  <sortState xmlns:xlrd2="http://schemas.microsoft.com/office/spreadsheetml/2017/richdata2" ref="B4:B11">
    <sortCondition ref="B4"/>
  </sortState>
  <mergeCells count="19">
    <mergeCell ref="AN11:AN14"/>
    <mergeCell ref="AH11:AH14"/>
    <mergeCell ref="AI11:AI14"/>
    <mergeCell ref="AJ11:AJ14"/>
    <mergeCell ref="AK11:AK14"/>
    <mergeCell ref="AL11:AL14"/>
    <mergeCell ref="AM11:AM14"/>
    <mergeCell ref="AG11:AG14"/>
    <mergeCell ref="V11:V14"/>
    <mergeCell ref="W11:W14"/>
    <mergeCell ref="X11:X14"/>
    <mergeCell ref="Y11:Y14"/>
    <mergeCell ref="Z11:Z14"/>
    <mergeCell ref="AA11:AA14"/>
    <mergeCell ref="AB11:AB14"/>
    <mergeCell ref="AC11:AC14"/>
    <mergeCell ref="AD11:AD14"/>
    <mergeCell ref="AE11:AE14"/>
    <mergeCell ref="AF11:AF14"/>
  </mergeCells>
  <conditionalFormatting sqref="B66:B1048576 B1:B3">
    <cfRule type="duplicateValues" dxfId="49" priority="48"/>
  </conditionalFormatting>
  <conditionalFormatting sqref="B66:C1048576 B1:C3 C46:C65 C5:C44">
    <cfRule type="duplicateValues" dxfId="48" priority="1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76" orientation="portrait" r:id="rId1"/>
  <rowBreaks count="2" manualBreakCount="2">
    <brk id="35" max="16383" man="1"/>
    <brk id="3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1"/>
  <sheetViews>
    <sheetView zoomScaleNormal="100" workbookViewId="0">
      <selection activeCell="B6" sqref="B6:C12"/>
    </sheetView>
  </sheetViews>
  <sheetFormatPr baseColWidth="10" defaultRowHeight="21" x14ac:dyDescent="0.35"/>
  <cols>
    <col min="1" max="1" width="11.42578125" style="43"/>
    <col min="2" max="2" width="27.42578125" style="44" customWidth="1"/>
    <col min="3" max="3" width="10.7109375" style="45" customWidth="1"/>
    <col min="4" max="16384" width="11.42578125" style="43"/>
  </cols>
  <sheetData>
    <row r="1" spans="1:22" x14ac:dyDescent="0.35">
      <c r="B1" s="44" t="s">
        <v>5</v>
      </c>
      <c r="C1" s="45" t="s">
        <v>11</v>
      </c>
    </row>
    <row r="2" spans="1:22" x14ac:dyDescent="0.35">
      <c r="B2" s="81">
        <f ca="1">TODAY()</f>
        <v>46192</v>
      </c>
      <c r="C2" s="122" t="s">
        <v>179</v>
      </c>
    </row>
    <row r="3" spans="1:22" x14ac:dyDescent="0.35">
      <c r="C3" s="47"/>
    </row>
    <row r="4" spans="1:22" ht="18.75" x14ac:dyDescent="0.3">
      <c r="B4" s="43"/>
      <c r="C4" s="43"/>
    </row>
    <row r="5" spans="1:22" ht="18.75" x14ac:dyDescent="0.3">
      <c r="A5" s="48" t="s">
        <v>7</v>
      </c>
      <c r="B5" s="48" t="s">
        <v>13</v>
      </c>
      <c r="C5" s="49" t="s">
        <v>8</v>
      </c>
      <c r="D5" s="49" t="s">
        <v>12</v>
      </c>
      <c r="F5" s="43" t="s">
        <v>108</v>
      </c>
    </row>
    <row r="6" spans="1:22" ht="23.25" customHeight="1" x14ac:dyDescent="0.35">
      <c r="A6" s="43">
        <v>1</v>
      </c>
      <c r="B6" s="154">
        <v>654926</v>
      </c>
      <c r="C6" s="85" t="s">
        <v>195</v>
      </c>
      <c r="D6" s="173"/>
      <c r="E6" s="51"/>
      <c r="F6" s="50"/>
      <c r="G6" s="78"/>
      <c r="H6" s="39"/>
      <c r="I6" s="83"/>
      <c r="J6" s="50"/>
      <c r="K6" s="51"/>
      <c r="L6" s="51"/>
      <c r="M6" s="52"/>
      <c r="N6" s="50"/>
      <c r="O6" s="50"/>
      <c r="P6" s="50"/>
      <c r="Q6" s="51"/>
      <c r="R6" s="51"/>
      <c r="S6" s="51"/>
      <c r="T6" s="51"/>
      <c r="U6" s="51"/>
      <c r="V6" s="51"/>
    </row>
    <row r="7" spans="1:22" ht="23.25" customHeight="1" x14ac:dyDescent="0.35">
      <c r="A7" s="43">
        <v>2</v>
      </c>
      <c r="B7" s="154">
        <v>654927</v>
      </c>
      <c r="C7" s="85" t="s">
        <v>196</v>
      </c>
      <c r="D7" s="173"/>
      <c r="E7" s="51"/>
      <c r="F7" s="50"/>
      <c r="G7" s="78"/>
      <c r="H7" s="39"/>
      <c r="I7" s="83"/>
      <c r="J7" s="50"/>
      <c r="K7" s="51"/>
      <c r="L7" s="51"/>
      <c r="M7" s="52"/>
      <c r="N7" s="50"/>
      <c r="O7" s="50"/>
      <c r="P7" s="50"/>
      <c r="Q7" s="51"/>
      <c r="R7" s="51"/>
      <c r="S7" s="51"/>
      <c r="T7" s="51"/>
      <c r="U7" s="51"/>
      <c r="V7" s="51"/>
    </row>
    <row r="8" spans="1:22" ht="23.25" customHeight="1" x14ac:dyDescent="0.35">
      <c r="A8" s="43">
        <v>3</v>
      </c>
      <c r="B8" s="154">
        <v>654928</v>
      </c>
      <c r="C8" s="85" t="s">
        <v>199</v>
      </c>
      <c r="D8" s="173"/>
      <c r="E8" s="51"/>
      <c r="F8" s="50"/>
      <c r="G8" s="78"/>
      <c r="H8" s="39"/>
      <c r="I8" s="84"/>
      <c r="J8" s="50"/>
      <c r="K8" s="51"/>
      <c r="L8" s="51"/>
      <c r="M8" s="52"/>
      <c r="N8" s="50"/>
      <c r="O8" s="50"/>
      <c r="P8" s="50"/>
      <c r="Q8" s="51"/>
      <c r="R8" s="51"/>
      <c r="S8" s="51"/>
      <c r="T8" s="51"/>
      <c r="U8" s="51"/>
      <c r="V8" s="51"/>
    </row>
    <row r="9" spans="1:22" ht="23.25" customHeight="1" x14ac:dyDescent="0.35">
      <c r="A9" s="43">
        <v>4</v>
      </c>
      <c r="B9" s="154">
        <v>654929</v>
      </c>
      <c r="C9" s="85" t="s">
        <v>207</v>
      </c>
      <c r="D9" s="173"/>
      <c r="E9" s="51"/>
      <c r="F9" s="50"/>
      <c r="G9" s="51"/>
      <c r="H9" s="82"/>
      <c r="I9" s="84"/>
      <c r="J9" s="50"/>
      <c r="K9" s="51"/>
      <c r="L9" s="51"/>
      <c r="M9" s="52"/>
      <c r="N9" s="50"/>
      <c r="O9" s="50"/>
      <c r="P9" s="50"/>
      <c r="Q9" s="51"/>
      <c r="R9" s="51"/>
      <c r="S9" s="51"/>
      <c r="T9" s="51"/>
      <c r="U9" s="51"/>
      <c r="V9" s="51"/>
    </row>
    <row r="10" spans="1:22" ht="23.25" customHeight="1" x14ac:dyDescent="0.35">
      <c r="A10" s="43">
        <v>5</v>
      </c>
      <c r="B10" s="86">
        <v>654930</v>
      </c>
      <c r="C10" s="85" t="s">
        <v>214</v>
      </c>
      <c r="D10" s="173"/>
      <c r="E10" s="51"/>
      <c r="F10" s="51"/>
      <c r="G10" s="51"/>
      <c r="H10" s="82"/>
      <c r="I10" s="84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pans="1:22" ht="23.25" customHeight="1" x14ac:dyDescent="0.35">
      <c r="A11" s="43">
        <v>6</v>
      </c>
      <c r="B11" s="86">
        <v>654931</v>
      </c>
      <c r="C11" s="85" t="s">
        <v>182</v>
      </c>
      <c r="D11" s="173"/>
      <c r="E11" s="53"/>
      <c r="F11" s="53"/>
      <c r="G11" s="53"/>
      <c r="H11" s="82"/>
      <c r="I11" s="84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spans="1:22" ht="23.25" customHeight="1" x14ac:dyDescent="0.35">
      <c r="A12" s="43">
        <v>7</v>
      </c>
      <c r="B12" s="86">
        <v>654932</v>
      </c>
      <c r="C12" s="85" t="s">
        <v>209</v>
      </c>
      <c r="D12" s="173"/>
      <c r="E12" s="53"/>
      <c r="F12" s="53"/>
      <c r="G12" s="53"/>
      <c r="H12" s="44"/>
      <c r="I12" s="8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spans="1:22" ht="23.25" customHeight="1" x14ac:dyDescent="0.35">
      <c r="A13" s="43">
        <v>8</v>
      </c>
      <c r="B13" s="86"/>
      <c r="C13" s="85"/>
      <c r="D13" s="173"/>
      <c r="E13" s="53"/>
      <c r="F13" s="53"/>
      <c r="G13" s="53"/>
      <c r="H13" s="44"/>
      <c r="I13" s="84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spans="1:22" ht="23.25" customHeight="1" x14ac:dyDescent="0.35">
      <c r="A14" s="43">
        <v>9</v>
      </c>
      <c r="B14" s="86"/>
      <c r="C14" s="85"/>
      <c r="D14" s="173"/>
      <c r="E14" s="53"/>
      <c r="F14" s="53"/>
      <c r="G14" s="53"/>
      <c r="H14" s="44"/>
      <c r="I14" s="45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 spans="1:22" ht="23.25" customHeight="1" x14ac:dyDescent="0.35">
      <c r="A15" s="43">
        <v>10</v>
      </c>
      <c r="B15" s="86"/>
      <c r="C15" s="85"/>
      <c r="D15" s="173"/>
      <c r="E15" s="53"/>
      <c r="F15" s="53"/>
      <c r="G15" s="53"/>
      <c r="H15" s="82"/>
      <c r="I15" s="8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spans="1:22" ht="23.25" customHeight="1" x14ac:dyDescent="0.35">
      <c r="A16" s="43">
        <v>11</v>
      </c>
      <c r="B16" s="86"/>
      <c r="C16" s="85"/>
      <c r="D16" s="173"/>
      <c r="E16" s="53"/>
      <c r="F16" s="53"/>
      <c r="G16" s="53"/>
      <c r="H16" s="82"/>
      <c r="I16" s="45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 spans="1:22" ht="23.25" customHeight="1" x14ac:dyDescent="0.35">
      <c r="A17" s="43">
        <v>12</v>
      </c>
      <c r="B17" s="86"/>
      <c r="C17" s="85"/>
      <c r="D17" s="173"/>
      <c r="E17" s="53"/>
      <c r="F17" s="53"/>
      <c r="G17" s="53"/>
      <c r="H17" s="82"/>
      <c r="I17" s="8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 spans="1:22" ht="23.25" customHeight="1" x14ac:dyDescent="0.35">
      <c r="A18" s="43">
        <v>13</v>
      </c>
      <c r="B18" s="41"/>
      <c r="C18" s="85"/>
      <c r="D18" s="173"/>
      <c r="E18" s="55"/>
      <c r="F18" s="54"/>
      <c r="G18" s="55"/>
      <c r="H18" s="82"/>
      <c r="I18" s="83"/>
      <c r="J18" s="54"/>
      <c r="K18" s="55"/>
      <c r="L18" s="55"/>
      <c r="M18" s="57"/>
      <c r="N18" s="54"/>
      <c r="O18" s="54"/>
      <c r="P18" s="54"/>
      <c r="Q18" s="55"/>
      <c r="R18" s="55"/>
      <c r="S18" s="55"/>
      <c r="T18" s="55"/>
      <c r="U18" s="56"/>
      <c r="V18" s="56"/>
    </row>
    <row r="19" spans="1:22" ht="23.25" customHeight="1" x14ac:dyDescent="0.35">
      <c r="A19" s="43">
        <v>14</v>
      </c>
      <c r="B19" s="41"/>
      <c r="C19" s="85"/>
      <c r="D19" s="173"/>
      <c r="E19" s="55"/>
      <c r="F19" s="54"/>
      <c r="G19" s="55"/>
      <c r="H19" s="82"/>
      <c r="I19" s="83"/>
      <c r="J19" s="54"/>
      <c r="K19" s="55"/>
      <c r="L19" s="55"/>
      <c r="M19" s="57"/>
      <c r="N19" s="54"/>
      <c r="O19" s="54"/>
      <c r="P19" s="54"/>
      <c r="Q19" s="55"/>
      <c r="R19" s="55"/>
      <c r="S19" s="55"/>
      <c r="T19" s="55"/>
      <c r="U19" s="56"/>
      <c r="V19" s="56"/>
    </row>
    <row r="20" spans="1:22" ht="23.25" customHeight="1" x14ac:dyDescent="0.35">
      <c r="A20" s="43">
        <v>15</v>
      </c>
      <c r="B20" s="41"/>
      <c r="C20" s="85"/>
      <c r="D20" s="173"/>
      <c r="E20" s="55"/>
      <c r="F20" s="54"/>
      <c r="G20" s="55"/>
      <c r="H20" s="82"/>
      <c r="I20" s="83"/>
      <c r="J20" s="54"/>
      <c r="K20" s="55"/>
      <c r="L20" s="55"/>
      <c r="M20" s="57"/>
      <c r="N20" s="54"/>
      <c r="O20" s="54"/>
      <c r="P20" s="54"/>
      <c r="Q20" s="55"/>
      <c r="R20" s="55"/>
      <c r="S20" s="55"/>
      <c r="T20" s="55"/>
      <c r="U20" s="56"/>
      <c r="V20" s="56"/>
    </row>
    <row r="21" spans="1:22" ht="23.25" customHeight="1" x14ac:dyDescent="0.35">
      <c r="A21" s="43">
        <v>16</v>
      </c>
      <c r="B21" s="41"/>
      <c r="C21" s="85"/>
      <c r="D21" s="173"/>
      <c r="E21" s="56"/>
      <c r="F21" s="56"/>
      <c r="G21" s="56"/>
      <c r="H21" s="82"/>
      <c r="I21" s="83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</row>
    <row r="22" spans="1:22" ht="23.25" customHeight="1" x14ac:dyDescent="0.35">
      <c r="A22" s="43">
        <v>17</v>
      </c>
      <c r="B22" s="86"/>
      <c r="C22" s="85"/>
      <c r="D22" s="174"/>
      <c r="H22" s="82"/>
      <c r="I22" s="83"/>
    </row>
    <row r="23" spans="1:22" ht="23.25" customHeight="1" x14ac:dyDescent="0.35">
      <c r="A23" s="43">
        <v>18</v>
      </c>
      <c r="B23" s="123"/>
      <c r="C23" s="85"/>
      <c r="D23" s="174"/>
      <c r="H23" s="82"/>
      <c r="I23" s="83"/>
    </row>
    <row r="24" spans="1:22" ht="23.25" customHeight="1" x14ac:dyDescent="0.3">
      <c r="A24" s="48" t="s">
        <v>7</v>
      </c>
      <c r="B24" s="48" t="s">
        <v>9</v>
      </c>
      <c r="C24" s="49" t="s">
        <v>8</v>
      </c>
    </row>
    <row r="25" spans="1:22" ht="23.25" customHeight="1" x14ac:dyDescent="0.35">
      <c r="A25" s="43">
        <v>19</v>
      </c>
      <c r="B25" s="86"/>
      <c r="C25" s="85"/>
      <c r="M25" s="56"/>
    </row>
    <row r="26" spans="1:22" ht="23.25" customHeight="1" x14ac:dyDescent="0.35">
      <c r="A26" s="43">
        <v>20</v>
      </c>
      <c r="B26" s="86"/>
      <c r="C26" s="85"/>
    </row>
    <row r="27" spans="1:22" ht="23.25" customHeight="1" x14ac:dyDescent="0.35">
      <c r="A27" s="43">
        <v>21</v>
      </c>
      <c r="B27" s="78"/>
      <c r="C27" s="85"/>
    </row>
    <row r="28" spans="1:22" ht="23.25" customHeight="1" x14ac:dyDescent="0.35">
      <c r="A28" s="43">
        <v>22</v>
      </c>
      <c r="B28" s="78"/>
      <c r="C28" s="85"/>
    </row>
    <row r="29" spans="1:22" ht="23.25" customHeight="1" x14ac:dyDescent="0.35">
      <c r="A29" s="43">
        <v>23</v>
      </c>
      <c r="B29" s="78"/>
      <c r="C29" s="85"/>
    </row>
    <row r="30" spans="1:22" ht="23.25" customHeight="1" x14ac:dyDescent="0.35">
      <c r="A30" s="43">
        <v>24</v>
      </c>
      <c r="B30" s="78"/>
      <c r="C30" s="85"/>
      <c r="E30" s="59"/>
    </row>
    <row r="31" spans="1:22" ht="23.25" customHeight="1" x14ac:dyDescent="0.35">
      <c r="A31" s="43">
        <v>25</v>
      </c>
      <c r="B31" s="78"/>
      <c r="C31" s="85"/>
    </row>
    <row r="32" spans="1:22" ht="23.25" customHeight="1" x14ac:dyDescent="0.35">
      <c r="A32" s="43">
        <v>26</v>
      </c>
      <c r="B32" s="78"/>
      <c r="C32" s="85"/>
    </row>
    <row r="33" spans="1:3" ht="23.25" customHeight="1" x14ac:dyDescent="0.35">
      <c r="A33" s="43">
        <v>27</v>
      </c>
      <c r="B33" s="78"/>
      <c r="C33" s="39"/>
    </row>
    <row r="34" spans="1:3" ht="23.25" customHeight="1" x14ac:dyDescent="0.35">
      <c r="A34" s="43">
        <v>28</v>
      </c>
      <c r="B34" s="78"/>
      <c r="C34" s="39"/>
    </row>
    <row r="35" spans="1:3" ht="23.25" customHeight="1" x14ac:dyDescent="0.35">
      <c r="A35" s="43">
        <v>29</v>
      </c>
      <c r="B35" s="86"/>
      <c r="C35" s="39"/>
    </row>
    <row r="36" spans="1:3" s="60" customFormat="1" ht="23.25" customHeight="1" x14ac:dyDescent="0.35">
      <c r="A36" s="43">
        <v>30</v>
      </c>
      <c r="B36" s="86"/>
      <c r="C36" s="39"/>
    </row>
    <row r="37" spans="1:3" s="60" customFormat="1" ht="23.25" customHeight="1" x14ac:dyDescent="0.35">
      <c r="A37" s="43">
        <v>31</v>
      </c>
      <c r="B37" s="86"/>
      <c r="C37" s="39"/>
    </row>
    <row r="38" spans="1:3" s="60" customFormat="1" ht="23.25" customHeight="1" x14ac:dyDescent="0.35">
      <c r="A38" s="43">
        <v>32</v>
      </c>
      <c r="B38" s="86"/>
      <c r="C38" s="39"/>
    </row>
    <row r="39" spans="1:3" s="60" customFormat="1" ht="23.25" customHeight="1" x14ac:dyDescent="0.35">
      <c r="A39" s="43">
        <v>33</v>
      </c>
      <c r="B39" s="86"/>
      <c r="C39" s="39"/>
    </row>
    <row r="40" spans="1:3" s="60" customFormat="1" ht="23.25" customHeight="1" x14ac:dyDescent="0.35">
      <c r="A40" s="43">
        <v>34</v>
      </c>
      <c r="B40" s="86"/>
      <c r="C40" s="39"/>
    </row>
    <row r="41" spans="1:3" s="60" customFormat="1" ht="23.25" customHeight="1" x14ac:dyDescent="0.35">
      <c r="A41" s="43">
        <v>35</v>
      </c>
      <c r="B41" s="86"/>
      <c r="C41" s="39"/>
    </row>
    <row r="42" spans="1:3" s="60" customFormat="1" ht="23.25" customHeight="1" x14ac:dyDescent="0.3">
      <c r="A42" s="43">
        <v>36</v>
      </c>
    </row>
    <row r="43" spans="1:3" s="60" customFormat="1" ht="23.25" customHeight="1" x14ac:dyDescent="0.3">
      <c r="A43" s="43"/>
      <c r="C43" s="45"/>
    </row>
    <row r="44" spans="1:3" ht="23.25" customHeight="1" x14ac:dyDescent="0.3">
      <c r="B44" s="61"/>
    </row>
    <row r="45" spans="1:3" ht="23.25" customHeight="1" x14ac:dyDescent="0.3">
      <c r="B45" s="61"/>
    </row>
    <row r="46" spans="1:3" ht="23.25" customHeight="1" x14ac:dyDescent="0.35"/>
    <row r="47" spans="1:3" ht="23.25" customHeight="1" x14ac:dyDescent="0.35"/>
    <row r="48" spans="1:3" ht="23.25" customHeight="1" x14ac:dyDescent="0.3">
      <c r="B48" s="61"/>
    </row>
    <row r="49" spans="2:2" ht="18.75" x14ac:dyDescent="0.3">
      <c r="B49" s="61"/>
    </row>
    <row r="56" spans="2:2" ht="18.75" x14ac:dyDescent="0.3">
      <c r="B56" s="58"/>
    </row>
    <row r="57" spans="2:2" ht="18.75" x14ac:dyDescent="0.3">
      <c r="B57" s="58"/>
    </row>
    <row r="66" spans="2:2" x14ac:dyDescent="0.35">
      <c r="B66" s="62"/>
    </row>
    <row r="67" spans="2:2" x14ac:dyDescent="0.35">
      <c r="B67" s="62"/>
    </row>
    <row r="71" spans="2:2" x14ac:dyDescent="0.35">
      <c r="B71" s="62"/>
    </row>
  </sheetData>
  <phoneticPr fontId="43" type="noConversion"/>
  <conditionalFormatting sqref="B59:B1048576 B1:B3">
    <cfRule type="duplicateValues" dxfId="47" priority="22"/>
  </conditionalFormatting>
  <conditionalFormatting sqref="B60:B1048576 B1:B3">
    <cfRule type="duplicateValues" dxfId="46" priority="23"/>
  </conditionalFormatting>
  <conditionalFormatting sqref="B62:B1048576 B1:B3">
    <cfRule type="duplicateValues" dxfId="45" priority="24"/>
  </conditionalFormatting>
  <conditionalFormatting sqref="C6:C17">
    <cfRule type="cellIs" dxfId="44" priority="1" operator="between">
      <formula>"d64"</formula>
      <formula>"d84"</formula>
    </cfRule>
    <cfRule type="duplicateValues" dxfId="43" priority="3"/>
    <cfRule type="duplicateValues" dxfId="42" priority="4"/>
  </conditionalFormatting>
  <conditionalFormatting sqref="C18:C23">
    <cfRule type="cellIs" dxfId="41" priority="15" operator="between">
      <formula>"d64"</formula>
      <formula>"d84"</formula>
    </cfRule>
  </conditionalFormatting>
  <conditionalFormatting sqref="C23">
    <cfRule type="cellIs" dxfId="40" priority="13" operator="between">
      <formula>"d64"</formula>
      <formula>"d84"</formula>
    </cfRule>
    <cfRule type="duplicateValues" dxfId="39" priority="14"/>
  </conditionalFormatting>
  <conditionalFormatting sqref="C25">
    <cfRule type="duplicateValues" dxfId="38" priority="12"/>
  </conditionalFormatting>
  <conditionalFormatting sqref="C25:C27">
    <cfRule type="cellIs" dxfId="37" priority="7" operator="between">
      <formula>"d64"</formula>
      <formula>"d84"</formula>
    </cfRule>
  </conditionalFormatting>
  <conditionalFormatting sqref="C25:C41 C18:C23">
    <cfRule type="duplicateValues" dxfId="36" priority="26"/>
    <cfRule type="duplicateValues" dxfId="35" priority="27"/>
  </conditionalFormatting>
  <conditionalFormatting sqref="C25:C41">
    <cfRule type="cellIs" dxfId="34" priority="21" operator="between">
      <formula>"d64"</formula>
      <formula>"d84"</formula>
    </cfRule>
  </conditionalFormatting>
  <conditionalFormatting sqref="C26">
    <cfRule type="duplicateValues" dxfId="33" priority="10"/>
  </conditionalFormatting>
  <conditionalFormatting sqref="C27">
    <cfRule type="duplicateValues" dxfId="32" priority="8"/>
  </conditionalFormatting>
  <conditionalFormatting sqref="H6:H8">
    <cfRule type="cellIs" dxfId="31" priority="16" operator="between">
      <formula>"d64"</formula>
      <formula>"d84"</formula>
    </cfRule>
    <cfRule type="duplicateValues" dxfId="30" priority="17"/>
  </conditionalFormatting>
  <conditionalFormatting sqref="I6:I13 I17:I23">
    <cfRule type="duplicateValues" dxfId="29" priority="25"/>
  </conditionalFormatting>
  <conditionalFormatting sqref="I6:I13">
    <cfRule type="cellIs" dxfId="28" priority="19" operator="between">
      <formula>"d64"</formula>
      <formula>"d84"</formula>
    </cfRule>
  </conditionalFormatting>
  <conditionalFormatting sqref="I17:I23">
    <cfRule type="cellIs" dxfId="27" priority="20" operator="between">
      <formula>"d64"</formula>
      <formula>"d84"</formula>
    </cfRule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fitToHeight="2" orientation="portrait" r:id="rId1"/>
  <headerFooter>
    <oddHeader xml:space="preserve">&amp;LEmpfänger:
PANPHARMA GmbH
Bunsenstrasse 4
22946 Trittau
DE&amp;RHIGHSPEED
Inh. Martin Klüber
Otto-Hahn-Str. 3a
22946 Trittau
DE
</oddHeader>
    <oddFooter>&amp;LDruckdatum / Zeit
&amp;D / &amp;T
Seite &amp;P von &amp;N&amp;R------------------------------------------------------------------------
Sendung vollzählig in einwandfreiem Zustand erhalten</oddFooter>
  </headerFooter>
  <rowBreaks count="1" manualBreakCount="1">
    <brk id="23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2"/>
  <sheetViews>
    <sheetView workbookViewId="0">
      <selection activeCell="D8" sqref="D8"/>
    </sheetView>
  </sheetViews>
  <sheetFormatPr baseColWidth="10" defaultRowHeight="15.75" x14ac:dyDescent="0.25"/>
  <cols>
    <col min="1" max="1" width="5.5703125" style="6" customWidth="1"/>
    <col min="2" max="2" width="18.5703125" style="25" customWidth="1"/>
    <col min="3" max="3" width="15.28515625" style="24" customWidth="1"/>
    <col min="4" max="4" width="23" style="24" customWidth="1"/>
    <col min="5" max="5" width="33.28515625" style="6" customWidth="1"/>
    <col min="6" max="16384" width="11.42578125" style="6"/>
  </cols>
  <sheetData>
    <row r="1" spans="1:20" s="4" customFormat="1" ht="21" x14ac:dyDescent="0.35">
      <c r="B1" s="22" t="s">
        <v>0</v>
      </c>
      <c r="C1" s="23">
        <f ca="1">TODAY()</f>
        <v>46192</v>
      </c>
      <c r="D1" s="24"/>
    </row>
    <row r="2" spans="1:20" s="24" customFormat="1" ht="64.5" customHeight="1" x14ac:dyDescent="0.25">
      <c r="B2" s="207"/>
      <c r="C2" s="208"/>
      <c r="D2" s="209"/>
      <c r="E2" s="91"/>
    </row>
    <row r="3" spans="1:20" s="4" customFormat="1" x14ac:dyDescent="0.25">
      <c r="B3" s="31"/>
      <c r="E3" s="91" t="s">
        <v>164</v>
      </c>
    </row>
    <row r="4" spans="1:20" s="28" customFormat="1" ht="48" customHeight="1" x14ac:dyDescent="0.25">
      <c r="B4" s="30"/>
      <c r="C4" s="24" t="s">
        <v>1</v>
      </c>
      <c r="D4" s="24" t="s">
        <v>2</v>
      </c>
      <c r="L4" s="28" t="s">
        <v>108</v>
      </c>
    </row>
    <row r="5" spans="1:20" s="28" customFormat="1" ht="23.25" customHeight="1" x14ac:dyDescent="0.35">
      <c r="A5" s="28">
        <v>1</v>
      </c>
      <c r="B5" s="87"/>
      <c r="C5" s="33"/>
      <c r="D5" s="33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8" customFormat="1" ht="23.25" customHeight="1" x14ac:dyDescent="0.35">
      <c r="A6" s="28">
        <v>2</v>
      </c>
      <c r="B6" s="87"/>
      <c r="C6" s="33"/>
      <c r="D6" s="3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s="28" customFormat="1" ht="23.25" customHeight="1" x14ac:dyDescent="0.35">
      <c r="A7" s="28">
        <v>3</v>
      </c>
      <c r="B7" s="87"/>
      <c r="C7" s="33"/>
      <c r="D7" s="33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s="28" customFormat="1" ht="23.25" customHeight="1" x14ac:dyDescent="0.35">
      <c r="A8" s="28">
        <v>4</v>
      </c>
      <c r="B8" s="87"/>
      <c r="C8" s="33"/>
      <c r="D8" s="33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s="28" customFormat="1" ht="23.25" customHeight="1" x14ac:dyDescent="0.35">
      <c r="A9" s="28">
        <v>5</v>
      </c>
      <c r="B9" s="87"/>
      <c r="C9" s="33"/>
      <c r="D9" s="33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s="28" customFormat="1" ht="23.25" customHeight="1" x14ac:dyDescent="0.35">
      <c r="A10" s="28">
        <v>6</v>
      </c>
      <c r="B10" s="87"/>
      <c r="C10" s="33"/>
      <c r="D10" s="33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s="28" customFormat="1" ht="23.25" customHeight="1" x14ac:dyDescent="0.35">
      <c r="A11" s="28">
        <v>7</v>
      </c>
      <c r="B11" s="87"/>
      <c r="C11" s="33"/>
      <c r="D11" s="33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s="28" customFormat="1" ht="23.25" customHeight="1" x14ac:dyDescent="0.35">
      <c r="A12" s="28">
        <v>8</v>
      </c>
      <c r="B12" s="87"/>
      <c r="C12" s="33"/>
      <c r="D12" s="33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s="28" customFormat="1" ht="23.25" customHeight="1" x14ac:dyDescent="0.35">
      <c r="A13" s="28">
        <v>9</v>
      </c>
      <c r="B13" s="87"/>
      <c r="C13" s="33"/>
      <c r="D13" s="33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s="28" customFormat="1" ht="23.25" customHeight="1" x14ac:dyDescent="0.35">
      <c r="A14" s="28">
        <v>10</v>
      </c>
      <c r="B14" s="155"/>
      <c r="C14" s="33"/>
      <c r="D14" s="33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0" ht="23.25" customHeight="1" x14ac:dyDescent="0.35">
      <c r="A15" s="6">
        <v>11</v>
      </c>
      <c r="B15" s="155"/>
      <c r="C15" s="33"/>
      <c r="D15" s="3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3.25" customHeight="1" x14ac:dyDescent="0.35">
      <c r="A16" s="6">
        <v>12</v>
      </c>
      <c r="B16" s="155"/>
      <c r="C16" s="33"/>
      <c r="D16" s="3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3.25" customHeight="1" x14ac:dyDescent="0.35">
      <c r="A17" s="6">
        <v>13</v>
      </c>
      <c r="B17" s="155"/>
      <c r="C17" s="33"/>
      <c r="D17" s="33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</row>
    <row r="18" spans="1:20" s="14" customFormat="1" ht="23.25" customHeight="1" x14ac:dyDescent="0.35">
      <c r="A18" s="14">
        <v>14</v>
      </c>
      <c r="B18" s="155"/>
      <c r="C18" s="33"/>
      <c r="D18" s="33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s="14" customFormat="1" ht="23.25" customHeight="1" x14ac:dyDescent="0.35">
      <c r="A19" s="14">
        <v>15</v>
      </c>
      <c r="B19" s="155"/>
      <c r="C19" s="33"/>
      <c r="D19" s="33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s="14" customFormat="1" ht="23.25" customHeight="1" x14ac:dyDescent="0.35">
      <c r="A20" s="14">
        <v>16</v>
      </c>
      <c r="B20" s="155"/>
      <c r="C20" s="33"/>
      <c r="D20" s="33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3.25" customHeight="1" x14ac:dyDescent="0.35">
      <c r="A21" s="6">
        <v>17</v>
      </c>
      <c r="B21" s="129"/>
      <c r="C21" s="35"/>
      <c r="D21" s="35"/>
    </row>
    <row r="22" spans="1:20" ht="23.25" customHeight="1" x14ac:dyDescent="0.35">
      <c r="A22" s="6">
        <v>18</v>
      </c>
      <c r="B22" s="129"/>
      <c r="C22" s="35"/>
      <c r="D22" s="35"/>
    </row>
    <row r="23" spans="1:20" ht="23.25" customHeight="1" x14ac:dyDescent="0.35">
      <c r="A23" s="6">
        <v>19</v>
      </c>
      <c r="B23" s="129"/>
      <c r="C23" s="35"/>
      <c r="D23" s="35"/>
    </row>
    <row r="24" spans="1:20" ht="23.25" customHeight="1" x14ac:dyDescent="0.35">
      <c r="A24" s="6">
        <v>20</v>
      </c>
      <c r="B24" s="129"/>
      <c r="C24" s="35"/>
      <c r="D24" s="35"/>
    </row>
    <row r="25" spans="1:20" ht="23.25" customHeight="1" x14ac:dyDescent="0.35">
      <c r="A25" s="6">
        <v>21</v>
      </c>
      <c r="B25" s="128"/>
      <c r="C25" s="35"/>
      <c r="D25" s="35"/>
    </row>
    <row r="26" spans="1:20" ht="23.25" customHeight="1" x14ac:dyDescent="0.35">
      <c r="A26" s="6">
        <v>22</v>
      </c>
      <c r="B26" s="128"/>
      <c r="C26" s="35"/>
      <c r="D26" s="35"/>
    </row>
    <row r="27" spans="1:20" ht="23.25" customHeight="1" x14ac:dyDescent="0.35">
      <c r="A27" s="6">
        <v>23</v>
      </c>
      <c r="B27" s="128"/>
      <c r="C27" s="35"/>
      <c r="D27" s="35"/>
    </row>
    <row r="28" spans="1:20" ht="23.25" customHeight="1" x14ac:dyDescent="0.35">
      <c r="A28" s="6">
        <v>24</v>
      </c>
      <c r="B28" s="128"/>
      <c r="C28" s="35"/>
      <c r="D28" s="35"/>
    </row>
    <row r="29" spans="1:20" ht="23.25" customHeight="1" x14ac:dyDescent="0.35">
      <c r="A29" s="6">
        <v>25</v>
      </c>
      <c r="B29" s="128"/>
      <c r="C29" s="35"/>
      <c r="D29" s="35"/>
    </row>
    <row r="30" spans="1:20" ht="23.25" customHeight="1" x14ac:dyDescent="0.35">
      <c r="A30" s="6">
        <v>26</v>
      </c>
      <c r="B30" s="36"/>
      <c r="C30" s="35"/>
      <c r="D30" s="35"/>
    </row>
    <row r="31" spans="1:20" ht="23.25" customHeight="1" x14ac:dyDescent="0.35">
      <c r="A31" s="6">
        <v>27</v>
      </c>
      <c r="B31" s="36"/>
      <c r="C31" s="35"/>
      <c r="D31" s="35"/>
    </row>
    <row r="32" spans="1:20" ht="23.25" customHeight="1" x14ac:dyDescent="0.35">
      <c r="A32" s="6">
        <v>28</v>
      </c>
      <c r="B32" s="36"/>
      <c r="C32" s="35"/>
      <c r="D32" s="35"/>
    </row>
    <row r="33" spans="1:4" ht="23.25" customHeight="1" x14ac:dyDescent="0.35">
      <c r="A33" s="6">
        <v>29</v>
      </c>
      <c r="B33" s="36"/>
      <c r="C33" s="35"/>
      <c r="D33" s="35"/>
    </row>
    <row r="34" spans="1:4" ht="23.25" customHeight="1" x14ac:dyDescent="0.35">
      <c r="A34" s="6">
        <v>30</v>
      </c>
      <c r="B34" s="36"/>
      <c r="C34" s="35"/>
      <c r="D34" s="35"/>
    </row>
    <row r="35" spans="1:4" ht="23.25" customHeight="1" x14ac:dyDescent="0.35">
      <c r="A35" s="6">
        <v>31</v>
      </c>
      <c r="B35" s="36"/>
      <c r="C35" s="35"/>
      <c r="D35" s="35"/>
    </row>
    <row r="36" spans="1:4" ht="23.25" customHeight="1" x14ac:dyDescent="0.35">
      <c r="A36" s="6">
        <v>32</v>
      </c>
      <c r="B36" s="36"/>
      <c r="C36" s="35"/>
      <c r="D36" s="35"/>
    </row>
    <row r="37" spans="1:4" ht="23.25" customHeight="1" x14ac:dyDescent="0.35">
      <c r="A37" s="6">
        <v>33</v>
      </c>
      <c r="B37" s="36"/>
      <c r="C37" s="35"/>
      <c r="D37" s="35"/>
    </row>
    <row r="38" spans="1:4" ht="23.25" customHeight="1" x14ac:dyDescent="0.35">
      <c r="A38" s="6">
        <v>34</v>
      </c>
      <c r="B38" s="36"/>
      <c r="C38" s="35"/>
      <c r="D38" s="35"/>
    </row>
    <row r="39" spans="1:4" ht="23.25" customHeight="1" x14ac:dyDescent="0.35">
      <c r="A39" s="6">
        <v>35</v>
      </c>
      <c r="B39" s="36"/>
      <c r="C39" s="35"/>
      <c r="D39" s="35"/>
    </row>
    <row r="40" spans="1:4" ht="23.25" customHeight="1" x14ac:dyDescent="0.35">
      <c r="A40" s="6">
        <v>36</v>
      </c>
      <c r="B40" s="36"/>
      <c r="C40" s="35"/>
      <c r="D40" s="35"/>
    </row>
    <row r="41" spans="1:4" ht="23.25" customHeight="1" x14ac:dyDescent="0.35">
      <c r="A41" s="6">
        <v>37</v>
      </c>
      <c r="B41" s="36"/>
      <c r="C41" s="35"/>
      <c r="D41" s="35"/>
    </row>
    <row r="42" spans="1:4" ht="23.25" customHeight="1" x14ac:dyDescent="0.35">
      <c r="A42" s="6">
        <v>38</v>
      </c>
      <c r="B42" s="36"/>
      <c r="C42" s="35"/>
      <c r="D42" s="35"/>
    </row>
    <row r="43" spans="1:4" ht="23.25" customHeight="1" x14ac:dyDescent="0.35">
      <c r="A43" s="6">
        <v>39</v>
      </c>
      <c r="B43" s="36"/>
      <c r="C43" s="35"/>
      <c r="D43" s="35"/>
    </row>
    <row r="44" spans="1:4" ht="23.25" customHeight="1" x14ac:dyDescent="0.35">
      <c r="A44" s="6">
        <v>40</v>
      </c>
      <c r="B44" s="36"/>
      <c r="C44" s="35"/>
      <c r="D44" s="35"/>
    </row>
    <row r="45" spans="1:4" ht="23.25" customHeight="1" x14ac:dyDescent="0.35">
      <c r="A45" s="6">
        <v>41</v>
      </c>
      <c r="B45" s="36"/>
      <c r="C45" s="35"/>
      <c r="D45" s="35"/>
    </row>
    <row r="46" spans="1:4" ht="23.25" customHeight="1" x14ac:dyDescent="0.35">
      <c r="A46" s="6">
        <v>42</v>
      </c>
      <c r="B46" s="36"/>
      <c r="C46" s="35"/>
      <c r="D46" s="35"/>
    </row>
    <row r="47" spans="1:4" ht="23.25" customHeight="1" x14ac:dyDescent="0.35">
      <c r="A47" s="6">
        <v>43</v>
      </c>
      <c r="B47" s="36"/>
      <c r="C47" s="35"/>
      <c r="D47" s="35"/>
    </row>
    <row r="48" spans="1:4" ht="23.25" customHeight="1" x14ac:dyDescent="0.35">
      <c r="A48" s="6">
        <v>44</v>
      </c>
      <c r="B48" s="36"/>
      <c r="C48" s="35"/>
      <c r="D48" s="35"/>
    </row>
    <row r="49" spans="1:4" ht="23.25" customHeight="1" x14ac:dyDescent="0.35">
      <c r="A49" s="6">
        <v>45</v>
      </c>
      <c r="B49" s="36"/>
      <c r="C49" s="35"/>
      <c r="D49" s="35"/>
    </row>
    <row r="50" spans="1:4" ht="23.25" customHeight="1" x14ac:dyDescent="0.35">
      <c r="A50" s="6">
        <v>46</v>
      </c>
      <c r="B50" s="36"/>
      <c r="C50" s="35"/>
      <c r="D50" s="35"/>
    </row>
    <row r="51" spans="1:4" ht="23.25" customHeight="1" x14ac:dyDescent="0.35">
      <c r="A51" s="6">
        <v>47</v>
      </c>
      <c r="B51" s="36"/>
      <c r="C51" s="35"/>
      <c r="D51" s="35"/>
    </row>
    <row r="52" spans="1:4" ht="23.25" customHeight="1" x14ac:dyDescent="0.35">
      <c r="A52" s="6">
        <v>48</v>
      </c>
      <c r="B52" s="36"/>
      <c r="C52" s="35"/>
      <c r="D52" s="35"/>
    </row>
    <row r="53" spans="1:4" ht="23.25" customHeight="1" x14ac:dyDescent="0.35">
      <c r="A53" s="6">
        <v>49</v>
      </c>
      <c r="B53" s="36"/>
      <c r="C53" s="35"/>
      <c r="D53" s="35"/>
    </row>
    <row r="54" spans="1:4" ht="23.25" customHeight="1" x14ac:dyDescent="0.35">
      <c r="A54" s="6">
        <v>50</v>
      </c>
      <c r="B54" s="36"/>
      <c r="C54" s="35"/>
      <c r="D54" s="35"/>
    </row>
    <row r="55" spans="1:4" ht="23.25" customHeight="1" x14ac:dyDescent="0.35">
      <c r="A55" s="6">
        <v>51</v>
      </c>
      <c r="B55" s="36"/>
      <c r="C55" s="35"/>
      <c r="D55" s="35"/>
    </row>
    <row r="56" spans="1:4" ht="23.25" customHeight="1" x14ac:dyDescent="0.35">
      <c r="A56" s="6">
        <v>52</v>
      </c>
      <c r="B56" s="36"/>
      <c r="C56" s="35"/>
      <c r="D56" s="35"/>
    </row>
    <row r="57" spans="1:4" ht="23.25" customHeight="1" x14ac:dyDescent="0.35">
      <c r="A57" s="6">
        <v>53</v>
      </c>
      <c r="B57" s="36"/>
      <c r="C57" s="35"/>
      <c r="D57" s="35"/>
    </row>
    <row r="58" spans="1:4" ht="23.25" customHeight="1" x14ac:dyDescent="0.35">
      <c r="A58" s="6">
        <v>54</v>
      </c>
      <c r="B58" s="36"/>
      <c r="C58" s="35"/>
      <c r="D58" s="35"/>
    </row>
    <row r="59" spans="1:4" ht="23.25" customHeight="1" x14ac:dyDescent="0.35">
      <c r="A59" s="6">
        <v>55</v>
      </c>
      <c r="B59" s="36"/>
      <c r="C59" s="35"/>
      <c r="D59" s="35"/>
    </row>
    <row r="60" spans="1:4" ht="23.25" customHeight="1" x14ac:dyDescent="0.35">
      <c r="A60" s="6">
        <v>56</v>
      </c>
      <c r="B60" s="36"/>
      <c r="C60" s="35"/>
      <c r="D60" s="35"/>
    </row>
    <row r="61" spans="1:4" ht="23.25" customHeight="1" x14ac:dyDescent="0.35">
      <c r="A61" s="6">
        <v>57</v>
      </c>
      <c r="B61" s="36"/>
      <c r="C61" s="35"/>
      <c r="D61" s="35"/>
    </row>
    <row r="62" spans="1:4" ht="23.25" customHeight="1" x14ac:dyDescent="0.35">
      <c r="A62" s="6">
        <v>58</v>
      </c>
      <c r="B62" s="36"/>
      <c r="C62" s="35"/>
      <c r="D62" s="35"/>
    </row>
    <row r="63" spans="1:4" ht="23.25" customHeight="1" x14ac:dyDescent="0.35">
      <c r="A63" s="6">
        <v>59</v>
      </c>
      <c r="B63" s="36"/>
      <c r="C63" s="35"/>
      <c r="D63" s="35"/>
    </row>
    <row r="64" spans="1:4" ht="23.25" customHeight="1" x14ac:dyDescent="0.35">
      <c r="A64" s="6">
        <v>60</v>
      </c>
      <c r="B64" s="36"/>
      <c r="C64" s="35"/>
      <c r="D64" s="35"/>
    </row>
    <row r="65" spans="1:4" ht="23.25" customHeight="1" x14ac:dyDescent="0.35">
      <c r="A65" s="6">
        <v>61</v>
      </c>
      <c r="B65" s="36"/>
      <c r="C65" s="35"/>
      <c r="D65" s="35"/>
    </row>
    <row r="66" spans="1:4" ht="23.25" customHeight="1" x14ac:dyDescent="0.35">
      <c r="A66" s="6">
        <v>62</v>
      </c>
      <c r="B66" s="36"/>
      <c r="C66" s="35"/>
      <c r="D66" s="35"/>
    </row>
    <row r="67" spans="1:4" ht="23.25" customHeight="1" x14ac:dyDescent="0.35">
      <c r="A67" s="6">
        <v>63</v>
      </c>
      <c r="B67" s="36"/>
      <c r="C67" s="35"/>
      <c r="D67" s="35"/>
    </row>
    <row r="68" spans="1:4" ht="23.25" customHeight="1" x14ac:dyDescent="0.35">
      <c r="A68" s="6">
        <v>64</v>
      </c>
      <c r="B68" s="36"/>
      <c r="C68" s="35"/>
      <c r="D68" s="35"/>
    </row>
    <row r="69" spans="1:4" ht="23.25" customHeight="1" x14ac:dyDescent="0.35">
      <c r="A69" s="6">
        <v>65</v>
      </c>
      <c r="B69" s="36"/>
      <c r="C69" s="35"/>
      <c r="D69" s="35"/>
    </row>
    <row r="70" spans="1:4" ht="23.25" customHeight="1" x14ac:dyDescent="0.35">
      <c r="A70" s="6">
        <v>66</v>
      </c>
      <c r="B70" s="36"/>
      <c r="C70" s="35"/>
      <c r="D70" s="35"/>
    </row>
    <row r="71" spans="1:4" ht="23.25" customHeight="1" x14ac:dyDescent="0.35">
      <c r="A71" s="6">
        <v>67</v>
      </c>
      <c r="B71" s="36"/>
      <c r="C71" s="35"/>
      <c r="D71" s="35"/>
    </row>
    <row r="72" spans="1:4" ht="23.25" customHeight="1" x14ac:dyDescent="0.35">
      <c r="A72" s="6">
        <v>68</v>
      </c>
      <c r="B72" s="36"/>
      <c r="C72" s="35"/>
      <c r="D72" s="35"/>
    </row>
  </sheetData>
  <mergeCells count="1">
    <mergeCell ref="B2:D2"/>
  </mergeCells>
  <phoneticPr fontId="43" type="noConversion"/>
  <conditionalFormatting sqref="B3:B4 E2 B1 B30:B1048576">
    <cfRule type="duplicateValues" dxfId="26" priority="6"/>
  </conditionalFormatting>
  <conditionalFormatting sqref="B21:B24">
    <cfRule type="duplicateValues" dxfId="25" priority="2"/>
  </conditionalFormatting>
  <conditionalFormatting sqref="B21:B29">
    <cfRule type="cellIs" dxfId="24" priority="1" operator="equal">
      <formula>"x"</formula>
    </cfRule>
  </conditionalFormatting>
  <conditionalFormatting sqref="B25:B29">
    <cfRule type="duplicateValues" dxfId="23" priority="4"/>
  </conditionalFormatting>
  <conditionalFormatting sqref="B1:D1 B3:D4 E2 B30:D1048576 C5:D29">
    <cfRule type="duplicateValues" dxfId="22" priority="5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82" orientation="portrait" r:id="rId1"/>
  <headerFooter>
    <oddFooter>&amp;R&amp;D / &amp;T</oddFooter>
  </headerFooter>
  <rowBreaks count="2" manualBreakCount="2">
    <brk id="35" max="16383" man="1"/>
    <brk id="3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>
    <pageSetUpPr fitToPage="1"/>
  </sheetPr>
  <dimension ref="A1:T72"/>
  <sheetViews>
    <sheetView workbookViewId="0">
      <selection activeCell="B2" sqref="B2:D2"/>
    </sheetView>
  </sheetViews>
  <sheetFormatPr baseColWidth="10" defaultRowHeight="15.75" x14ac:dyDescent="0.25"/>
  <cols>
    <col min="1" max="1" width="5.5703125" style="6" customWidth="1"/>
    <col min="2" max="2" width="27.28515625" style="25" customWidth="1"/>
    <col min="3" max="3" width="15.28515625" style="24" customWidth="1"/>
    <col min="4" max="4" width="23" style="24" customWidth="1"/>
    <col min="5" max="5" width="33.28515625" style="6" customWidth="1"/>
    <col min="6" max="16384" width="11.42578125" style="6"/>
  </cols>
  <sheetData>
    <row r="1" spans="1:20" s="4" customFormat="1" ht="21" x14ac:dyDescent="0.35">
      <c r="B1" s="22" t="s">
        <v>0</v>
      </c>
      <c r="C1" s="23">
        <f ca="1">TODAY()</f>
        <v>46192</v>
      </c>
      <c r="D1" s="24"/>
    </row>
    <row r="2" spans="1:20" s="24" customFormat="1" ht="64.5" customHeight="1" x14ac:dyDescent="0.25">
      <c r="B2" s="207" t="s">
        <v>178</v>
      </c>
      <c r="C2" s="208"/>
      <c r="D2" s="209"/>
      <c r="E2" s="91" t="s">
        <v>107</v>
      </c>
    </row>
    <row r="3" spans="1:20" s="4" customFormat="1" x14ac:dyDescent="0.25">
      <c r="B3" s="31"/>
      <c r="E3" s="91" t="s">
        <v>164</v>
      </c>
    </row>
    <row r="4" spans="1:20" s="28" customFormat="1" ht="48" customHeight="1" x14ac:dyDescent="0.25">
      <c r="B4" s="30"/>
      <c r="C4" s="24" t="s">
        <v>1</v>
      </c>
      <c r="D4" s="24" t="s">
        <v>2</v>
      </c>
      <c r="L4" s="28" t="s">
        <v>108</v>
      </c>
    </row>
    <row r="5" spans="1:20" s="28" customFormat="1" ht="23.25" customHeight="1" x14ac:dyDescent="0.35">
      <c r="A5" s="28">
        <v>1</v>
      </c>
      <c r="B5" s="161">
        <v>649454</v>
      </c>
      <c r="C5" s="33" t="s">
        <v>180</v>
      </c>
      <c r="D5" s="33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8" customFormat="1" ht="23.25" customHeight="1" x14ac:dyDescent="0.35">
      <c r="A6" s="28">
        <v>2</v>
      </c>
      <c r="B6" s="161">
        <v>649455</v>
      </c>
      <c r="C6" s="33" t="s">
        <v>181</v>
      </c>
      <c r="D6" s="3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s="28" customFormat="1" ht="23.25" customHeight="1" x14ac:dyDescent="0.35">
      <c r="A7" s="28">
        <v>3</v>
      </c>
      <c r="B7" s="161">
        <v>649456</v>
      </c>
      <c r="C7" s="33" t="s">
        <v>182</v>
      </c>
      <c r="D7" s="162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s="28" customFormat="1" ht="23.25" customHeight="1" x14ac:dyDescent="0.35">
      <c r="A8" s="28">
        <v>4</v>
      </c>
      <c r="B8" s="78"/>
      <c r="C8" s="33"/>
      <c r="D8" s="33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s="28" customFormat="1" ht="23.25" customHeight="1" x14ac:dyDescent="0.35">
      <c r="A9" s="28">
        <v>5</v>
      </c>
      <c r="B9" s="78"/>
      <c r="C9" s="33"/>
      <c r="D9" s="7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s="28" customFormat="1" ht="23.25" customHeight="1" x14ac:dyDescent="0.35">
      <c r="A10" s="28">
        <v>6</v>
      </c>
      <c r="B10" s="78"/>
      <c r="C10" s="33"/>
      <c r="D10" s="7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s="28" customFormat="1" ht="23.25" customHeight="1" x14ac:dyDescent="0.35">
      <c r="A11" s="28">
        <v>7</v>
      </c>
      <c r="B11" s="78"/>
      <c r="C11" s="33"/>
      <c r="D11" s="7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s="28" customFormat="1" ht="23.25" customHeight="1" x14ac:dyDescent="0.35">
      <c r="A12" s="28">
        <v>8</v>
      </c>
      <c r="B12" s="78"/>
      <c r="C12" s="33"/>
      <c r="D12" s="7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s="28" customFormat="1" ht="23.25" customHeight="1" x14ac:dyDescent="0.35">
      <c r="A13" s="28">
        <v>9</v>
      </c>
      <c r="B13" s="78"/>
      <c r="C13" s="33"/>
      <c r="D13" s="33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s="28" customFormat="1" ht="23.25" customHeight="1" x14ac:dyDescent="0.35">
      <c r="A14" s="28">
        <v>10</v>
      </c>
      <c r="B14" s="78"/>
      <c r="C14" s="33"/>
      <c r="D14" s="33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0" ht="23.25" customHeight="1" x14ac:dyDescent="0.35">
      <c r="A15" s="6">
        <v>11</v>
      </c>
      <c r="B15" s="138"/>
      <c r="C15" s="33"/>
      <c r="D15" s="3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3.25" customHeight="1" x14ac:dyDescent="0.35">
      <c r="A16" s="6">
        <v>12</v>
      </c>
      <c r="B16" s="138"/>
      <c r="C16" s="33"/>
      <c r="D16" s="3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3.25" customHeight="1" x14ac:dyDescent="0.35">
      <c r="A17" s="6">
        <v>13</v>
      </c>
      <c r="B17" s="138"/>
      <c r="C17" s="33"/>
      <c r="D17" s="33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1:20" s="14" customFormat="1" ht="23.25" customHeight="1" x14ac:dyDescent="0.35">
      <c r="A18" s="14">
        <v>14</v>
      </c>
      <c r="B18" s="129"/>
      <c r="C18" s="33"/>
      <c r="D18" s="3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s="14" customFormat="1" ht="23.25" customHeight="1" x14ac:dyDescent="0.35">
      <c r="A19" s="14">
        <v>15</v>
      </c>
      <c r="B19" s="129"/>
      <c r="C19" s="33"/>
      <c r="D19" s="3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s="14" customFormat="1" ht="23.25" customHeight="1" x14ac:dyDescent="0.35">
      <c r="A20" s="14">
        <v>16</v>
      </c>
      <c r="B20" s="129"/>
      <c r="C20" s="34"/>
      <c r="D20" s="3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3.25" customHeight="1" x14ac:dyDescent="0.35">
      <c r="A21" s="6">
        <v>17</v>
      </c>
      <c r="B21" s="129"/>
      <c r="C21" s="35"/>
      <c r="D21" s="35"/>
    </row>
    <row r="22" spans="1:20" ht="23.25" customHeight="1" x14ac:dyDescent="0.35">
      <c r="A22" s="6">
        <v>18</v>
      </c>
      <c r="B22" s="129"/>
      <c r="C22" s="35"/>
      <c r="D22" s="35"/>
    </row>
    <row r="23" spans="1:20" ht="23.25" customHeight="1" x14ac:dyDescent="0.35">
      <c r="A23" s="6">
        <v>19</v>
      </c>
      <c r="B23" s="129"/>
      <c r="C23" s="35"/>
      <c r="D23" s="35"/>
    </row>
    <row r="24" spans="1:20" ht="23.25" customHeight="1" x14ac:dyDescent="0.35">
      <c r="A24" s="6">
        <v>20</v>
      </c>
      <c r="B24" s="129"/>
      <c r="C24" s="35"/>
      <c r="D24" s="35"/>
    </row>
    <row r="25" spans="1:20" ht="23.25" customHeight="1" x14ac:dyDescent="0.35">
      <c r="A25" s="6">
        <v>21</v>
      </c>
      <c r="B25" s="128"/>
      <c r="C25" s="35"/>
      <c r="D25" s="35"/>
    </row>
    <row r="26" spans="1:20" ht="23.25" customHeight="1" x14ac:dyDescent="0.35">
      <c r="A26" s="6">
        <v>22</v>
      </c>
      <c r="B26" s="128"/>
      <c r="C26" s="35"/>
      <c r="D26" s="35"/>
    </row>
    <row r="27" spans="1:20" ht="23.25" customHeight="1" x14ac:dyDescent="0.35">
      <c r="A27" s="6">
        <v>23</v>
      </c>
      <c r="B27" s="128"/>
      <c r="C27" s="35"/>
      <c r="D27" s="35"/>
    </row>
    <row r="28" spans="1:20" ht="23.25" customHeight="1" x14ac:dyDescent="0.35">
      <c r="A28" s="6">
        <v>24</v>
      </c>
      <c r="B28" s="128"/>
      <c r="C28" s="35"/>
      <c r="D28" s="35"/>
    </row>
    <row r="29" spans="1:20" ht="23.25" customHeight="1" x14ac:dyDescent="0.35">
      <c r="A29" s="6">
        <v>25</v>
      </c>
      <c r="B29" s="128"/>
      <c r="C29" s="35"/>
      <c r="D29" s="35"/>
    </row>
    <row r="30" spans="1:20" ht="23.25" customHeight="1" x14ac:dyDescent="0.35">
      <c r="A30" s="6">
        <v>26</v>
      </c>
      <c r="B30" s="36"/>
      <c r="C30" s="35"/>
      <c r="D30" s="35"/>
    </row>
    <row r="31" spans="1:20" ht="23.25" customHeight="1" x14ac:dyDescent="0.35">
      <c r="A31" s="6">
        <v>27</v>
      </c>
      <c r="B31" s="36"/>
      <c r="C31" s="35"/>
      <c r="D31" s="35"/>
    </row>
    <row r="32" spans="1:20" ht="23.25" customHeight="1" x14ac:dyDescent="0.35">
      <c r="A32" s="6">
        <v>28</v>
      </c>
      <c r="B32" s="36"/>
      <c r="C32" s="35"/>
      <c r="D32" s="35"/>
    </row>
    <row r="33" spans="1:4" ht="23.25" customHeight="1" x14ac:dyDescent="0.35">
      <c r="A33" s="6">
        <v>29</v>
      </c>
      <c r="B33" s="36"/>
      <c r="C33" s="35"/>
      <c r="D33" s="35"/>
    </row>
    <row r="34" spans="1:4" ht="23.25" customHeight="1" x14ac:dyDescent="0.35">
      <c r="A34" s="6">
        <v>30</v>
      </c>
      <c r="B34" s="36"/>
      <c r="C34" s="35"/>
      <c r="D34" s="35"/>
    </row>
    <row r="35" spans="1:4" ht="23.25" customHeight="1" x14ac:dyDescent="0.35">
      <c r="A35" s="6">
        <v>31</v>
      </c>
      <c r="B35" s="36"/>
      <c r="C35" s="35"/>
      <c r="D35" s="35"/>
    </row>
    <row r="36" spans="1:4" ht="23.25" customHeight="1" x14ac:dyDescent="0.35">
      <c r="A36" s="6">
        <v>32</v>
      </c>
      <c r="B36" s="36"/>
      <c r="C36" s="35"/>
      <c r="D36" s="35"/>
    </row>
    <row r="37" spans="1:4" ht="23.25" customHeight="1" x14ac:dyDescent="0.35">
      <c r="A37" s="6">
        <v>33</v>
      </c>
      <c r="B37" s="36"/>
      <c r="C37" s="35"/>
      <c r="D37" s="35"/>
    </row>
    <row r="38" spans="1:4" ht="23.25" customHeight="1" x14ac:dyDescent="0.35">
      <c r="A38" s="6">
        <v>34</v>
      </c>
      <c r="B38" s="36"/>
      <c r="C38" s="35"/>
      <c r="D38" s="35"/>
    </row>
    <row r="39" spans="1:4" ht="23.25" customHeight="1" x14ac:dyDescent="0.35">
      <c r="A39" s="6">
        <v>35</v>
      </c>
      <c r="B39" s="36"/>
      <c r="C39" s="35"/>
      <c r="D39" s="35"/>
    </row>
    <row r="40" spans="1:4" ht="23.25" customHeight="1" x14ac:dyDescent="0.35">
      <c r="A40" s="6">
        <v>36</v>
      </c>
      <c r="B40" s="36"/>
      <c r="C40" s="35"/>
      <c r="D40" s="35"/>
    </row>
    <row r="41" spans="1:4" ht="23.25" customHeight="1" x14ac:dyDescent="0.35">
      <c r="A41" s="6">
        <v>37</v>
      </c>
      <c r="B41" s="36"/>
      <c r="C41" s="35"/>
      <c r="D41" s="35"/>
    </row>
    <row r="42" spans="1:4" ht="23.25" customHeight="1" x14ac:dyDescent="0.35">
      <c r="A42" s="6">
        <v>38</v>
      </c>
      <c r="B42" s="36"/>
      <c r="C42" s="35"/>
      <c r="D42" s="35"/>
    </row>
    <row r="43" spans="1:4" ht="23.25" customHeight="1" x14ac:dyDescent="0.35">
      <c r="A43" s="6">
        <v>39</v>
      </c>
      <c r="B43" s="36"/>
      <c r="C43" s="35"/>
      <c r="D43" s="35"/>
    </row>
    <row r="44" spans="1:4" ht="23.25" customHeight="1" x14ac:dyDescent="0.35">
      <c r="A44" s="6">
        <v>40</v>
      </c>
      <c r="B44" s="36"/>
      <c r="C44" s="35"/>
      <c r="D44" s="35"/>
    </row>
    <row r="45" spans="1:4" ht="23.25" customHeight="1" x14ac:dyDescent="0.35">
      <c r="A45" s="6">
        <v>41</v>
      </c>
      <c r="B45" s="36"/>
      <c r="C45" s="35"/>
      <c r="D45" s="35"/>
    </row>
    <row r="46" spans="1:4" ht="23.25" customHeight="1" x14ac:dyDescent="0.35">
      <c r="A46" s="6">
        <v>42</v>
      </c>
      <c r="B46" s="36"/>
      <c r="C46" s="35"/>
      <c r="D46" s="35"/>
    </row>
    <row r="47" spans="1:4" ht="23.25" customHeight="1" x14ac:dyDescent="0.35">
      <c r="A47" s="6">
        <v>43</v>
      </c>
      <c r="B47" s="36"/>
      <c r="C47" s="35"/>
      <c r="D47" s="35"/>
    </row>
    <row r="48" spans="1:4" ht="23.25" customHeight="1" x14ac:dyDescent="0.35">
      <c r="A48" s="6">
        <v>44</v>
      </c>
      <c r="B48" s="36"/>
      <c r="C48" s="35"/>
      <c r="D48" s="35"/>
    </row>
    <row r="49" spans="1:4" ht="23.25" customHeight="1" x14ac:dyDescent="0.35">
      <c r="A49" s="6">
        <v>45</v>
      </c>
      <c r="B49" s="36"/>
      <c r="C49" s="35"/>
      <c r="D49" s="35"/>
    </row>
    <row r="50" spans="1:4" ht="23.25" customHeight="1" x14ac:dyDescent="0.35">
      <c r="A50" s="6">
        <v>46</v>
      </c>
      <c r="B50" s="36"/>
      <c r="C50" s="35"/>
      <c r="D50" s="35"/>
    </row>
    <row r="51" spans="1:4" ht="23.25" customHeight="1" x14ac:dyDescent="0.35">
      <c r="A51" s="6">
        <v>47</v>
      </c>
      <c r="B51" s="36"/>
      <c r="C51" s="35"/>
      <c r="D51" s="35"/>
    </row>
    <row r="52" spans="1:4" ht="23.25" customHeight="1" x14ac:dyDescent="0.35">
      <c r="A52" s="6">
        <v>48</v>
      </c>
      <c r="B52" s="36"/>
      <c r="C52" s="35"/>
      <c r="D52" s="35"/>
    </row>
    <row r="53" spans="1:4" ht="23.25" customHeight="1" x14ac:dyDescent="0.35">
      <c r="A53" s="6">
        <v>49</v>
      </c>
      <c r="B53" s="36"/>
      <c r="C53" s="35"/>
      <c r="D53" s="35"/>
    </row>
    <row r="54" spans="1:4" ht="23.25" customHeight="1" x14ac:dyDescent="0.35">
      <c r="A54" s="6">
        <v>50</v>
      </c>
      <c r="B54" s="36"/>
      <c r="C54" s="35"/>
      <c r="D54" s="35"/>
    </row>
    <row r="55" spans="1:4" ht="23.25" customHeight="1" x14ac:dyDescent="0.35">
      <c r="A55" s="6">
        <v>51</v>
      </c>
      <c r="B55" s="36"/>
      <c r="C55" s="35"/>
      <c r="D55" s="35"/>
    </row>
    <row r="56" spans="1:4" ht="23.25" customHeight="1" x14ac:dyDescent="0.35">
      <c r="A56" s="6">
        <v>52</v>
      </c>
      <c r="B56" s="36"/>
      <c r="C56" s="35"/>
      <c r="D56" s="35"/>
    </row>
    <row r="57" spans="1:4" ht="23.25" customHeight="1" x14ac:dyDescent="0.35">
      <c r="A57" s="6">
        <v>53</v>
      </c>
      <c r="B57" s="36"/>
      <c r="C57" s="35"/>
      <c r="D57" s="35"/>
    </row>
    <row r="58" spans="1:4" ht="23.25" customHeight="1" x14ac:dyDescent="0.35">
      <c r="A58" s="6">
        <v>54</v>
      </c>
      <c r="B58" s="36"/>
      <c r="C58" s="35"/>
      <c r="D58" s="35"/>
    </row>
    <row r="59" spans="1:4" ht="23.25" customHeight="1" x14ac:dyDescent="0.35">
      <c r="A59" s="6">
        <v>55</v>
      </c>
      <c r="B59" s="36"/>
      <c r="C59" s="35"/>
      <c r="D59" s="35"/>
    </row>
    <row r="60" spans="1:4" ht="23.25" customHeight="1" x14ac:dyDescent="0.35">
      <c r="A60" s="6">
        <v>56</v>
      </c>
      <c r="B60" s="36"/>
      <c r="C60" s="35"/>
      <c r="D60" s="35"/>
    </row>
    <row r="61" spans="1:4" ht="23.25" customHeight="1" x14ac:dyDescent="0.35">
      <c r="A61" s="6">
        <v>57</v>
      </c>
      <c r="B61" s="36"/>
      <c r="C61" s="35"/>
      <c r="D61" s="35"/>
    </row>
    <row r="62" spans="1:4" ht="23.25" customHeight="1" x14ac:dyDescent="0.35">
      <c r="A62" s="6">
        <v>58</v>
      </c>
      <c r="B62" s="36"/>
      <c r="C62" s="35"/>
      <c r="D62" s="35"/>
    </row>
    <row r="63" spans="1:4" ht="23.25" customHeight="1" x14ac:dyDescent="0.35">
      <c r="A63" s="6">
        <v>59</v>
      </c>
      <c r="B63" s="36"/>
      <c r="C63" s="35"/>
      <c r="D63" s="35"/>
    </row>
    <row r="64" spans="1:4" ht="23.25" customHeight="1" x14ac:dyDescent="0.35">
      <c r="A64" s="6">
        <v>60</v>
      </c>
      <c r="B64" s="36"/>
      <c r="C64" s="35"/>
      <c r="D64" s="35"/>
    </row>
    <row r="65" spans="1:4" ht="23.25" customHeight="1" x14ac:dyDescent="0.35">
      <c r="A65" s="6">
        <v>61</v>
      </c>
      <c r="B65" s="36"/>
      <c r="C65" s="35"/>
      <c r="D65" s="35"/>
    </row>
    <row r="66" spans="1:4" ht="23.25" customHeight="1" x14ac:dyDescent="0.35">
      <c r="A66" s="6">
        <v>62</v>
      </c>
      <c r="B66" s="36"/>
      <c r="C66" s="35"/>
      <c r="D66" s="35"/>
    </row>
    <row r="67" spans="1:4" ht="23.25" customHeight="1" x14ac:dyDescent="0.35">
      <c r="A67" s="6">
        <v>63</v>
      </c>
      <c r="B67" s="36"/>
      <c r="C67" s="35"/>
      <c r="D67" s="35"/>
    </row>
    <row r="68" spans="1:4" ht="23.25" customHeight="1" x14ac:dyDescent="0.35">
      <c r="A68" s="6">
        <v>64</v>
      </c>
      <c r="B68" s="36"/>
      <c r="C68" s="35"/>
      <c r="D68" s="35"/>
    </row>
    <row r="69" spans="1:4" ht="23.25" customHeight="1" x14ac:dyDescent="0.35">
      <c r="A69" s="6">
        <v>65</v>
      </c>
      <c r="B69" s="36"/>
      <c r="C69" s="35"/>
      <c r="D69" s="35"/>
    </row>
    <row r="70" spans="1:4" ht="23.25" customHeight="1" x14ac:dyDescent="0.35">
      <c r="A70" s="6">
        <v>66</v>
      </c>
      <c r="B70" s="36"/>
      <c r="C70" s="35"/>
      <c r="D70" s="35"/>
    </row>
    <row r="71" spans="1:4" ht="23.25" customHeight="1" x14ac:dyDescent="0.35">
      <c r="A71" s="6">
        <v>67</v>
      </c>
      <c r="B71" s="36"/>
      <c r="C71" s="35"/>
      <c r="D71" s="35"/>
    </row>
    <row r="72" spans="1:4" ht="23.25" customHeight="1" x14ac:dyDescent="0.35">
      <c r="A72" s="6">
        <v>68</v>
      </c>
      <c r="B72" s="36"/>
      <c r="C72" s="35"/>
      <c r="D72" s="35"/>
    </row>
  </sheetData>
  <mergeCells count="1">
    <mergeCell ref="B2:D2"/>
  </mergeCells>
  <phoneticPr fontId="43" type="noConversion"/>
  <conditionalFormatting sqref="B3:B4 E2 B1 B30:B1048576">
    <cfRule type="duplicateValues" dxfId="21" priority="35"/>
  </conditionalFormatting>
  <conditionalFormatting sqref="B18:B24">
    <cfRule type="duplicateValues" dxfId="20" priority="6"/>
  </conditionalFormatting>
  <conditionalFormatting sqref="B18:B29">
    <cfRule type="cellIs" dxfId="19" priority="4" operator="equal">
      <formula>"x"</formula>
    </cfRule>
  </conditionalFormatting>
  <conditionalFormatting sqref="B25:B29">
    <cfRule type="duplicateValues" dxfId="18" priority="24"/>
  </conditionalFormatting>
  <conditionalFormatting sqref="B1:D1 B3:D4 E2 B30:D1048576 C5:D6 C8:D29 C7">
    <cfRule type="duplicateValues" dxfId="17" priority="34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82" orientation="portrait" r:id="rId1"/>
  <headerFooter>
    <oddFooter>&amp;R&amp;D / &amp;T</oddFooter>
  </headerFooter>
  <rowBreaks count="2" manualBreakCount="2">
    <brk id="35" max="16383" man="1"/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91"/>
  <sheetViews>
    <sheetView topLeftCell="A52" workbookViewId="0">
      <selection activeCell="D82" sqref="D82"/>
    </sheetView>
  </sheetViews>
  <sheetFormatPr baseColWidth="10" defaultRowHeight="21" x14ac:dyDescent="0.35"/>
  <cols>
    <col min="1" max="1" width="5.5703125" style="6" customWidth="1"/>
    <col min="2" max="2" width="18.5703125" style="133" customWidth="1"/>
    <col min="3" max="3" width="15.28515625" style="24" customWidth="1"/>
    <col min="4" max="4" width="44.42578125" style="136" customWidth="1"/>
    <col min="5" max="5" width="33.28515625" style="6" customWidth="1"/>
    <col min="6" max="16384" width="11.42578125" style="6"/>
  </cols>
  <sheetData>
    <row r="1" spans="1:20" s="4" customFormat="1" x14ac:dyDescent="0.35">
      <c r="B1" s="135" t="s">
        <v>110</v>
      </c>
      <c r="C1" s="23">
        <f ca="1">TODAY()</f>
        <v>46192</v>
      </c>
      <c r="D1" s="136"/>
    </row>
    <row r="2" spans="1:20" s="24" customFormat="1" x14ac:dyDescent="0.35">
      <c r="B2" s="136" t="s">
        <v>162</v>
      </c>
      <c r="C2" s="92"/>
      <c r="D2" s="136"/>
      <c r="E2" s="91" t="s">
        <v>107</v>
      </c>
    </row>
    <row r="3" spans="1:20" s="4" customFormat="1" x14ac:dyDescent="0.35">
      <c r="B3" s="132"/>
      <c r="D3" s="142"/>
    </row>
    <row r="4" spans="1:20" s="28" customFormat="1" ht="48" customHeight="1" x14ac:dyDescent="0.35">
      <c r="B4" s="137" t="s">
        <v>163</v>
      </c>
      <c r="C4" s="24" t="s">
        <v>111</v>
      </c>
      <c r="D4" s="136" t="s">
        <v>112</v>
      </c>
      <c r="L4" s="28" t="s">
        <v>108</v>
      </c>
    </row>
    <row r="5" spans="1:20" s="28" customFormat="1" ht="23.25" customHeight="1" x14ac:dyDescent="0.35">
      <c r="A5" s="28">
        <v>1</v>
      </c>
      <c r="B5" s="138">
        <v>5</v>
      </c>
      <c r="C5" s="33" t="s">
        <v>113</v>
      </c>
      <c r="D5" s="143" t="s">
        <v>176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8" customFormat="1" ht="23.25" customHeight="1" x14ac:dyDescent="0.35">
      <c r="A6" s="28">
        <v>2</v>
      </c>
      <c r="B6" s="138">
        <v>6</v>
      </c>
      <c r="C6" s="33" t="s">
        <v>114</v>
      </c>
      <c r="D6" s="144" t="s">
        <v>176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s="28" customFormat="1" ht="23.25" customHeight="1" x14ac:dyDescent="0.35">
      <c r="A7" s="28">
        <v>3</v>
      </c>
      <c r="B7" s="138">
        <v>8</v>
      </c>
      <c r="C7" s="33" t="s">
        <v>115</v>
      </c>
      <c r="D7" s="144" t="s">
        <v>176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s="28" customFormat="1" ht="23.25" customHeight="1" x14ac:dyDescent="0.35">
      <c r="A8" s="28">
        <v>4</v>
      </c>
      <c r="B8" s="138">
        <v>15</v>
      </c>
      <c r="C8" s="146">
        <v>0</v>
      </c>
      <c r="D8" s="147" t="s">
        <v>173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s="28" customFormat="1" ht="23.25" customHeight="1" x14ac:dyDescent="0.35">
      <c r="A9" s="28">
        <v>5</v>
      </c>
      <c r="B9" s="138">
        <v>16</v>
      </c>
      <c r="C9" s="33" t="s">
        <v>116</v>
      </c>
      <c r="D9" s="144" t="s">
        <v>176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s="28" customFormat="1" ht="23.25" customHeight="1" x14ac:dyDescent="0.35">
      <c r="A10" s="28">
        <v>6</v>
      </c>
      <c r="B10" s="138">
        <v>17</v>
      </c>
      <c r="C10" s="33" t="s">
        <v>117</v>
      </c>
      <c r="D10" s="144" t="s">
        <v>176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s="28" customFormat="1" ht="23.25" customHeight="1" x14ac:dyDescent="0.35">
      <c r="A11" s="28">
        <v>7</v>
      </c>
      <c r="B11" s="138">
        <v>26</v>
      </c>
      <c r="C11" s="33" t="s">
        <v>165</v>
      </c>
      <c r="D11" s="144" t="s">
        <v>176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s="28" customFormat="1" ht="23.25" customHeight="1" x14ac:dyDescent="0.35">
      <c r="A12" s="28">
        <v>8</v>
      </c>
      <c r="B12" s="138">
        <v>27</v>
      </c>
      <c r="C12" s="33" t="s">
        <v>119</v>
      </c>
      <c r="D12" s="144" t="s">
        <v>176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s="28" customFormat="1" ht="23.25" customHeight="1" x14ac:dyDescent="0.35">
      <c r="A13" s="28">
        <v>9</v>
      </c>
      <c r="B13" s="138">
        <v>28</v>
      </c>
      <c r="C13" s="33" t="s">
        <v>120</v>
      </c>
      <c r="D13" s="144" t="s">
        <v>176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s="28" customFormat="1" ht="23.25" customHeight="1" x14ac:dyDescent="0.35">
      <c r="A14" s="28">
        <v>10</v>
      </c>
      <c r="B14" s="138">
        <v>29</v>
      </c>
      <c r="C14" s="33" t="s">
        <v>121</v>
      </c>
      <c r="D14" s="144" t="s">
        <v>176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0" ht="23.25" customHeight="1" x14ac:dyDescent="0.35">
      <c r="A15" s="6">
        <v>11</v>
      </c>
      <c r="B15" s="138">
        <v>30</v>
      </c>
      <c r="C15" s="146">
        <v>0</v>
      </c>
      <c r="D15" s="147" t="s">
        <v>173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3.25" customHeight="1" x14ac:dyDescent="0.35">
      <c r="A16" s="6">
        <v>12</v>
      </c>
      <c r="B16" s="138">
        <v>34</v>
      </c>
      <c r="C16" s="33" t="s">
        <v>123</v>
      </c>
      <c r="D16" s="144" t="s">
        <v>176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3.25" customHeight="1" x14ac:dyDescent="0.35">
      <c r="A17" s="6">
        <v>13</v>
      </c>
      <c r="B17" s="138">
        <v>35</v>
      </c>
      <c r="C17" s="33" t="s">
        <v>124</v>
      </c>
      <c r="D17" s="144" t="s">
        <v>176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</row>
    <row r="18" spans="1:20" s="14" customFormat="1" ht="23.25" customHeight="1" x14ac:dyDescent="0.35">
      <c r="A18" s="14">
        <v>14</v>
      </c>
      <c r="B18" s="138">
        <v>36</v>
      </c>
      <c r="C18" s="33" t="s">
        <v>125</v>
      </c>
      <c r="D18" s="144" t="s">
        <v>176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s="14" customFormat="1" ht="23.25" customHeight="1" x14ac:dyDescent="0.35">
      <c r="A19" s="14">
        <v>15</v>
      </c>
      <c r="B19" s="138">
        <v>38</v>
      </c>
      <c r="C19" s="33" t="s">
        <v>126</v>
      </c>
      <c r="D19" s="144" t="s">
        <v>176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s="14" customFormat="1" ht="23.25" customHeight="1" x14ac:dyDescent="0.35">
      <c r="A20" s="14">
        <v>16</v>
      </c>
      <c r="B20" s="138">
        <v>39</v>
      </c>
      <c r="C20" s="34" t="s">
        <v>139</v>
      </c>
      <c r="D20" s="144" t="s">
        <v>176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23.25" customHeight="1" x14ac:dyDescent="0.35">
      <c r="A21" s="6">
        <v>17</v>
      </c>
      <c r="B21" s="138">
        <v>42</v>
      </c>
      <c r="C21" s="35" t="s">
        <v>127</v>
      </c>
      <c r="D21" s="144" t="s">
        <v>176</v>
      </c>
    </row>
    <row r="22" spans="1:20" ht="23.25" customHeight="1" x14ac:dyDescent="0.35">
      <c r="A22" s="6">
        <v>18</v>
      </c>
      <c r="B22" s="138">
        <v>51</v>
      </c>
      <c r="C22" s="35" t="s">
        <v>144</v>
      </c>
      <c r="D22" s="144" t="s">
        <v>176</v>
      </c>
    </row>
    <row r="23" spans="1:20" ht="23.25" customHeight="1" x14ac:dyDescent="0.35">
      <c r="A23" s="6">
        <v>19</v>
      </c>
      <c r="B23" s="138">
        <v>63</v>
      </c>
      <c r="C23" s="35" t="s">
        <v>129</v>
      </c>
      <c r="D23" s="144" t="s">
        <v>176</v>
      </c>
    </row>
    <row r="24" spans="1:20" ht="23.25" customHeight="1" x14ac:dyDescent="0.35">
      <c r="A24" s="6">
        <v>20</v>
      </c>
      <c r="B24" s="138">
        <v>65</v>
      </c>
      <c r="C24" s="35" t="s">
        <v>130</v>
      </c>
      <c r="D24" s="144" t="s">
        <v>176</v>
      </c>
    </row>
    <row r="25" spans="1:20" ht="23.25" customHeight="1" x14ac:dyDescent="0.35">
      <c r="A25" s="6">
        <v>21</v>
      </c>
      <c r="B25" s="138">
        <v>71</v>
      </c>
      <c r="C25" s="35" t="s">
        <v>131</v>
      </c>
      <c r="D25" s="144" t="s">
        <v>176</v>
      </c>
    </row>
    <row r="26" spans="1:20" ht="23.25" customHeight="1" x14ac:dyDescent="0.35">
      <c r="A26" s="6">
        <v>22</v>
      </c>
      <c r="B26" s="138">
        <v>72</v>
      </c>
      <c r="C26" s="35" t="s">
        <v>132</v>
      </c>
      <c r="D26" s="144" t="s">
        <v>176</v>
      </c>
    </row>
    <row r="27" spans="1:20" ht="23.25" customHeight="1" x14ac:dyDescent="0.35">
      <c r="A27" s="6">
        <v>23</v>
      </c>
      <c r="B27" s="138">
        <v>73</v>
      </c>
      <c r="C27" s="35" t="s">
        <v>133</v>
      </c>
      <c r="D27" s="144" t="s">
        <v>176</v>
      </c>
    </row>
    <row r="28" spans="1:20" ht="23.25" customHeight="1" x14ac:dyDescent="0.35">
      <c r="A28" s="6">
        <v>24</v>
      </c>
      <c r="B28" s="138">
        <v>74</v>
      </c>
      <c r="C28" s="35" t="s">
        <v>134</v>
      </c>
      <c r="D28" s="144" t="s">
        <v>176</v>
      </c>
    </row>
    <row r="29" spans="1:20" ht="23.25" customHeight="1" x14ac:dyDescent="0.35">
      <c r="A29" s="6">
        <v>25</v>
      </c>
      <c r="B29" s="138">
        <v>75</v>
      </c>
      <c r="C29" s="35" t="s">
        <v>135</v>
      </c>
      <c r="D29" s="144" t="s">
        <v>176</v>
      </c>
    </row>
    <row r="30" spans="1:20" ht="23.25" customHeight="1" x14ac:dyDescent="0.35">
      <c r="A30" s="6">
        <v>26</v>
      </c>
      <c r="B30" s="138">
        <v>76</v>
      </c>
      <c r="C30" s="35" t="s">
        <v>136</v>
      </c>
      <c r="D30" s="144" t="s">
        <v>176</v>
      </c>
    </row>
    <row r="31" spans="1:20" ht="23.25" customHeight="1" x14ac:dyDescent="0.35">
      <c r="A31" s="6">
        <v>27</v>
      </c>
      <c r="B31" s="138">
        <v>77</v>
      </c>
      <c r="C31" s="35" t="s">
        <v>137</v>
      </c>
      <c r="D31" s="144" t="s">
        <v>176</v>
      </c>
    </row>
    <row r="32" spans="1:20" ht="23.25" customHeight="1" x14ac:dyDescent="0.35">
      <c r="A32" s="6">
        <v>28</v>
      </c>
      <c r="B32" s="138">
        <v>78</v>
      </c>
      <c r="C32" s="35" t="s">
        <v>138</v>
      </c>
      <c r="D32" s="144" t="s">
        <v>176</v>
      </c>
    </row>
    <row r="33" spans="1:4" ht="23.25" customHeight="1" x14ac:dyDescent="0.35">
      <c r="A33" s="6">
        <v>29</v>
      </c>
      <c r="B33" s="138">
        <v>92</v>
      </c>
      <c r="C33" s="35" t="s">
        <v>140</v>
      </c>
      <c r="D33" s="144" t="s">
        <v>176</v>
      </c>
    </row>
    <row r="34" spans="1:4" ht="23.25" customHeight="1" x14ac:dyDescent="0.35">
      <c r="A34" s="6">
        <v>30</v>
      </c>
      <c r="B34" s="138">
        <v>93</v>
      </c>
      <c r="C34" s="35" t="s">
        <v>141</v>
      </c>
      <c r="D34" s="144" t="s">
        <v>176</v>
      </c>
    </row>
    <row r="35" spans="1:4" ht="23.25" customHeight="1" x14ac:dyDescent="0.35">
      <c r="A35" s="6">
        <v>31</v>
      </c>
      <c r="B35" s="138">
        <v>97</v>
      </c>
      <c r="C35" s="35" t="s">
        <v>128</v>
      </c>
      <c r="D35" s="144" t="s">
        <v>176</v>
      </c>
    </row>
    <row r="36" spans="1:4" ht="23.25" customHeight="1" x14ac:dyDescent="0.35">
      <c r="A36" s="6">
        <v>32</v>
      </c>
      <c r="B36" s="138">
        <v>101</v>
      </c>
      <c r="C36" s="35" t="s">
        <v>146</v>
      </c>
      <c r="D36" s="144" t="s">
        <v>176</v>
      </c>
    </row>
    <row r="37" spans="1:4" ht="23.25" customHeight="1" x14ac:dyDescent="0.35">
      <c r="A37" s="6">
        <v>33</v>
      </c>
      <c r="B37" s="138">
        <v>102</v>
      </c>
      <c r="C37" s="35" t="s">
        <v>147</v>
      </c>
      <c r="D37" s="144" t="s">
        <v>176</v>
      </c>
    </row>
    <row r="38" spans="1:4" ht="23.25" customHeight="1" x14ac:dyDescent="0.35">
      <c r="A38" s="6">
        <v>34</v>
      </c>
      <c r="B38" s="138">
        <v>104</v>
      </c>
      <c r="C38" s="35" t="s">
        <v>118</v>
      </c>
      <c r="D38" s="144" t="s">
        <v>176</v>
      </c>
    </row>
    <row r="39" spans="1:4" ht="23.25" customHeight="1" x14ac:dyDescent="0.35">
      <c r="A39" s="6">
        <v>35</v>
      </c>
      <c r="B39" s="138">
        <v>105</v>
      </c>
      <c r="C39" s="35" t="s">
        <v>148</v>
      </c>
      <c r="D39" s="144" t="s">
        <v>176</v>
      </c>
    </row>
    <row r="40" spans="1:4" ht="23.25" customHeight="1" x14ac:dyDescent="0.35">
      <c r="A40" s="6">
        <v>36</v>
      </c>
      <c r="B40" s="138">
        <v>106</v>
      </c>
      <c r="C40" s="35" t="s">
        <v>149</v>
      </c>
      <c r="D40" s="144" t="s">
        <v>176</v>
      </c>
    </row>
    <row r="41" spans="1:4" ht="23.25" customHeight="1" x14ac:dyDescent="0.35">
      <c r="A41" s="6">
        <v>37</v>
      </c>
      <c r="B41" s="138">
        <v>107</v>
      </c>
      <c r="C41" s="35" t="s">
        <v>170</v>
      </c>
      <c r="D41" s="144" t="s">
        <v>176</v>
      </c>
    </row>
    <row r="42" spans="1:4" ht="23.25" customHeight="1" x14ac:dyDescent="0.35">
      <c r="A42" s="6">
        <v>38</v>
      </c>
      <c r="B42" s="138">
        <v>109</v>
      </c>
      <c r="C42" s="35" t="s">
        <v>150</v>
      </c>
      <c r="D42" s="144" t="s">
        <v>176</v>
      </c>
    </row>
    <row r="43" spans="1:4" ht="23.25" customHeight="1" x14ac:dyDescent="0.35">
      <c r="A43" s="6">
        <v>39</v>
      </c>
      <c r="B43" s="138">
        <v>110</v>
      </c>
      <c r="C43" s="35" t="s">
        <v>151</v>
      </c>
      <c r="D43" s="144" t="s">
        <v>176</v>
      </c>
    </row>
    <row r="44" spans="1:4" ht="23.25" customHeight="1" x14ac:dyDescent="0.35">
      <c r="A44" s="6">
        <v>40</v>
      </c>
      <c r="B44" s="138">
        <v>112</v>
      </c>
      <c r="C44" s="35" t="s">
        <v>145</v>
      </c>
      <c r="D44" s="144" t="s">
        <v>176</v>
      </c>
    </row>
    <row r="45" spans="1:4" ht="23.25" customHeight="1" x14ac:dyDescent="0.35">
      <c r="A45" s="6">
        <v>41</v>
      </c>
      <c r="B45" s="138">
        <v>113</v>
      </c>
      <c r="C45" s="35" t="s">
        <v>143</v>
      </c>
      <c r="D45" s="144" t="s">
        <v>176</v>
      </c>
    </row>
    <row r="46" spans="1:4" ht="23.25" customHeight="1" x14ac:dyDescent="0.35">
      <c r="A46" s="6">
        <v>42</v>
      </c>
      <c r="B46" s="138">
        <v>114</v>
      </c>
      <c r="C46" s="35" t="s">
        <v>142</v>
      </c>
      <c r="D46" s="144" t="s">
        <v>176</v>
      </c>
    </row>
    <row r="47" spans="1:4" ht="23.25" customHeight="1" x14ac:dyDescent="0.35">
      <c r="A47" s="6">
        <v>43</v>
      </c>
      <c r="B47" s="138">
        <v>115</v>
      </c>
      <c r="C47" s="35" t="s">
        <v>152</v>
      </c>
      <c r="D47" s="144" t="s">
        <v>176</v>
      </c>
    </row>
    <row r="48" spans="1:4" ht="23.25" customHeight="1" x14ac:dyDescent="0.35">
      <c r="A48" s="6">
        <v>44</v>
      </c>
      <c r="B48" s="138">
        <v>116</v>
      </c>
      <c r="C48" s="145" t="s">
        <v>153</v>
      </c>
      <c r="D48" s="144" t="s">
        <v>176</v>
      </c>
    </row>
    <row r="49" spans="1:4" ht="23.25" customHeight="1" x14ac:dyDescent="0.35">
      <c r="A49" s="6">
        <v>45</v>
      </c>
      <c r="B49" s="138">
        <v>117</v>
      </c>
      <c r="C49" s="145" t="s">
        <v>153</v>
      </c>
      <c r="D49" s="144" t="s">
        <v>176</v>
      </c>
    </row>
    <row r="50" spans="1:4" ht="23.25" customHeight="1" x14ac:dyDescent="0.35">
      <c r="A50" s="6">
        <v>46</v>
      </c>
      <c r="B50" s="138">
        <v>123</v>
      </c>
      <c r="C50" s="35" t="s">
        <v>154</v>
      </c>
      <c r="D50" s="144" t="s">
        <v>176</v>
      </c>
    </row>
    <row r="51" spans="1:4" ht="23.25" customHeight="1" x14ac:dyDescent="0.35">
      <c r="A51" s="6">
        <v>47</v>
      </c>
      <c r="B51" s="138">
        <v>124</v>
      </c>
      <c r="C51" s="134">
        <v>0</v>
      </c>
      <c r="D51" s="147" t="s">
        <v>174</v>
      </c>
    </row>
    <row r="52" spans="1:4" ht="23.25" customHeight="1" x14ac:dyDescent="0.35">
      <c r="A52" s="6">
        <v>48</v>
      </c>
      <c r="B52" s="138">
        <v>125</v>
      </c>
      <c r="C52" s="145" t="s">
        <v>153</v>
      </c>
      <c r="D52" s="136" t="s">
        <v>176</v>
      </c>
    </row>
    <row r="53" spans="1:4" ht="23.25" customHeight="1" x14ac:dyDescent="0.35">
      <c r="A53" s="6">
        <v>49</v>
      </c>
      <c r="B53" s="138">
        <v>127</v>
      </c>
      <c r="C53" s="35" t="s">
        <v>155</v>
      </c>
      <c r="D53" s="136" t="s">
        <v>176</v>
      </c>
    </row>
    <row r="54" spans="1:4" ht="23.25" customHeight="1" x14ac:dyDescent="0.35">
      <c r="A54" s="6">
        <v>50</v>
      </c>
      <c r="B54" s="138">
        <v>130</v>
      </c>
      <c r="C54" s="35" t="s">
        <v>122</v>
      </c>
      <c r="D54" s="136" t="s">
        <v>176</v>
      </c>
    </row>
    <row r="55" spans="1:4" ht="23.25" customHeight="1" x14ac:dyDescent="0.35">
      <c r="A55" s="6">
        <v>51</v>
      </c>
      <c r="B55" s="138">
        <v>132</v>
      </c>
      <c r="C55" s="35" t="s">
        <v>156</v>
      </c>
      <c r="D55" s="136" t="s">
        <v>176</v>
      </c>
    </row>
    <row r="56" spans="1:4" ht="23.25" customHeight="1" x14ac:dyDescent="0.35">
      <c r="A56" s="6">
        <v>52</v>
      </c>
      <c r="B56" s="138">
        <v>134</v>
      </c>
      <c r="C56" s="145" t="s">
        <v>153</v>
      </c>
      <c r="D56" s="136" t="s">
        <v>176</v>
      </c>
    </row>
    <row r="57" spans="1:4" ht="23.25" customHeight="1" x14ac:dyDescent="0.35">
      <c r="A57" s="6">
        <v>53</v>
      </c>
      <c r="B57" s="138">
        <v>137</v>
      </c>
      <c r="C57" s="35" t="s">
        <v>157</v>
      </c>
      <c r="D57" s="136" t="s">
        <v>176</v>
      </c>
    </row>
    <row r="58" spans="1:4" ht="23.25" customHeight="1" x14ac:dyDescent="0.35">
      <c r="A58" s="6">
        <v>54</v>
      </c>
      <c r="B58" s="138">
        <v>143</v>
      </c>
      <c r="C58" s="35" t="s">
        <v>158</v>
      </c>
      <c r="D58" s="136" t="s">
        <v>176</v>
      </c>
    </row>
    <row r="59" spans="1:4" ht="23.25" customHeight="1" x14ac:dyDescent="0.35">
      <c r="A59" s="6">
        <v>55</v>
      </c>
      <c r="B59" s="138">
        <v>145</v>
      </c>
      <c r="C59" s="35" t="s">
        <v>159</v>
      </c>
      <c r="D59" s="136" t="s">
        <v>176</v>
      </c>
    </row>
    <row r="60" spans="1:4" ht="23.25" customHeight="1" x14ac:dyDescent="0.35">
      <c r="A60" s="6">
        <v>56</v>
      </c>
      <c r="B60" s="138">
        <v>148</v>
      </c>
      <c r="C60" s="35" t="s">
        <v>160</v>
      </c>
      <c r="D60" s="136" t="s">
        <v>176</v>
      </c>
    </row>
    <row r="61" spans="1:4" ht="23.25" customHeight="1" x14ac:dyDescent="0.35">
      <c r="A61" s="6">
        <v>57</v>
      </c>
      <c r="B61" s="138">
        <v>149</v>
      </c>
      <c r="C61" s="35" t="s">
        <v>161</v>
      </c>
      <c r="D61" s="136" t="s">
        <v>176</v>
      </c>
    </row>
    <row r="62" spans="1:4" ht="23.25" customHeight="1" x14ac:dyDescent="0.35">
      <c r="A62" s="6">
        <v>58</v>
      </c>
      <c r="B62" s="138">
        <v>150</v>
      </c>
      <c r="C62" s="134">
        <v>0</v>
      </c>
      <c r="D62" s="147" t="s">
        <v>175</v>
      </c>
    </row>
    <row r="63" spans="1:4" ht="23.25" customHeight="1" x14ac:dyDescent="0.35">
      <c r="A63" s="6">
        <v>59</v>
      </c>
      <c r="B63" s="138">
        <v>151</v>
      </c>
      <c r="C63" s="35" t="s">
        <v>171</v>
      </c>
      <c r="D63" s="136" t="s">
        <v>176</v>
      </c>
    </row>
    <row r="64" spans="1:4" ht="23.25" customHeight="1" x14ac:dyDescent="0.35">
      <c r="A64" s="6">
        <v>60</v>
      </c>
      <c r="B64" s="138">
        <v>156</v>
      </c>
      <c r="C64" s="35" t="s">
        <v>172</v>
      </c>
      <c r="D64" s="136" t="s">
        <v>176</v>
      </c>
    </row>
    <row r="65" spans="1:4" ht="23.25" customHeight="1" x14ac:dyDescent="0.35">
      <c r="A65" s="6">
        <v>61</v>
      </c>
      <c r="B65" s="138" t="s">
        <v>167</v>
      </c>
      <c r="C65" s="35" t="s">
        <v>166</v>
      </c>
      <c r="D65" s="136" t="s">
        <v>176</v>
      </c>
    </row>
    <row r="66" spans="1:4" ht="23.25" customHeight="1" x14ac:dyDescent="0.35">
      <c r="A66" s="6">
        <v>62</v>
      </c>
      <c r="B66" s="138" t="s">
        <v>168</v>
      </c>
      <c r="C66" s="35" t="s">
        <v>169</v>
      </c>
      <c r="D66" s="136" t="s">
        <v>176</v>
      </c>
    </row>
    <row r="67" spans="1:4" ht="23.25" customHeight="1" x14ac:dyDescent="0.35">
      <c r="A67" s="6">
        <v>63</v>
      </c>
      <c r="B67" s="138"/>
      <c r="C67" s="35"/>
    </row>
    <row r="68" spans="1:4" ht="23.25" customHeight="1" x14ac:dyDescent="0.35">
      <c r="A68" s="6">
        <v>64</v>
      </c>
      <c r="B68" s="87"/>
      <c r="C68" s="35"/>
    </row>
    <row r="69" spans="1:4" ht="23.25" customHeight="1" x14ac:dyDescent="0.35">
      <c r="A69" s="6">
        <v>65</v>
      </c>
      <c r="B69" s="87"/>
      <c r="C69" s="35"/>
    </row>
    <row r="70" spans="1:4" ht="23.25" customHeight="1" x14ac:dyDescent="0.35">
      <c r="A70" s="6">
        <v>66</v>
      </c>
      <c r="B70" s="87"/>
      <c r="C70" s="35"/>
    </row>
    <row r="71" spans="1:4" ht="23.25" customHeight="1" x14ac:dyDescent="0.35">
      <c r="A71" s="6">
        <v>67</v>
      </c>
      <c r="B71" s="87"/>
      <c r="C71" s="35"/>
    </row>
    <row r="72" spans="1:4" ht="23.25" customHeight="1" x14ac:dyDescent="0.35">
      <c r="A72" s="6">
        <v>68</v>
      </c>
      <c r="B72" s="87"/>
      <c r="C72" s="35"/>
    </row>
    <row r="73" spans="1:4" ht="23.25" customHeight="1" x14ac:dyDescent="0.35">
      <c r="A73" s="6">
        <v>69</v>
      </c>
      <c r="B73" s="87"/>
      <c r="C73" s="35"/>
    </row>
    <row r="74" spans="1:4" ht="23.25" customHeight="1" x14ac:dyDescent="0.35">
      <c r="A74" s="6">
        <v>70</v>
      </c>
      <c r="B74" s="87"/>
      <c r="C74" s="35"/>
    </row>
    <row r="75" spans="1:4" ht="23.25" customHeight="1" x14ac:dyDescent="0.35">
      <c r="A75" s="6">
        <v>71</v>
      </c>
      <c r="B75" s="87"/>
      <c r="C75" s="35"/>
    </row>
    <row r="76" spans="1:4" ht="23.25" customHeight="1" x14ac:dyDescent="0.35">
      <c r="A76" s="6">
        <v>72</v>
      </c>
      <c r="B76" s="87"/>
      <c r="C76" s="35"/>
    </row>
    <row r="77" spans="1:4" ht="23.25" customHeight="1" x14ac:dyDescent="0.35">
      <c r="A77" s="6">
        <v>73</v>
      </c>
      <c r="B77" s="87"/>
      <c r="C77" s="35"/>
    </row>
    <row r="78" spans="1:4" ht="23.25" customHeight="1" x14ac:dyDescent="0.35">
      <c r="A78" s="6">
        <v>74</v>
      </c>
      <c r="B78" s="87"/>
      <c r="C78" s="35"/>
    </row>
    <row r="79" spans="1:4" ht="23.25" customHeight="1" x14ac:dyDescent="0.35">
      <c r="A79" s="6">
        <v>75</v>
      </c>
      <c r="B79" s="87"/>
      <c r="C79" s="35"/>
    </row>
    <row r="80" spans="1:4" ht="23.25" customHeight="1" x14ac:dyDescent="0.35">
      <c r="A80" s="6">
        <v>76</v>
      </c>
      <c r="B80" s="87"/>
      <c r="C80" s="35"/>
    </row>
    <row r="81" spans="1:4" ht="23.25" customHeight="1" x14ac:dyDescent="0.35">
      <c r="A81" s="6">
        <v>77</v>
      </c>
      <c r="B81" s="87"/>
      <c r="C81" s="35"/>
    </row>
    <row r="82" spans="1:4" ht="23.25" customHeight="1" x14ac:dyDescent="0.35">
      <c r="A82" s="6">
        <v>78</v>
      </c>
      <c r="B82" s="87"/>
      <c r="C82" s="35"/>
    </row>
    <row r="83" spans="1:4" ht="23.25" customHeight="1" x14ac:dyDescent="0.35">
      <c r="A83" s="6">
        <v>79</v>
      </c>
      <c r="B83" s="87"/>
      <c r="C83" s="35"/>
    </row>
    <row r="84" spans="1:4" ht="23.25" customHeight="1" x14ac:dyDescent="0.35">
      <c r="A84" s="6">
        <v>80</v>
      </c>
      <c r="B84" s="87"/>
      <c r="C84" s="35"/>
    </row>
    <row r="85" spans="1:4" ht="23.25" customHeight="1" x14ac:dyDescent="0.35">
      <c r="A85" s="6">
        <v>81</v>
      </c>
      <c r="B85" s="87"/>
      <c r="C85" s="35"/>
    </row>
    <row r="86" spans="1:4" x14ac:dyDescent="0.35">
      <c r="A86" s="6">
        <v>82</v>
      </c>
      <c r="B86" s="148"/>
      <c r="C86" s="145"/>
      <c r="D86" s="149"/>
    </row>
    <row r="87" spans="1:4" x14ac:dyDescent="0.35">
      <c r="A87" s="6">
        <v>83</v>
      </c>
      <c r="B87" s="150"/>
      <c r="C87" s="145"/>
      <c r="D87" s="149"/>
    </row>
    <row r="88" spans="1:4" x14ac:dyDescent="0.35">
      <c r="A88" s="6">
        <v>84</v>
      </c>
      <c r="B88" s="150"/>
      <c r="C88" s="145"/>
      <c r="D88" s="149"/>
    </row>
    <row r="89" spans="1:4" x14ac:dyDescent="0.35">
      <c r="A89" s="6">
        <v>85</v>
      </c>
      <c r="B89" s="150"/>
      <c r="C89" s="145"/>
      <c r="D89" s="149"/>
    </row>
    <row r="90" spans="1:4" x14ac:dyDescent="0.35">
      <c r="A90" s="6">
        <v>86</v>
      </c>
      <c r="B90" s="150"/>
      <c r="C90" s="145"/>
      <c r="D90" s="149"/>
    </row>
    <row r="91" spans="1:4" x14ac:dyDescent="0.35">
      <c r="B91" s="87"/>
      <c r="C91" s="35"/>
    </row>
  </sheetData>
  <sortState xmlns:xlrd2="http://schemas.microsoft.com/office/spreadsheetml/2017/richdata2" ref="A5:D66">
    <sortCondition ref="B5:B66"/>
  </sortState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fitToHeight="0" orientation="portrait" r:id="rId1"/>
  <headerFooter>
    <oddFooter>&amp;R&amp;D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85"/>
  <sheetViews>
    <sheetView workbookViewId="0">
      <selection activeCell="B5" sqref="B5:B10"/>
    </sheetView>
  </sheetViews>
  <sheetFormatPr baseColWidth="10" defaultRowHeight="15" x14ac:dyDescent="0.2"/>
  <cols>
    <col min="1" max="1" width="11.42578125" style="63"/>
    <col min="2" max="2" width="32.85546875" style="63" customWidth="1"/>
    <col min="3" max="3" width="23" style="67" customWidth="1"/>
    <col min="4" max="4" width="23" style="63" customWidth="1"/>
    <col min="5" max="16384" width="11.42578125" style="63"/>
  </cols>
  <sheetData>
    <row r="1" spans="1:40" ht="15.75" x14ac:dyDescent="0.25">
      <c r="B1" s="63" t="s">
        <v>3</v>
      </c>
      <c r="C1" s="64">
        <f ca="1">TODAY()+1</f>
        <v>46193</v>
      </c>
    </row>
    <row r="2" spans="1:40" x14ac:dyDescent="0.2">
      <c r="B2" s="65"/>
      <c r="C2" s="66"/>
    </row>
    <row r="4" spans="1:40" x14ac:dyDescent="0.2">
      <c r="A4" s="48" t="s">
        <v>7</v>
      </c>
      <c r="B4" s="48" t="s">
        <v>9</v>
      </c>
      <c r="C4" s="49" t="s">
        <v>8</v>
      </c>
    </row>
    <row r="5" spans="1:40" ht="23.25" customHeight="1" x14ac:dyDescent="0.2">
      <c r="A5" s="63">
        <v>1</v>
      </c>
      <c r="B5" s="163">
        <v>650788</v>
      </c>
      <c r="C5" s="138"/>
      <c r="D5" s="69"/>
      <c r="E5" s="70"/>
      <c r="F5" s="69"/>
      <c r="G5" s="71"/>
      <c r="H5" s="70"/>
      <c r="I5" s="70"/>
      <c r="J5" s="72"/>
      <c r="K5" s="69"/>
      <c r="L5" s="69"/>
      <c r="M5" s="70"/>
      <c r="N5" s="70"/>
      <c r="O5" s="73"/>
      <c r="P5" s="69"/>
      <c r="Q5" s="70"/>
      <c r="R5" s="70"/>
      <c r="S5" s="70"/>
      <c r="T5" s="70"/>
      <c r="U5" s="70"/>
      <c r="V5" s="73"/>
    </row>
    <row r="6" spans="1:40" ht="23.25" customHeight="1" x14ac:dyDescent="0.2">
      <c r="A6" s="63">
        <v>2</v>
      </c>
      <c r="B6" s="163">
        <v>650789</v>
      </c>
      <c r="C6" s="138"/>
      <c r="D6" s="69"/>
      <c r="E6" s="70"/>
      <c r="F6" s="69"/>
      <c r="G6" s="71"/>
      <c r="H6" s="70"/>
      <c r="I6" s="70"/>
      <c r="J6" s="72"/>
      <c r="K6" s="69"/>
      <c r="L6" s="69"/>
      <c r="M6" s="70"/>
      <c r="N6" s="70"/>
      <c r="O6" s="73"/>
      <c r="P6" s="69"/>
      <c r="Q6" s="70"/>
      <c r="R6" s="70"/>
      <c r="S6" s="70"/>
      <c r="T6" s="70"/>
      <c r="U6" s="72"/>
      <c r="V6" s="72"/>
    </row>
    <row r="7" spans="1:40" ht="23.25" customHeight="1" x14ac:dyDescent="0.2">
      <c r="A7" s="63">
        <v>3</v>
      </c>
      <c r="B7" s="163">
        <v>650790</v>
      </c>
      <c r="C7" s="138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</row>
    <row r="8" spans="1:40" ht="23.25" customHeight="1" x14ac:dyDescent="0.2">
      <c r="A8" s="63">
        <v>4</v>
      </c>
      <c r="B8" s="163">
        <v>650791</v>
      </c>
      <c r="C8" s="138"/>
      <c r="D8" s="69"/>
      <c r="E8" s="70"/>
      <c r="F8" s="69"/>
      <c r="G8" s="71"/>
      <c r="H8" s="70"/>
      <c r="I8" s="70"/>
      <c r="J8" s="70"/>
      <c r="K8" s="69"/>
      <c r="L8" s="69"/>
      <c r="M8" s="70"/>
      <c r="N8" s="69"/>
      <c r="O8" s="70"/>
      <c r="P8" s="69"/>
      <c r="Q8" s="70"/>
      <c r="R8" s="70"/>
      <c r="S8" s="70"/>
      <c r="T8" s="70"/>
    </row>
    <row r="9" spans="1:40" ht="23.25" customHeight="1" x14ac:dyDescent="0.2">
      <c r="A9" s="63">
        <v>5</v>
      </c>
      <c r="B9" s="163">
        <v>650792</v>
      </c>
      <c r="C9" s="138"/>
      <c r="E9" s="70"/>
      <c r="F9" s="69"/>
      <c r="G9" s="71"/>
      <c r="H9" s="70"/>
      <c r="I9" s="70"/>
      <c r="J9" s="70"/>
      <c r="K9" s="69"/>
      <c r="L9" s="69"/>
      <c r="M9" s="70"/>
      <c r="N9" s="69"/>
      <c r="O9" s="70"/>
      <c r="P9" s="69"/>
      <c r="Q9" s="70"/>
      <c r="R9" s="70"/>
      <c r="S9" s="70"/>
      <c r="T9" s="70"/>
    </row>
    <row r="10" spans="1:40" ht="23.25" customHeight="1" x14ac:dyDescent="0.2">
      <c r="A10" s="63">
        <v>6</v>
      </c>
      <c r="B10" s="163">
        <v>650793</v>
      </c>
      <c r="C10" s="138"/>
      <c r="E10" s="70"/>
      <c r="F10" s="69"/>
      <c r="G10" s="71"/>
      <c r="H10" s="70"/>
      <c r="I10" s="70"/>
      <c r="J10" s="70"/>
      <c r="K10" s="69"/>
      <c r="L10" s="69"/>
      <c r="M10" s="70"/>
      <c r="N10" s="69"/>
      <c r="O10" s="70"/>
      <c r="P10" s="69"/>
      <c r="Q10" s="70"/>
      <c r="R10" s="70"/>
      <c r="S10" s="70"/>
      <c r="T10" s="70"/>
    </row>
    <row r="11" spans="1:40" ht="23.25" customHeight="1" x14ac:dyDescent="0.35">
      <c r="A11" s="63">
        <v>7</v>
      </c>
      <c r="B11" s="153"/>
      <c r="C11" s="80"/>
      <c r="D11" s="124"/>
      <c r="E11" s="70"/>
      <c r="F11" s="69"/>
      <c r="G11" s="71"/>
      <c r="H11" s="70"/>
      <c r="I11" s="70"/>
      <c r="J11" s="72"/>
      <c r="K11" s="69"/>
      <c r="L11" s="69"/>
      <c r="M11" s="69"/>
      <c r="N11" s="72"/>
      <c r="O11" s="73"/>
      <c r="P11" s="69"/>
      <c r="Q11" s="70"/>
      <c r="R11" s="70"/>
      <c r="S11" s="70"/>
      <c r="T11" s="70"/>
      <c r="U11" s="72"/>
      <c r="V11" s="206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</row>
    <row r="12" spans="1:40" ht="23.25" customHeight="1" x14ac:dyDescent="0.35">
      <c r="A12" s="63">
        <v>8</v>
      </c>
      <c r="B12" s="153"/>
      <c r="C12" s="80"/>
      <c r="D12" s="124"/>
      <c r="E12" s="72"/>
      <c r="F12" s="72"/>
      <c r="G12" s="72"/>
      <c r="H12" s="72"/>
      <c r="I12" s="72"/>
      <c r="J12" s="72"/>
      <c r="K12" s="69"/>
      <c r="L12" s="69"/>
      <c r="M12" s="69"/>
      <c r="N12" s="72"/>
      <c r="O12" s="73"/>
      <c r="P12" s="69"/>
      <c r="Q12" s="70"/>
      <c r="R12" s="70"/>
      <c r="S12" s="70"/>
      <c r="T12" s="70"/>
      <c r="U12" s="72"/>
      <c r="V12" s="206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</row>
    <row r="13" spans="1:40" ht="23.25" customHeight="1" x14ac:dyDescent="0.35">
      <c r="A13" s="63">
        <v>9</v>
      </c>
      <c r="B13" s="153"/>
      <c r="C13" s="68"/>
      <c r="E13" s="70"/>
      <c r="F13" s="69"/>
      <c r="G13" s="71"/>
      <c r="H13" s="70"/>
      <c r="I13" s="70"/>
      <c r="J13" s="72"/>
      <c r="K13" s="69"/>
      <c r="L13" s="69"/>
      <c r="M13" s="69"/>
      <c r="N13" s="72"/>
      <c r="O13" s="73"/>
      <c r="P13" s="69"/>
      <c r="Q13" s="70"/>
      <c r="R13" s="70"/>
      <c r="S13" s="70"/>
      <c r="T13" s="70"/>
      <c r="U13" s="72"/>
      <c r="V13" s="206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</row>
    <row r="14" spans="1:40" ht="23.25" customHeight="1" x14ac:dyDescent="0.35">
      <c r="A14" s="63">
        <v>10</v>
      </c>
      <c r="B14" s="153"/>
      <c r="C14" s="68"/>
      <c r="D14" s="69"/>
      <c r="E14" s="70"/>
      <c r="F14" s="69"/>
      <c r="G14" s="71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206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</row>
    <row r="15" spans="1:40" ht="23.25" customHeight="1" x14ac:dyDescent="0.35">
      <c r="A15" s="63">
        <v>11</v>
      </c>
      <c r="B15" s="153"/>
      <c r="C15" s="68"/>
      <c r="D15" s="69"/>
      <c r="E15" s="70"/>
      <c r="F15" s="69"/>
      <c r="G15" s="71"/>
      <c r="H15" s="70"/>
      <c r="I15" s="70"/>
      <c r="J15" s="70"/>
      <c r="K15" s="69"/>
      <c r="L15" s="69"/>
      <c r="M15" s="70"/>
      <c r="N15" s="69"/>
      <c r="O15" s="70"/>
      <c r="P15" s="69"/>
      <c r="Q15" s="70"/>
      <c r="R15" s="70"/>
      <c r="S15" s="70"/>
      <c r="T15" s="70"/>
    </row>
    <row r="16" spans="1:40" ht="23.25" customHeight="1" x14ac:dyDescent="0.35">
      <c r="A16" s="63">
        <v>12</v>
      </c>
      <c r="B16" s="153"/>
      <c r="C16" s="68"/>
      <c r="D16" s="72"/>
      <c r="E16" s="72"/>
      <c r="F16" s="72"/>
      <c r="G16" s="72"/>
      <c r="H16" s="70"/>
      <c r="I16" s="70"/>
      <c r="J16" s="70"/>
      <c r="K16" s="69"/>
      <c r="L16" s="69"/>
      <c r="M16" s="70"/>
      <c r="N16" s="69"/>
      <c r="O16" s="70"/>
      <c r="P16" s="69"/>
      <c r="Q16" s="70"/>
      <c r="R16" s="70"/>
      <c r="S16" s="70"/>
      <c r="T16" s="70"/>
    </row>
    <row r="17" spans="1:20" ht="23.25" customHeight="1" x14ac:dyDescent="0.35">
      <c r="A17" s="63">
        <v>13</v>
      </c>
      <c r="B17" s="153"/>
      <c r="C17" s="68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</row>
    <row r="18" spans="1:20" ht="23.25" customHeight="1" x14ac:dyDescent="0.35">
      <c r="A18" s="63">
        <v>14</v>
      </c>
      <c r="B18" s="153"/>
      <c r="C18" s="68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</row>
    <row r="19" spans="1:20" ht="23.25" customHeight="1" x14ac:dyDescent="0.35">
      <c r="A19" s="63">
        <v>15</v>
      </c>
      <c r="B19" s="153"/>
      <c r="C19" s="68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</row>
    <row r="20" spans="1:20" ht="23.25" customHeight="1" x14ac:dyDescent="0.35">
      <c r="A20" s="63">
        <v>16</v>
      </c>
      <c r="B20" s="153"/>
      <c r="C20" s="68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</row>
    <row r="21" spans="1:20" ht="23.25" customHeight="1" x14ac:dyDescent="0.35">
      <c r="A21" s="63">
        <v>17</v>
      </c>
      <c r="B21" s="153"/>
      <c r="C21" s="68"/>
    </row>
    <row r="22" spans="1:20" ht="23.25" customHeight="1" x14ac:dyDescent="0.35">
      <c r="A22" s="63">
        <v>18</v>
      </c>
      <c r="B22" s="153"/>
      <c r="C22" s="68"/>
    </row>
    <row r="23" spans="1:20" ht="23.25" customHeight="1" x14ac:dyDescent="0.35">
      <c r="A23" s="63">
        <v>19</v>
      </c>
      <c r="B23" s="153"/>
      <c r="C23" s="68"/>
    </row>
    <row r="24" spans="1:20" ht="23.25" customHeight="1" x14ac:dyDescent="0.35">
      <c r="A24" s="63">
        <v>20</v>
      </c>
      <c r="B24" s="153"/>
      <c r="C24" s="68"/>
    </row>
    <row r="25" spans="1:20" ht="23.25" customHeight="1" x14ac:dyDescent="0.35">
      <c r="A25" s="63">
        <v>21</v>
      </c>
      <c r="B25" s="41"/>
      <c r="C25" s="68"/>
    </row>
    <row r="26" spans="1:20" ht="23.25" customHeight="1" x14ac:dyDescent="0.35">
      <c r="A26" s="63">
        <v>22</v>
      </c>
      <c r="B26" s="41"/>
      <c r="C26" s="68"/>
    </row>
    <row r="27" spans="1:20" ht="23.25" customHeight="1" x14ac:dyDescent="0.35">
      <c r="A27" s="63">
        <v>23</v>
      </c>
      <c r="B27" s="41"/>
      <c r="C27" s="68"/>
    </row>
    <row r="28" spans="1:20" ht="23.25" customHeight="1" x14ac:dyDescent="0.35">
      <c r="A28" s="63">
        <v>24</v>
      </c>
      <c r="B28" s="41"/>
      <c r="C28" s="68"/>
    </row>
    <row r="29" spans="1:20" ht="23.25" customHeight="1" x14ac:dyDescent="0.35">
      <c r="A29" s="63">
        <v>25</v>
      </c>
      <c r="B29" s="41"/>
      <c r="C29" s="68"/>
    </row>
    <row r="30" spans="1:20" ht="23.25" customHeight="1" x14ac:dyDescent="0.35">
      <c r="A30" s="63">
        <v>26</v>
      </c>
      <c r="B30" s="41"/>
      <c r="C30" s="68"/>
    </row>
    <row r="31" spans="1:20" ht="23.25" customHeight="1" x14ac:dyDescent="0.35">
      <c r="A31" s="63">
        <v>27</v>
      </c>
      <c r="B31" s="41"/>
      <c r="C31" s="68"/>
    </row>
    <row r="32" spans="1:20" ht="23.25" customHeight="1" x14ac:dyDescent="0.35">
      <c r="A32" s="63">
        <v>28</v>
      </c>
      <c r="B32" s="41"/>
      <c r="C32" s="68"/>
    </row>
    <row r="33" spans="1:3" ht="23.25" customHeight="1" x14ac:dyDescent="0.35">
      <c r="A33" s="63">
        <v>29</v>
      </c>
      <c r="B33" s="41"/>
      <c r="C33" s="68"/>
    </row>
    <row r="34" spans="1:3" s="67" customFormat="1" ht="23.25" customHeight="1" x14ac:dyDescent="0.35">
      <c r="A34" s="63">
        <v>30</v>
      </c>
      <c r="B34" s="41"/>
      <c r="C34" s="68"/>
    </row>
    <row r="35" spans="1:3" s="67" customFormat="1" ht="23.25" customHeight="1" x14ac:dyDescent="0.35">
      <c r="A35" s="63">
        <v>31</v>
      </c>
      <c r="B35" s="41"/>
      <c r="C35" s="68"/>
    </row>
    <row r="36" spans="1:3" s="67" customFormat="1" ht="23.25" customHeight="1" x14ac:dyDescent="0.35">
      <c r="A36" s="63">
        <v>32</v>
      </c>
      <c r="B36" s="41"/>
      <c r="C36" s="68"/>
    </row>
    <row r="37" spans="1:3" s="67" customFormat="1" ht="23.25" customHeight="1" x14ac:dyDescent="0.35">
      <c r="A37" s="63">
        <v>33</v>
      </c>
      <c r="B37" s="41"/>
      <c r="C37" s="68"/>
    </row>
    <row r="38" spans="1:3" s="67" customFormat="1" ht="23.25" customHeight="1" x14ac:dyDescent="0.35">
      <c r="A38" s="63">
        <v>34</v>
      </c>
      <c r="B38" s="41"/>
      <c r="C38" s="68"/>
    </row>
    <row r="39" spans="1:3" s="67" customFormat="1" ht="23.25" customHeight="1" x14ac:dyDescent="0.35">
      <c r="A39" s="63">
        <v>35</v>
      </c>
      <c r="B39" s="41"/>
      <c r="C39" s="68"/>
    </row>
    <row r="40" spans="1:3" s="67" customFormat="1" ht="23.25" customHeight="1" x14ac:dyDescent="0.35">
      <c r="A40" s="63">
        <v>36</v>
      </c>
      <c r="B40" s="41"/>
      <c r="C40" s="68"/>
    </row>
    <row r="41" spans="1:3" s="67" customFormat="1" ht="23.25" customHeight="1" x14ac:dyDescent="0.35">
      <c r="A41" s="63">
        <v>37</v>
      </c>
      <c r="B41" s="41"/>
      <c r="C41" s="68"/>
    </row>
    <row r="42" spans="1:3" s="67" customFormat="1" ht="23.25" customHeight="1" x14ac:dyDescent="0.35">
      <c r="A42" s="63">
        <v>38</v>
      </c>
      <c r="B42" s="41"/>
      <c r="C42" s="68"/>
    </row>
    <row r="43" spans="1:3" s="67" customFormat="1" ht="23.25" customHeight="1" x14ac:dyDescent="0.35">
      <c r="A43" s="63">
        <v>39</v>
      </c>
      <c r="B43" s="41"/>
      <c r="C43" s="68"/>
    </row>
    <row r="44" spans="1:3" s="67" customFormat="1" ht="23.25" customHeight="1" x14ac:dyDescent="0.35">
      <c r="A44" s="63">
        <v>40</v>
      </c>
      <c r="B44" s="41"/>
      <c r="C44" s="68"/>
    </row>
    <row r="45" spans="1:3" s="67" customFormat="1" ht="23.25" customHeight="1" x14ac:dyDescent="0.2">
      <c r="A45" s="48" t="s">
        <v>7</v>
      </c>
      <c r="B45" s="48" t="s">
        <v>9</v>
      </c>
      <c r="C45" s="49" t="s">
        <v>8</v>
      </c>
    </row>
    <row r="46" spans="1:3" s="67" customFormat="1" ht="23.25" customHeight="1" x14ac:dyDescent="0.2">
      <c r="A46" s="63">
        <v>41</v>
      </c>
      <c r="B46" s="75"/>
      <c r="C46" s="68"/>
    </row>
    <row r="47" spans="1:3" s="67" customFormat="1" ht="23.25" customHeight="1" x14ac:dyDescent="0.2">
      <c r="A47" s="63">
        <v>42</v>
      </c>
      <c r="B47" s="75"/>
      <c r="C47" s="68"/>
    </row>
    <row r="48" spans="1:3" s="67" customFormat="1" ht="23.25" customHeight="1" x14ac:dyDescent="0.2">
      <c r="A48" s="63">
        <v>43</v>
      </c>
      <c r="B48" s="75"/>
      <c r="C48" s="68"/>
    </row>
    <row r="49" spans="1:3" s="67" customFormat="1" ht="23.25" customHeight="1" x14ac:dyDescent="0.2">
      <c r="A49" s="63">
        <v>44</v>
      </c>
      <c r="B49" s="75"/>
      <c r="C49" s="68"/>
    </row>
    <row r="50" spans="1:3" s="67" customFormat="1" ht="23.25" customHeight="1" x14ac:dyDescent="0.2">
      <c r="A50" s="63">
        <v>45</v>
      </c>
      <c r="B50" s="75"/>
    </row>
    <row r="51" spans="1:3" s="67" customFormat="1" ht="23.25" customHeight="1" x14ac:dyDescent="0.2">
      <c r="A51" s="63">
        <v>46</v>
      </c>
      <c r="B51" s="75"/>
    </row>
    <row r="52" spans="1:3" s="67" customFormat="1" ht="23.25" customHeight="1" x14ac:dyDescent="0.2">
      <c r="A52" s="63">
        <v>47</v>
      </c>
      <c r="B52" s="75"/>
    </row>
    <row r="53" spans="1:3" s="67" customFormat="1" ht="23.25" customHeight="1" x14ac:dyDescent="0.2">
      <c r="A53" s="63">
        <v>48</v>
      </c>
      <c r="B53" s="75"/>
    </row>
    <row r="54" spans="1:3" s="67" customFormat="1" ht="23.25" customHeight="1" x14ac:dyDescent="0.2">
      <c r="A54" s="63">
        <v>49</v>
      </c>
      <c r="B54" s="75"/>
    </row>
    <row r="55" spans="1:3" s="67" customFormat="1" ht="23.25" customHeight="1" x14ac:dyDescent="0.2">
      <c r="A55" s="63">
        <v>50</v>
      </c>
      <c r="B55" s="75"/>
    </row>
    <row r="56" spans="1:3" s="67" customFormat="1" ht="23.25" customHeight="1" x14ac:dyDescent="0.2">
      <c r="A56" s="63">
        <v>51</v>
      </c>
      <c r="B56" s="75"/>
    </row>
    <row r="57" spans="1:3" s="67" customFormat="1" ht="23.25" customHeight="1" x14ac:dyDescent="0.2">
      <c r="A57" s="63">
        <v>52</v>
      </c>
      <c r="B57" s="76"/>
    </row>
    <row r="58" spans="1:3" s="67" customFormat="1" ht="23.25" customHeight="1" x14ac:dyDescent="0.2">
      <c r="A58" s="63">
        <v>53</v>
      </c>
      <c r="B58" s="76"/>
    </row>
    <row r="59" spans="1:3" s="67" customFormat="1" ht="23.25" customHeight="1" x14ac:dyDescent="0.2">
      <c r="A59" s="63">
        <v>54</v>
      </c>
      <c r="B59" s="76"/>
    </row>
    <row r="60" spans="1:3" s="67" customFormat="1" ht="23.25" customHeight="1" x14ac:dyDescent="0.2">
      <c r="A60" s="63">
        <v>55</v>
      </c>
      <c r="B60" s="76"/>
    </row>
    <row r="61" spans="1:3" s="67" customFormat="1" ht="23.25" customHeight="1" x14ac:dyDescent="0.2">
      <c r="A61" s="63">
        <v>56</v>
      </c>
      <c r="B61" s="76"/>
    </row>
    <row r="62" spans="1:3" s="67" customFormat="1" ht="23.25" customHeight="1" x14ac:dyDescent="0.2">
      <c r="A62" s="63">
        <v>57</v>
      </c>
      <c r="B62" s="76"/>
    </row>
    <row r="63" spans="1:3" s="67" customFormat="1" ht="23.25" customHeight="1" x14ac:dyDescent="0.2">
      <c r="A63" s="63">
        <v>58</v>
      </c>
      <c r="B63" s="77"/>
    </row>
    <row r="64" spans="1:3" s="67" customFormat="1" ht="23.25" customHeight="1" x14ac:dyDescent="0.2">
      <c r="A64" s="63">
        <v>59</v>
      </c>
      <c r="B64" s="77"/>
    </row>
    <row r="65" spans="1:2" s="67" customFormat="1" ht="23.25" customHeight="1" x14ac:dyDescent="0.2">
      <c r="A65" s="63">
        <v>60</v>
      </c>
      <c r="B65" s="77"/>
    </row>
    <row r="66" spans="1:2" s="67" customFormat="1" ht="23.25" customHeight="1" x14ac:dyDescent="0.2">
      <c r="A66" s="63">
        <v>61</v>
      </c>
      <c r="B66" s="77"/>
    </row>
    <row r="67" spans="1:2" s="67" customFormat="1" ht="23.25" customHeight="1" x14ac:dyDescent="0.2">
      <c r="A67" s="63">
        <v>62</v>
      </c>
      <c r="B67" s="77"/>
    </row>
    <row r="68" spans="1:2" s="67" customFormat="1" ht="23.25" customHeight="1" x14ac:dyDescent="0.2">
      <c r="A68" s="63">
        <v>63</v>
      </c>
      <c r="B68" s="77"/>
    </row>
    <row r="69" spans="1:2" s="67" customFormat="1" ht="23.25" customHeight="1" x14ac:dyDescent="0.2">
      <c r="A69" s="63">
        <v>64</v>
      </c>
      <c r="B69" s="77"/>
    </row>
    <row r="70" spans="1:2" s="67" customFormat="1" ht="23.25" customHeight="1" x14ac:dyDescent="0.2">
      <c r="A70" s="63">
        <v>65</v>
      </c>
      <c r="B70" s="77"/>
    </row>
    <row r="71" spans="1:2" s="67" customFormat="1" ht="23.25" customHeight="1" x14ac:dyDescent="0.2">
      <c r="A71" s="63">
        <v>66</v>
      </c>
      <c r="B71" s="77"/>
    </row>
    <row r="72" spans="1:2" s="67" customFormat="1" ht="23.25" customHeight="1" x14ac:dyDescent="0.2">
      <c r="A72" s="63">
        <v>67</v>
      </c>
      <c r="B72" s="77"/>
    </row>
    <row r="73" spans="1:2" ht="23.45" customHeight="1" x14ac:dyDescent="0.2">
      <c r="A73" s="63">
        <v>68</v>
      </c>
      <c r="B73" s="76"/>
    </row>
    <row r="74" spans="1:2" ht="23.45" customHeight="1" x14ac:dyDescent="0.2">
      <c r="A74" s="63">
        <v>69</v>
      </c>
      <c r="B74" s="76"/>
    </row>
    <row r="75" spans="1:2" ht="23.45" customHeight="1" x14ac:dyDescent="0.2">
      <c r="A75" s="63">
        <v>70</v>
      </c>
      <c r="B75" s="76"/>
    </row>
    <row r="76" spans="1:2" ht="23.45" customHeight="1" x14ac:dyDescent="0.2">
      <c r="A76" s="63">
        <v>71</v>
      </c>
      <c r="B76" s="76"/>
    </row>
    <row r="77" spans="1:2" ht="23.45" customHeight="1" x14ac:dyDescent="0.2">
      <c r="A77" s="63">
        <v>72</v>
      </c>
      <c r="B77" s="76"/>
    </row>
    <row r="78" spans="1:2" ht="23.45" customHeight="1" x14ac:dyDescent="0.2">
      <c r="A78" s="63">
        <v>73</v>
      </c>
      <c r="B78" s="76"/>
    </row>
    <row r="79" spans="1:2" ht="23.45" customHeight="1" x14ac:dyDescent="0.2">
      <c r="A79" s="63">
        <v>74</v>
      </c>
      <c r="B79" s="76"/>
    </row>
    <row r="80" spans="1:2" ht="23.45" customHeight="1" x14ac:dyDescent="0.2">
      <c r="A80" s="63">
        <v>75</v>
      </c>
      <c r="B80" s="76"/>
    </row>
    <row r="81" spans="1:2" ht="23.45" customHeight="1" x14ac:dyDescent="0.2">
      <c r="A81" s="63">
        <v>76</v>
      </c>
      <c r="B81" s="76"/>
    </row>
    <row r="82" spans="1:2" ht="23.45" customHeight="1" x14ac:dyDescent="0.2">
      <c r="A82" s="63">
        <v>77</v>
      </c>
      <c r="B82" s="76"/>
    </row>
    <row r="83" spans="1:2" ht="23.45" customHeight="1" x14ac:dyDescent="0.2">
      <c r="A83" s="63">
        <v>78</v>
      </c>
      <c r="B83" s="76"/>
    </row>
    <row r="84" spans="1:2" ht="23.45" customHeight="1" x14ac:dyDescent="0.2">
      <c r="A84" s="63">
        <v>79</v>
      </c>
      <c r="B84" s="76"/>
    </row>
    <row r="85" spans="1:2" ht="23.45" customHeight="1" x14ac:dyDescent="0.2">
      <c r="A85" s="63">
        <v>80</v>
      </c>
      <c r="B85" s="76"/>
    </row>
  </sheetData>
  <mergeCells count="19">
    <mergeCell ref="AN11:AN14"/>
    <mergeCell ref="AH11:AH14"/>
    <mergeCell ref="AI11:AI14"/>
    <mergeCell ref="AJ11:AJ14"/>
    <mergeCell ref="AK11:AK14"/>
    <mergeCell ref="AL11:AL14"/>
    <mergeCell ref="AM11:AM14"/>
    <mergeCell ref="AG11:AG14"/>
    <mergeCell ref="V11:V14"/>
    <mergeCell ref="W11:W14"/>
    <mergeCell ref="X11:X14"/>
    <mergeCell ref="Y11:Y14"/>
    <mergeCell ref="Z11:Z14"/>
    <mergeCell ref="AA11:AA14"/>
    <mergeCell ref="AB11:AB14"/>
    <mergeCell ref="AC11:AC14"/>
    <mergeCell ref="AD11:AD14"/>
    <mergeCell ref="AE11:AE14"/>
    <mergeCell ref="AF11:AF14"/>
  </mergeCells>
  <conditionalFormatting sqref="B46:B1048576 B1:B3">
    <cfRule type="duplicateValues" dxfId="16" priority="3"/>
  </conditionalFormatting>
  <conditionalFormatting sqref="B46:C1048576 B1:C3 C11:C44">
    <cfRule type="duplicateValues" dxfId="15" priority="2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76" orientation="portrait" r:id="rId1"/>
  <rowBreaks count="2" manualBreakCount="2">
    <brk id="35" max="16383" man="1"/>
    <brk id="38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71"/>
  <sheetViews>
    <sheetView workbookViewId="0">
      <selection activeCell="C11" sqref="C11"/>
    </sheetView>
  </sheetViews>
  <sheetFormatPr baseColWidth="10" defaultRowHeight="15.75" x14ac:dyDescent="0.25"/>
  <cols>
    <col min="1" max="1" width="11.42578125" style="6"/>
    <col min="2" max="2" width="32.85546875" style="2" customWidth="1"/>
    <col min="3" max="3" width="23" style="10" customWidth="1"/>
    <col min="4" max="4" width="23" style="6" customWidth="1"/>
    <col min="5" max="16384" width="11.42578125" style="6"/>
  </cols>
  <sheetData>
    <row r="1" spans="1:40" s="4" customFormat="1" x14ac:dyDescent="0.25">
      <c r="B1" s="2" t="s">
        <v>3</v>
      </c>
      <c r="C1" s="13">
        <f ca="1">TODAY()</f>
        <v>46192</v>
      </c>
    </row>
    <row r="2" spans="1:40" s="4" customFormat="1" x14ac:dyDescent="0.25">
      <c r="B2" s="12" t="s">
        <v>4</v>
      </c>
      <c r="C2" s="21" t="s">
        <v>6</v>
      </c>
    </row>
    <row r="4" spans="1:40" ht="23.25" customHeight="1" x14ac:dyDescent="0.35">
      <c r="A4" s="6">
        <v>1</v>
      </c>
      <c r="B4" s="32">
        <v>587382</v>
      </c>
      <c r="C4" s="16"/>
      <c r="D4" s="19"/>
      <c r="E4" s="5"/>
      <c r="F4" s="19"/>
      <c r="G4" s="3"/>
      <c r="H4" s="5"/>
      <c r="I4" s="5"/>
      <c r="J4" s="18"/>
      <c r="K4" s="19"/>
      <c r="L4" s="19"/>
      <c r="M4" s="5"/>
      <c r="N4" s="5"/>
      <c r="O4" s="7"/>
      <c r="P4" s="19"/>
      <c r="Q4" s="5"/>
      <c r="R4" s="5"/>
      <c r="S4" s="5"/>
      <c r="T4" s="5"/>
      <c r="U4" s="5"/>
      <c r="V4" s="7"/>
    </row>
    <row r="5" spans="1:40" ht="23.25" customHeight="1" x14ac:dyDescent="0.35">
      <c r="A5" s="6">
        <v>2</v>
      </c>
      <c r="B5" s="32">
        <v>587383</v>
      </c>
      <c r="C5" s="16"/>
      <c r="D5" s="19"/>
      <c r="E5" s="5"/>
      <c r="F5" s="19"/>
      <c r="G5" s="3"/>
      <c r="H5" s="5"/>
      <c r="I5" s="5"/>
      <c r="J5" s="18"/>
      <c r="K5" s="19"/>
      <c r="L5" s="19"/>
      <c r="M5" s="5"/>
      <c r="N5" s="5"/>
      <c r="O5" s="7"/>
      <c r="P5" s="19"/>
      <c r="Q5" s="5"/>
      <c r="R5" s="5"/>
      <c r="S5" s="5"/>
      <c r="T5" s="5"/>
      <c r="U5" s="18"/>
      <c r="V5" s="18"/>
    </row>
    <row r="6" spans="1:40" ht="23.25" customHeight="1" x14ac:dyDescent="0.35">
      <c r="A6" s="6">
        <v>3</v>
      </c>
      <c r="B6" s="32">
        <v>587384</v>
      </c>
      <c r="C6" s="16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40" ht="23.25" customHeight="1" x14ac:dyDescent="0.35">
      <c r="A7" s="6">
        <v>4</v>
      </c>
      <c r="B7" s="32">
        <v>587385</v>
      </c>
      <c r="C7" s="16"/>
      <c r="D7" s="19"/>
      <c r="E7" s="5"/>
      <c r="F7" s="19"/>
      <c r="G7" s="3"/>
      <c r="H7" s="5"/>
      <c r="I7" s="5"/>
      <c r="J7" s="5"/>
      <c r="K7" s="19"/>
      <c r="L7" s="19"/>
      <c r="M7" s="5"/>
      <c r="N7" s="19"/>
      <c r="O7" s="5"/>
      <c r="P7" s="19"/>
      <c r="Q7" s="5"/>
      <c r="R7" s="5"/>
      <c r="S7" s="5"/>
      <c r="T7" s="5"/>
    </row>
    <row r="8" spans="1:40" ht="23.25" customHeight="1" x14ac:dyDescent="0.35">
      <c r="A8" s="6">
        <v>5</v>
      </c>
      <c r="B8" s="32">
        <v>587386</v>
      </c>
      <c r="C8" s="16"/>
      <c r="D8" s="19"/>
      <c r="E8" s="5"/>
      <c r="F8" s="19"/>
      <c r="G8" s="3"/>
      <c r="H8" s="5"/>
      <c r="I8" s="5"/>
      <c r="J8" s="5"/>
      <c r="K8" s="19"/>
      <c r="L8" s="19"/>
      <c r="M8" s="5"/>
      <c r="N8" s="19"/>
      <c r="O8" s="5"/>
      <c r="P8" s="19"/>
      <c r="Q8" s="5"/>
      <c r="R8" s="5"/>
      <c r="S8" s="5"/>
      <c r="T8" s="5"/>
    </row>
    <row r="9" spans="1:40" ht="23.25" customHeight="1" x14ac:dyDescent="0.35">
      <c r="A9" s="6">
        <v>6</v>
      </c>
      <c r="B9" s="32">
        <v>587387</v>
      </c>
      <c r="C9" s="16"/>
      <c r="D9" s="19"/>
      <c r="E9" s="5"/>
      <c r="F9" s="19"/>
      <c r="G9" s="3"/>
      <c r="H9" s="5"/>
      <c r="I9" s="5"/>
      <c r="J9" s="5"/>
      <c r="K9" s="19"/>
      <c r="L9" s="19"/>
      <c r="M9" s="5"/>
      <c r="N9" s="19"/>
      <c r="O9" s="5"/>
      <c r="P9" s="19"/>
      <c r="Q9" s="5"/>
      <c r="R9" s="5"/>
      <c r="S9" s="5"/>
      <c r="T9" s="5"/>
    </row>
    <row r="10" spans="1:40" ht="23.25" customHeight="1" x14ac:dyDescent="0.35">
      <c r="A10" s="6">
        <v>7</v>
      </c>
      <c r="B10" s="32">
        <v>587388</v>
      </c>
      <c r="C10" s="16"/>
      <c r="D10" s="19"/>
      <c r="E10" s="5"/>
      <c r="F10" s="19"/>
      <c r="G10" s="3"/>
      <c r="H10" s="5"/>
      <c r="I10" s="5"/>
      <c r="J10" s="18"/>
      <c r="K10" s="19"/>
      <c r="L10" s="19"/>
      <c r="M10" s="19"/>
      <c r="N10" s="18"/>
      <c r="O10" s="7"/>
      <c r="P10" s="19"/>
      <c r="Q10" s="5"/>
      <c r="R10" s="5"/>
      <c r="S10" s="5"/>
      <c r="T10" s="5"/>
      <c r="U10" s="18"/>
      <c r="V10" s="211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</row>
    <row r="11" spans="1:40" ht="23.25" customHeight="1" x14ac:dyDescent="0.35">
      <c r="A11" s="6">
        <v>8</v>
      </c>
      <c r="B11" s="32">
        <v>587389</v>
      </c>
      <c r="C11" s="16"/>
      <c r="D11" s="18"/>
      <c r="E11" s="18"/>
      <c r="F11" s="18"/>
      <c r="G11" s="18"/>
      <c r="H11" s="18"/>
      <c r="I11" s="18"/>
      <c r="J11" s="18"/>
      <c r="K11" s="19"/>
      <c r="L11" s="19"/>
      <c r="M11" s="19"/>
      <c r="N11" s="18"/>
      <c r="O11" s="7"/>
      <c r="P11" s="19"/>
      <c r="Q11" s="5"/>
      <c r="R11" s="5"/>
      <c r="S11" s="5"/>
      <c r="T11" s="5"/>
      <c r="U11" s="18"/>
      <c r="V11" s="211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</row>
    <row r="12" spans="1:40" ht="23.25" customHeight="1" x14ac:dyDescent="0.25">
      <c r="A12" s="6">
        <v>9</v>
      </c>
      <c r="B12" s="27"/>
      <c r="C12" s="16"/>
      <c r="D12" s="19"/>
      <c r="E12" s="5"/>
      <c r="F12" s="19"/>
      <c r="G12" s="3"/>
      <c r="H12" s="5"/>
      <c r="I12" s="5"/>
      <c r="J12" s="18"/>
      <c r="K12" s="19"/>
      <c r="L12" s="19"/>
      <c r="M12" s="19"/>
      <c r="N12" s="18"/>
      <c r="O12" s="7"/>
      <c r="P12" s="19"/>
      <c r="Q12" s="5"/>
      <c r="R12" s="5"/>
      <c r="S12" s="5"/>
      <c r="T12" s="5"/>
      <c r="U12" s="18"/>
      <c r="V12" s="211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</row>
    <row r="13" spans="1:40" ht="23.25" customHeight="1" x14ac:dyDescent="0.25">
      <c r="A13" s="6">
        <v>10</v>
      </c>
      <c r="B13" s="27"/>
      <c r="C13" s="16"/>
      <c r="D13" s="19"/>
      <c r="E13" s="5"/>
      <c r="F13" s="19"/>
      <c r="G13" s="3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211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</row>
    <row r="14" spans="1:40" ht="23.25" customHeight="1" x14ac:dyDescent="0.25">
      <c r="A14" s="6">
        <v>11</v>
      </c>
      <c r="B14" s="27"/>
      <c r="C14" s="16"/>
      <c r="D14" s="19"/>
      <c r="E14" s="5"/>
      <c r="F14" s="19"/>
      <c r="G14" s="3"/>
      <c r="H14" s="5"/>
      <c r="I14" s="5"/>
      <c r="J14" s="5"/>
      <c r="K14" s="19"/>
      <c r="L14" s="19"/>
      <c r="M14" s="5"/>
      <c r="N14" s="19"/>
      <c r="O14" s="5"/>
      <c r="P14" s="19"/>
      <c r="Q14" s="5"/>
      <c r="R14" s="5"/>
      <c r="S14" s="5"/>
      <c r="T14" s="5"/>
    </row>
    <row r="15" spans="1:40" ht="23.25" customHeight="1" x14ac:dyDescent="0.25">
      <c r="A15" s="6">
        <v>12</v>
      </c>
      <c r="B15" s="27"/>
      <c r="C15" s="16"/>
      <c r="D15" s="18"/>
      <c r="E15" s="18"/>
      <c r="F15" s="18"/>
      <c r="G15" s="18"/>
      <c r="H15" s="5"/>
      <c r="I15" s="5"/>
      <c r="J15" s="5"/>
      <c r="K15" s="19"/>
      <c r="L15" s="19"/>
      <c r="M15" s="5"/>
      <c r="N15" s="19"/>
      <c r="O15" s="5"/>
      <c r="P15" s="19"/>
      <c r="Q15" s="5"/>
      <c r="R15" s="5"/>
      <c r="S15" s="5"/>
      <c r="T15" s="5"/>
    </row>
    <row r="16" spans="1:40" ht="23.25" customHeight="1" x14ac:dyDescent="0.25">
      <c r="A16" s="6">
        <v>13</v>
      </c>
      <c r="B16" s="20"/>
      <c r="C16" s="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0" ht="23.25" customHeight="1" x14ac:dyDescent="0.25">
      <c r="A17" s="6">
        <v>14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23.25" customHeight="1" x14ac:dyDescent="0.25">
      <c r="A18" s="6">
        <v>15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23.25" customHeight="1" x14ac:dyDescent="0.25">
      <c r="A19" s="6">
        <v>16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23.25" customHeight="1" x14ac:dyDescent="0.25">
      <c r="A20" s="6">
        <v>17</v>
      </c>
      <c r="C20" s="17"/>
    </row>
    <row r="21" spans="1:20" ht="23.25" customHeight="1" x14ac:dyDescent="0.25">
      <c r="A21" s="6">
        <v>18</v>
      </c>
      <c r="C21" s="17"/>
    </row>
    <row r="22" spans="1:20" ht="23.25" customHeight="1" x14ac:dyDescent="0.25">
      <c r="A22" s="6">
        <v>19</v>
      </c>
      <c r="C22" s="17"/>
    </row>
    <row r="23" spans="1:20" ht="23.25" customHeight="1" x14ac:dyDescent="0.25">
      <c r="A23" s="6">
        <v>20</v>
      </c>
      <c r="C23" s="17"/>
    </row>
    <row r="24" spans="1:20" ht="23.25" customHeight="1" x14ac:dyDescent="0.25">
      <c r="A24" s="6">
        <v>21</v>
      </c>
      <c r="C24" s="17"/>
    </row>
    <row r="25" spans="1:20" ht="23.25" customHeight="1" x14ac:dyDescent="0.25">
      <c r="A25" s="6">
        <v>22</v>
      </c>
      <c r="C25" s="17"/>
    </row>
    <row r="26" spans="1:20" ht="23.25" customHeight="1" x14ac:dyDescent="0.25">
      <c r="A26" s="6">
        <v>23</v>
      </c>
      <c r="C26" s="17"/>
    </row>
    <row r="27" spans="1:20" ht="23.25" customHeight="1" x14ac:dyDescent="0.25">
      <c r="A27" s="6">
        <v>24</v>
      </c>
      <c r="C27" s="17"/>
    </row>
    <row r="28" spans="1:20" ht="23.25" customHeight="1" x14ac:dyDescent="0.25">
      <c r="A28" s="6">
        <v>25</v>
      </c>
      <c r="C28" s="17"/>
    </row>
    <row r="29" spans="1:20" ht="23.25" customHeight="1" x14ac:dyDescent="0.25">
      <c r="A29" s="6">
        <v>26</v>
      </c>
      <c r="C29" s="17"/>
    </row>
    <row r="30" spans="1:20" ht="23.25" customHeight="1" x14ac:dyDescent="0.25">
      <c r="A30" s="6">
        <v>27</v>
      </c>
      <c r="B30" s="11"/>
      <c r="C30" s="17"/>
    </row>
    <row r="31" spans="1:20" ht="23.25" customHeight="1" x14ac:dyDescent="0.25">
      <c r="A31" s="6">
        <v>28</v>
      </c>
      <c r="B31" s="11"/>
      <c r="C31" s="17"/>
    </row>
    <row r="32" spans="1:20" ht="23.25" customHeight="1" x14ac:dyDescent="0.25">
      <c r="A32" s="6">
        <v>29</v>
      </c>
      <c r="B32" s="11"/>
      <c r="C32" s="17"/>
    </row>
    <row r="33" spans="1:3" s="10" customFormat="1" ht="23.25" customHeight="1" x14ac:dyDescent="0.25">
      <c r="A33" s="6">
        <v>30</v>
      </c>
      <c r="B33" s="11"/>
      <c r="C33" s="17"/>
    </row>
    <row r="34" spans="1:3" s="10" customFormat="1" ht="23.25" customHeight="1" x14ac:dyDescent="0.25">
      <c r="A34" s="6">
        <v>31</v>
      </c>
      <c r="B34" s="11"/>
      <c r="C34" s="17"/>
    </row>
    <row r="35" spans="1:3" s="10" customFormat="1" ht="23.25" customHeight="1" x14ac:dyDescent="0.25">
      <c r="A35" s="6">
        <v>32</v>
      </c>
      <c r="B35" s="11"/>
      <c r="C35" s="17"/>
    </row>
    <row r="36" spans="1:3" s="10" customFormat="1" ht="23.25" customHeight="1" x14ac:dyDescent="0.25">
      <c r="A36" s="6">
        <v>33</v>
      </c>
      <c r="B36" s="11"/>
      <c r="C36" s="17"/>
    </row>
    <row r="37" spans="1:3" s="10" customFormat="1" ht="23.25" customHeight="1" x14ac:dyDescent="0.25">
      <c r="A37" s="6">
        <v>34</v>
      </c>
      <c r="B37" s="11"/>
      <c r="C37" s="17"/>
    </row>
    <row r="38" spans="1:3" s="10" customFormat="1" ht="23.25" customHeight="1" x14ac:dyDescent="0.25">
      <c r="A38" s="6">
        <v>35</v>
      </c>
      <c r="B38" s="11"/>
      <c r="C38" s="17"/>
    </row>
    <row r="39" spans="1:3" s="10" customFormat="1" ht="23.25" customHeight="1" x14ac:dyDescent="0.25">
      <c r="A39" s="6">
        <v>36</v>
      </c>
      <c r="C39" s="17"/>
    </row>
    <row r="40" spans="1:3" s="10" customFormat="1" ht="23.25" customHeight="1" x14ac:dyDescent="0.25">
      <c r="A40" s="6">
        <v>37</v>
      </c>
      <c r="B40" s="11"/>
      <c r="C40" s="17"/>
    </row>
    <row r="41" spans="1:3" s="10" customFormat="1" ht="23.25" customHeight="1" x14ac:dyDescent="0.25">
      <c r="A41" s="6">
        <v>38</v>
      </c>
      <c r="B41" s="11"/>
      <c r="C41" s="17"/>
    </row>
    <row r="42" spans="1:3" s="10" customFormat="1" ht="23.25" customHeight="1" x14ac:dyDescent="0.25">
      <c r="A42" s="6">
        <v>39</v>
      </c>
      <c r="B42" s="11"/>
      <c r="C42" s="17"/>
    </row>
    <row r="43" spans="1:3" s="10" customFormat="1" ht="23.25" customHeight="1" x14ac:dyDescent="0.25">
      <c r="A43" s="6">
        <v>40</v>
      </c>
      <c r="B43" s="11"/>
      <c r="C43" s="17"/>
    </row>
    <row r="44" spans="1:3" s="10" customFormat="1" ht="23.25" customHeight="1" x14ac:dyDescent="0.25">
      <c r="A44" s="6">
        <v>41</v>
      </c>
      <c r="B44" s="11"/>
      <c r="C44" s="17"/>
    </row>
    <row r="45" spans="1:3" s="10" customFormat="1" ht="23.25" customHeight="1" x14ac:dyDescent="0.25">
      <c r="A45" s="6">
        <v>42</v>
      </c>
      <c r="B45" s="11"/>
      <c r="C45" s="17"/>
    </row>
    <row r="46" spans="1:3" s="10" customFormat="1" ht="23.25" customHeight="1" x14ac:dyDescent="0.25">
      <c r="A46" s="6">
        <v>43</v>
      </c>
      <c r="B46" s="11"/>
      <c r="C46" s="17"/>
    </row>
    <row r="47" spans="1:3" s="10" customFormat="1" ht="23.25" customHeight="1" x14ac:dyDescent="0.25">
      <c r="A47" s="6">
        <v>44</v>
      </c>
      <c r="B47" s="11"/>
      <c r="C47" s="17"/>
    </row>
    <row r="48" spans="1:3" s="10" customFormat="1" ht="23.25" customHeight="1" x14ac:dyDescent="0.25">
      <c r="A48" s="6">
        <v>45</v>
      </c>
      <c r="B48" s="11"/>
      <c r="C48" s="17"/>
    </row>
    <row r="49" spans="1:3" s="10" customFormat="1" ht="23.25" customHeight="1" x14ac:dyDescent="0.25">
      <c r="A49" s="6">
        <v>46</v>
      </c>
      <c r="B49" s="11"/>
      <c r="C49" s="17"/>
    </row>
    <row r="50" spans="1:3" s="10" customFormat="1" ht="23.25" customHeight="1" x14ac:dyDescent="0.25">
      <c r="A50" s="6">
        <v>47</v>
      </c>
      <c r="B50" s="11"/>
      <c r="C50" s="17"/>
    </row>
    <row r="51" spans="1:3" s="10" customFormat="1" ht="23.25" customHeight="1" x14ac:dyDescent="0.25">
      <c r="A51" s="6">
        <v>48</v>
      </c>
      <c r="B51" s="11"/>
      <c r="C51" s="17"/>
    </row>
    <row r="52" spans="1:3" s="10" customFormat="1" ht="23.25" customHeight="1" x14ac:dyDescent="0.25">
      <c r="A52" s="6">
        <v>49</v>
      </c>
      <c r="B52" s="11"/>
      <c r="C52" s="17"/>
    </row>
    <row r="53" spans="1:3" s="10" customFormat="1" ht="23.25" customHeight="1" x14ac:dyDescent="0.25">
      <c r="A53" s="6">
        <v>50</v>
      </c>
      <c r="B53" s="11"/>
      <c r="C53" s="17"/>
    </row>
    <row r="54" spans="1:3" s="10" customFormat="1" ht="23.25" customHeight="1" x14ac:dyDescent="0.25">
      <c r="A54" s="6">
        <v>51</v>
      </c>
      <c r="B54" s="11"/>
      <c r="C54" s="17"/>
    </row>
    <row r="55" spans="1:3" s="10" customFormat="1" ht="23.25" customHeight="1" x14ac:dyDescent="0.25">
      <c r="A55" s="6">
        <v>52</v>
      </c>
      <c r="B55" s="11"/>
      <c r="C55" s="17"/>
    </row>
    <row r="56" spans="1:3" s="10" customFormat="1" ht="23.25" customHeight="1" x14ac:dyDescent="0.25">
      <c r="A56" s="6">
        <v>53</v>
      </c>
      <c r="B56" s="2"/>
      <c r="C56" s="17"/>
    </row>
    <row r="57" spans="1:3" s="10" customFormat="1" ht="23.25" customHeight="1" x14ac:dyDescent="0.25">
      <c r="A57" s="6">
        <v>54</v>
      </c>
      <c r="B57" s="2"/>
      <c r="C57" s="17"/>
    </row>
    <row r="58" spans="1:3" s="10" customFormat="1" ht="23.25" customHeight="1" x14ac:dyDescent="0.25">
      <c r="A58" s="6">
        <v>55</v>
      </c>
      <c r="B58" s="2"/>
      <c r="C58" s="17"/>
    </row>
    <row r="59" spans="1:3" s="10" customFormat="1" ht="23.25" customHeight="1" x14ac:dyDescent="0.25">
      <c r="A59" s="6">
        <v>56</v>
      </c>
      <c r="B59" s="2"/>
      <c r="C59" s="17"/>
    </row>
    <row r="60" spans="1:3" s="10" customFormat="1" ht="23.25" customHeight="1" x14ac:dyDescent="0.25">
      <c r="A60" s="6">
        <v>57</v>
      </c>
      <c r="B60" s="2"/>
      <c r="C60" s="17"/>
    </row>
    <row r="61" spans="1:3" s="10" customFormat="1" ht="23.25" customHeight="1" x14ac:dyDescent="0.25">
      <c r="A61" s="6">
        <v>58</v>
      </c>
      <c r="B61" s="2"/>
      <c r="C61" s="17"/>
    </row>
    <row r="62" spans="1:3" s="10" customFormat="1" ht="23.25" customHeight="1" x14ac:dyDescent="0.25">
      <c r="A62" s="6">
        <v>59</v>
      </c>
      <c r="B62" s="1"/>
      <c r="C62" s="17"/>
    </row>
    <row r="63" spans="1:3" s="10" customFormat="1" ht="23.25" customHeight="1" x14ac:dyDescent="0.25">
      <c r="A63" s="6">
        <v>60</v>
      </c>
      <c r="B63" s="1"/>
      <c r="C63" s="17"/>
    </row>
    <row r="64" spans="1:3" s="10" customFormat="1" ht="23.25" customHeight="1" x14ac:dyDescent="0.25">
      <c r="A64" s="6">
        <v>61</v>
      </c>
      <c r="B64" s="1"/>
      <c r="C64" s="17"/>
    </row>
    <row r="65" spans="1:3" s="10" customFormat="1" ht="23.25" customHeight="1" x14ac:dyDescent="0.25">
      <c r="A65" s="6">
        <v>62</v>
      </c>
      <c r="B65" s="1"/>
      <c r="C65" s="17"/>
    </row>
    <row r="66" spans="1:3" s="10" customFormat="1" ht="23.25" customHeight="1" x14ac:dyDescent="0.25">
      <c r="A66" s="6">
        <v>63</v>
      </c>
      <c r="B66" s="1"/>
      <c r="C66" s="17"/>
    </row>
    <row r="67" spans="1:3" s="10" customFormat="1" ht="23.25" customHeight="1" x14ac:dyDescent="0.25">
      <c r="A67" s="6">
        <v>64</v>
      </c>
      <c r="B67" s="1"/>
      <c r="C67" s="17"/>
    </row>
    <row r="68" spans="1:3" s="10" customFormat="1" ht="23.25" customHeight="1" x14ac:dyDescent="0.25">
      <c r="A68" s="6">
        <v>65</v>
      </c>
      <c r="B68" s="1"/>
      <c r="C68" s="17"/>
    </row>
    <row r="69" spans="1:3" s="10" customFormat="1" ht="23.25" customHeight="1" x14ac:dyDescent="0.25">
      <c r="A69" s="6">
        <v>66</v>
      </c>
      <c r="B69" s="1"/>
      <c r="C69" s="17"/>
    </row>
    <row r="70" spans="1:3" s="10" customFormat="1" ht="23.25" customHeight="1" x14ac:dyDescent="0.25">
      <c r="A70" s="6">
        <v>67</v>
      </c>
      <c r="B70" s="1"/>
      <c r="C70" s="17"/>
    </row>
    <row r="71" spans="1:3" s="10" customFormat="1" ht="23.25" customHeight="1" x14ac:dyDescent="0.25">
      <c r="A71" s="6">
        <v>68</v>
      </c>
      <c r="B71" s="1"/>
      <c r="C71" s="17"/>
    </row>
  </sheetData>
  <mergeCells count="19">
    <mergeCell ref="AN10:AN13"/>
    <mergeCell ref="AH10:AH13"/>
    <mergeCell ref="AI10:AI13"/>
    <mergeCell ref="AJ10:AJ13"/>
    <mergeCell ref="AK10:AK13"/>
    <mergeCell ref="AL10:AL13"/>
    <mergeCell ref="AM10:AM13"/>
    <mergeCell ref="AG10:AG13"/>
    <mergeCell ref="V10:V13"/>
    <mergeCell ref="W10:W13"/>
    <mergeCell ref="X10:X13"/>
    <mergeCell ref="Y10:Y13"/>
    <mergeCell ref="Z10:Z13"/>
    <mergeCell ref="AA10:AA13"/>
    <mergeCell ref="AB10:AB13"/>
    <mergeCell ref="AC10:AC13"/>
    <mergeCell ref="AD10:AD13"/>
    <mergeCell ref="AE10:AE13"/>
    <mergeCell ref="AF10:AF13"/>
  </mergeCells>
  <conditionalFormatting sqref="B4:B11">
    <cfRule type="duplicateValues" dxfId="14" priority="1"/>
    <cfRule type="duplicateValues" dxfId="13" priority="2"/>
  </conditionalFormatting>
  <conditionalFormatting sqref="B1:C3 B12:C1048576 C4:C11">
    <cfRule type="duplicateValues" dxfId="12" priority="3"/>
    <cfRule type="duplicateValues" dxfId="11" priority="4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95" fitToHeight="2" orientation="portrait" r:id="rId1"/>
  <rowBreaks count="2" manualBreakCount="2">
    <brk id="34" max="16383" man="1"/>
    <brk id="3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1"/>
  <sheetViews>
    <sheetView zoomScaleNormal="100" workbookViewId="0">
      <selection activeCell="A23" sqref="A1:C23"/>
    </sheetView>
  </sheetViews>
  <sheetFormatPr baseColWidth="10" defaultRowHeight="21" x14ac:dyDescent="0.35"/>
  <cols>
    <col min="1" max="1" width="11.42578125" style="43"/>
    <col min="2" max="2" width="27.42578125" style="44" customWidth="1"/>
    <col min="3" max="3" width="23" style="45" customWidth="1"/>
    <col min="4" max="16384" width="11.42578125" style="43"/>
  </cols>
  <sheetData>
    <row r="1" spans="1:22" x14ac:dyDescent="0.35">
      <c r="B1" s="44" t="s">
        <v>5</v>
      </c>
    </row>
    <row r="2" spans="1:22" x14ac:dyDescent="0.35">
      <c r="B2" s="40">
        <f ca="1">TODAY()</f>
        <v>46192</v>
      </c>
      <c r="C2" s="46">
        <f ca="1">B2+2</f>
        <v>46194</v>
      </c>
    </row>
    <row r="3" spans="1:22" x14ac:dyDescent="0.35">
      <c r="C3" s="47" t="s">
        <v>10</v>
      </c>
    </row>
    <row r="4" spans="1:22" ht="18.75" x14ac:dyDescent="0.3">
      <c r="B4" s="43"/>
      <c r="C4" s="43"/>
    </row>
    <row r="5" spans="1:22" ht="18.75" x14ac:dyDescent="0.3">
      <c r="A5" s="48" t="s">
        <v>7</v>
      </c>
      <c r="B5" s="48" t="s">
        <v>9</v>
      </c>
      <c r="C5" s="49" t="s">
        <v>8</v>
      </c>
    </row>
    <row r="6" spans="1:22" ht="23.25" customHeight="1" x14ac:dyDescent="0.3">
      <c r="A6" s="43">
        <v>1</v>
      </c>
      <c r="B6" s="125"/>
      <c r="C6" s="37"/>
      <c r="D6" s="50"/>
      <c r="E6" s="51"/>
      <c r="F6" s="50"/>
      <c r="G6" s="51"/>
      <c r="H6" s="51"/>
      <c r="I6" s="51"/>
      <c r="J6" s="50"/>
      <c r="K6" s="51"/>
      <c r="L6" s="51"/>
      <c r="M6" s="52"/>
      <c r="N6" s="50"/>
      <c r="O6" s="50"/>
      <c r="P6" s="50"/>
      <c r="Q6" s="51"/>
      <c r="R6" s="51"/>
      <c r="S6" s="51"/>
      <c r="T6" s="51"/>
      <c r="U6" s="51"/>
      <c r="V6" s="51"/>
    </row>
    <row r="7" spans="1:22" ht="23.25" customHeight="1" x14ac:dyDescent="0.3">
      <c r="A7" s="43">
        <v>2</v>
      </c>
      <c r="B7" s="126"/>
      <c r="C7" s="37"/>
      <c r="D7" s="50"/>
      <c r="E7" s="51"/>
      <c r="F7" s="50"/>
      <c r="G7" s="51"/>
      <c r="H7" s="51"/>
      <c r="I7" s="51"/>
      <c r="J7" s="50"/>
      <c r="K7" s="51"/>
      <c r="L7" s="51"/>
      <c r="M7" s="52"/>
      <c r="N7" s="50"/>
      <c r="O7" s="50"/>
      <c r="P7" s="50"/>
      <c r="Q7" s="51"/>
      <c r="R7" s="51"/>
      <c r="S7" s="51"/>
      <c r="T7" s="51"/>
      <c r="U7" s="51"/>
      <c r="V7" s="51"/>
    </row>
    <row r="8" spans="1:22" ht="23.25" customHeight="1" x14ac:dyDescent="0.3">
      <c r="A8" s="43">
        <v>3</v>
      </c>
      <c r="B8" s="126"/>
      <c r="C8" s="37"/>
      <c r="D8" s="50"/>
      <c r="E8" s="51"/>
      <c r="F8" s="50"/>
      <c r="G8" s="51"/>
      <c r="H8" s="51"/>
      <c r="I8" s="51"/>
      <c r="J8" s="50"/>
      <c r="K8" s="51"/>
      <c r="L8" s="51"/>
      <c r="M8" s="52"/>
      <c r="N8" s="50"/>
      <c r="O8" s="50"/>
      <c r="P8" s="50"/>
      <c r="Q8" s="51"/>
      <c r="R8" s="51"/>
      <c r="S8" s="51"/>
      <c r="T8" s="51"/>
      <c r="U8" s="51"/>
      <c r="V8" s="51"/>
    </row>
    <row r="9" spans="1:22" ht="23.25" customHeight="1" x14ac:dyDescent="0.3">
      <c r="A9" s="43">
        <v>4</v>
      </c>
      <c r="B9" s="126"/>
      <c r="C9" s="37"/>
      <c r="D9" s="50"/>
      <c r="E9" s="51"/>
      <c r="F9" s="50"/>
      <c r="G9" s="51"/>
      <c r="H9" s="51"/>
      <c r="I9" s="51"/>
      <c r="J9" s="50"/>
      <c r="K9" s="51"/>
      <c r="L9" s="51"/>
      <c r="M9" s="52"/>
      <c r="N9" s="50"/>
      <c r="O9" s="50"/>
      <c r="P9" s="50"/>
      <c r="Q9" s="51"/>
      <c r="R9" s="51"/>
      <c r="S9" s="51"/>
      <c r="T9" s="51"/>
      <c r="U9" s="51"/>
      <c r="V9" s="51"/>
    </row>
    <row r="10" spans="1:22" ht="23.25" customHeight="1" x14ac:dyDescent="0.3">
      <c r="A10" s="43">
        <v>5</v>
      </c>
      <c r="B10" s="126"/>
      <c r="C10" s="37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pans="1:22" ht="23.25" customHeight="1" x14ac:dyDescent="0.3">
      <c r="A11" s="43">
        <v>6</v>
      </c>
      <c r="B11" s="126"/>
      <c r="C11" s="37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spans="1:22" ht="23.25" customHeight="1" x14ac:dyDescent="0.3">
      <c r="A12" s="43">
        <v>7</v>
      </c>
      <c r="B12" s="126"/>
      <c r="C12" s="37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spans="1:22" ht="23.25" customHeight="1" x14ac:dyDescent="0.3">
      <c r="A13" s="43">
        <v>8</v>
      </c>
      <c r="B13" s="126"/>
      <c r="C13" s="37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spans="1:22" ht="23.25" customHeight="1" x14ac:dyDescent="0.3">
      <c r="A14" s="43">
        <v>9</v>
      </c>
      <c r="B14" s="126"/>
      <c r="C14" s="37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 spans="1:22" ht="23.25" customHeight="1" x14ac:dyDescent="0.3">
      <c r="A15" s="43">
        <v>10</v>
      </c>
      <c r="B15" s="126"/>
      <c r="C15" s="37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spans="1:22" ht="23.25" customHeight="1" x14ac:dyDescent="0.3">
      <c r="A16" s="43">
        <v>11</v>
      </c>
      <c r="B16" s="126"/>
      <c r="C16" s="37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 spans="1:22" ht="23.25" customHeight="1" x14ac:dyDescent="0.3">
      <c r="A17" s="43">
        <v>12</v>
      </c>
      <c r="B17" s="126"/>
      <c r="C17" s="37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 spans="1:22" ht="23.25" customHeight="1" x14ac:dyDescent="0.3">
      <c r="A18" s="43">
        <v>13</v>
      </c>
      <c r="B18" s="126"/>
      <c r="C18" s="37"/>
      <c r="D18" s="54"/>
      <c r="E18" s="55"/>
      <c r="F18" s="54"/>
      <c r="G18" s="55"/>
      <c r="H18" s="55"/>
      <c r="I18" s="56"/>
      <c r="J18" s="54"/>
      <c r="K18" s="55"/>
      <c r="L18" s="55"/>
      <c r="M18" s="57"/>
      <c r="N18" s="54"/>
      <c r="O18" s="54"/>
      <c r="P18" s="54"/>
      <c r="Q18" s="55"/>
      <c r="R18" s="55"/>
      <c r="S18" s="55"/>
      <c r="T18" s="55"/>
      <c r="U18" s="56"/>
      <c r="V18" s="56"/>
    </row>
    <row r="19" spans="1:22" ht="23.25" customHeight="1" x14ac:dyDescent="0.3">
      <c r="A19" s="43">
        <v>14</v>
      </c>
      <c r="B19" s="126"/>
      <c r="C19" s="37"/>
      <c r="D19" s="54"/>
      <c r="E19" s="55"/>
      <c r="F19" s="54"/>
      <c r="G19" s="55"/>
      <c r="H19" s="55"/>
      <c r="I19" s="56"/>
      <c r="J19" s="54"/>
      <c r="K19" s="55"/>
      <c r="L19" s="55"/>
      <c r="M19" s="57"/>
      <c r="N19" s="54"/>
      <c r="O19" s="54"/>
      <c r="P19" s="54"/>
      <c r="Q19" s="55"/>
      <c r="R19" s="55"/>
      <c r="S19" s="55"/>
      <c r="T19" s="55"/>
      <c r="U19" s="56"/>
      <c r="V19" s="56"/>
    </row>
    <row r="20" spans="1:22" ht="23.25" customHeight="1" x14ac:dyDescent="0.3">
      <c r="A20" s="43">
        <v>15</v>
      </c>
      <c r="B20" s="88"/>
      <c r="C20" s="37"/>
      <c r="D20" s="54"/>
      <c r="E20" s="55"/>
      <c r="F20" s="54"/>
      <c r="G20" s="55"/>
      <c r="H20" s="55"/>
      <c r="I20" s="56"/>
      <c r="J20" s="54"/>
      <c r="K20" s="55"/>
      <c r="L20" s="55"/>
      <c r="M20" s="57"/>
      <c r="N20" s="54"/>
      <c r="O20" s="54"/>
      <c r="P20" s="54"/>
      <c r="Q20" s="55"/>
      <c r="R20" s="55"/>
      <c r="S20" s="55"/>
      <c r="T20" s="55"/>
      <c r="U20" s="56"/>
      <c r="V20" s="56"/>
    </row>
    <row r="21" spans="1:22" ht="23.25" customHeight="1" x14ac:dyDescent="0.3">
      <c r="A21" s="43">
        <v>16</v>
      </c>
      <c r="B21" s="87"/>
      <c r="C21" s="37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</row>
    <row r="22" spans="1:22" ht="23.25" customHeight="1" x14ac:dyDescent="0.3">
      <c r="A22" s="43">
        <v>17</v>
      </c>
      <c r="B22" s="87"/>
      <c r="C22" s="37"/>
    </row>
    <row r="23" spans="1:22" ht="23.25" customHeight="1" x14ac:dyDescent="0.3">
      <c r="A23" s="43">
        <v>18</v>
      </c>
      <c r="B23" s="88"/>
      <c r="C23" s="37"/>
    </row>
    <row r="24" spans="1:22" ht="23.25" customHeight="1" x14ac:dyDescent="0.3">
      <c r="A24" s="48" t="s">
        <v>7</v>
      </c>
      <c r="B24" s="48" t="s">
        <v>9</v>
      </c>
      <c r="C24" s="49" t="s">
        <v>8</v>
      </c>
    </row>
    <row r="25" spans="1:22" ht="23.25" customHeight="1" x14ac:dyDescent="0.35">
      <c r="A25" s="43">
        <v>19</v>
      </c>
    </row>
    <row r="26" spans="1:22" ht="23.25" customHeight="1" x14ac:dyDescent="0.35">
      <c r="A26" s="43">
        <v>20</v>
      </c>
      <c r="C26" s="37"/>
    </row>
    <row r="27" spans="1:22" ht="23.25" customHeight="1" x14ac:dyDescent="0.3">
      <c r="A27" s="43">
        <v>21</v>
      </c>
      <c r="B27" s="127"/>
      <c r="C27" s="38"/>
    </row>
    <row r="28" spans="1:22" ht="23.25" customHeight="1" x14ac:dyDescent="0.3">
      <c r="A28" s="43">
        <v>22</v>
      </c>
      <c r="B28" s="127"/>
      <c r="C28" s="38"/>
    </row>
    <row r="29" spans="1:22" ht="23.25" customHeight="1" x14ac:dyDescent="0.3">
      <c r="A29" s="43">
        <v>23</v>
      </c>
      <c r="B29" s="127"/>
      <c r="C29" s="38"/>
    </row>
    <row r="30" spans="1:22" ht="23.25" customHeight="1" x14ac:dyDescent="0.3">
      <c r="A30" s="43">
        <v>24</v>
      </c>
      <c r="B30" s="127"/>
      <c r="C30" s="38"/>
      <c r="E30" s="59"/>
    </row>
    <row r="31" spans="1:22" ht="23.25" customHeight="1" x14ac:dyDescent="0.3">
      <c r="A31" s="43">
        <v>25</v>
      </c>
      <c r="B31" s="127"/>
      <c r="C31" s="38"/>
    </row>
    <row r="32" spans="1:22" ht="23.25" customHeight="1" x14ac:dyDescent="0.35">
      <c r="A32" s="43">
        <v>26</v>
      </c>
      <c r="B32" s="42"/>
      <c r="C32" s="38"/>
    </row>
    <row r="33" spans="1:3" ht="23.25" customHeight="1" x14ac:dyDescent="0.35">
      <c r="A33" s="43">
        <v>27</v>
      </c>
      <c r="B33" s="42"/>
      <c r="C33" s="39"/>
    </row>
    <row r="34" spans="1:3" ht="23.25" customHeight="1" x14ac:dyDescent="0.35">
      <c r="A34" s="43">
        <v>28</v>
      </c>
      <c r="B34" s="41"/>
      <c r="C34" s="37"/>
    </row>
    <row r="35" spans="1:3" ht="23.25" customHeight="1" x14ac:dyDescent="0.35">
      <c r="A35" s="43">
        <v>29</v>
      </c>
      <c r="B35" s="41"/>
      <c r="C35" s="39"/>
    </row>
    <row r="36" spans="1:3" s="60" customFormat="1" ht="23.25" customHeight="1" x14ac:dyDescent="0.35">
      <c r="A36" s="43">
        <v>30</v>
      </c>
      <c r="B36" s="41"/>
      <c r="C36" s="39"/>
    </row>
    <row r="37" spans="1:3" s="60" customFormat="1" ht="23.25" customHeight="1" x14ac:dyDescent="0.35">
      <c r="A37" s="43">
        <v>31</v>
      </c>
      <c r="B37" s="41"/>
      <c r="C37" s="39"/>
    </row>
    <row r="38" spans="1:3" s="60" customFormat="1" ht="23.25" customHeight="1" x14ac:dyDescent="0.3">
      <c r="A38" s="43">
        <v>32</v>
      </c>
      <c r="B38" s="127"/>
      <c r="C38" s="39"/>
    </row>
    <row r="39" spans="1:3" s="60" customFormat="1" ht="23.25" customHeight="1" x14ac:dyDescent="0.3">
      <c r="A39" s="43">
        <v>33</v>
      </c>
      <c r="B39" s="127"/>
      <c r="C39" s="39"/>
    </row>
    <row r="40" spans="1:3" s="60" customFormat="1" ht="23.25" customHeight="1" x14ac:dyDescent="0.3">
      <c r="A40" s="43">
        <v>34</v>
      </c>
      <c r="B40" s="127"/>
      <c r="C40" s="39"/>
    </row>
    <row r="41" spans="1:3" s="60" customFormat="1" ht="23.25" customHeight="1" x14ac:dyDescent="0.3">
      <c r="A41" s="43">
        <v>35</v>
      </c>
      <c r="B41" s="127"/>
      <c r="C41" s="39"/>
    </row>
    <row r="42" spans="1:3" s="60" customFormat="1" ht="23.25" customHeight="1" x14ac:dyDescent="0.3">
      <c r="A42" s="43">
        <v>36</v>
      </c>
      <c r="B42" s="127"/>
      <c r="C42" s="39"/>
    </row>
    <row r="43" spans="1:3" s="60" customFormat="1" ht="23.25" customHeight="1" x14ac:dyDescent="0.3">
      <c r="A43" s="43">
        <v>37</v>
      </c>
      <c r="B43" s="127"/>
      <c r="C43" s="45"/>
    </row>
    <row r="44" spans="1:3" ht="23.25" customHeight="1" x14ac:dyDescent="0.3">
      <c r="B44" s="61"/>
    </row>
    <row r="45" spans="1:3" ht="23.25" customHeight="1" x14ac:dyDescent="0.3">
      <c r="B45" s="61"/>
    </row>
    <row r="46" spans="1:3" ht="23.25" customHeight="1" x14ac:dyDescent="0.35"/>
    <row r="47" spans="1:3" ht="23.25" customHeight="1" x14ac:dyDescent="0.35"/>
    <row r="48" spans="1:3" ht="23.25" customHeight="1" x14ac:dyDescent="0.3">
      <c r="B48" s="61"/>
    </row>
    <row r="49" spans="2:2" s="45" customFormat="1" ht="18.75" x14ac:dyDescent="0.3">
      <c r="B49" s="61"/>
    </row>
    <row r="56" spans="2:2" s="45" customFormat="1" ht="18.75" x14ac:dyDescent="0.3">
      <c r="B56" s="58"/>
    </row>
    <row r="57" spans="2:2" s="45" customFormat="1" ht="18.75" x14ac:dyDescent="0.3">
      <c r="B57" s="58"/>
    </row>
    <row r="66" spans="2:2" s="45" customFormat="1" x14ac:dyDescent="0.35">
      <c r="B66" s="62"/>
    </row>
    <row r="67" spans="2:2" s="45" customFormat="1" x14ac:dyDescent="0.35">
      <c r="B67" s="62"/>
    </row>
    <row r="71" spans="2:2" s="45" customFormat="1" x14ac:dyDescent="0.35">
      <c r="B71" s="62"/>
    </row>
  </sheetData>
  <conditionalFormatting sqref="B32:B37">
    <cfRule type="duplicateValues" dxfId="10" priority="2"/>
  </conditionalFormatting>
  <conditionalFormatting sqref="B59:B1048576 B1:B3">
    <cfRule type="duplicateValues" dxfId="9" priority="10"/>
  </conditionalFormatting>
  <conditionalFormatting sqref="B60:B1048576 B1:B3">
    <cfRule type="duplicateValues" dxfId="8" priority="11"/>
  </conditionalFormatting>
  <conditionalFormatting sqref="B62:B1048576 B1:B3">
    <cfRule type="duplicateValues" dxfId="7" priority="12"/>
  </conditionalFormatting>
  <conditionalFormatting sqref="C1:C3">
    <cfRule type="cellIs" dxfId="6" priority="13" operator="between">
      <formula>"d64"</formula>
      <formula>"d84"</formula>
    </cfRule>
  </conditionalFormatting>
  <conditionalFormatting sqref="C6:C23 C26:C32">
    <cfRule type="duplicateValues" dxfId="5" priority="115"/>
  </conditionalFormatting>
  <conditionalFormatting sqref="C6:C23">
    <cfRule type="cellIs" dxfId="4" priority="4" operator="between">
      <formula>"d64"</formula>
      <formula>"d84"</formula>
    </cfRule>
  </conditionalFormatting>
  <conditionalFormatting sqref="C26:C1048576">
    <cfRule type="cellIs" dxfId="3" priority="3" operator="between">
      <formula>"d64"</formula>
      <formula>"d84"</formula>
    </cfRule>
  </conditionalFormatting>
  <conditionalFormatting sqref="C33:C1048576 C1:C3">
    <cfRule type="duplicateValues" dxfId="2" priority="14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fitToHeight="2" orientation="portrait" r:id="rId1"/>
  <headerFooter>
    <oddHeader xml:space="preserve">&amp;LEmpfänger:
PANPHARMA GmbH
Bunsenstrasse 4
22946 Trittau
DE&amp;RHIGHSPEED
Inh. Martin Klüber
Otto-Hahn-Str. 3a
22946 Trittau
DE
</oddHeader>
    <oddFooter>&amp;LDruckdatum / Zeit
&amp;D / &amp;T
Seite &amp;P von &amp;N&amp;R------------------------------------------------------------------------
Sendung vollzählig in einwandfreiem Zustand erhalten</oddFooter>
  </headerFooter>
  <rowBreaks count="1" manualBreakCount="1">
    <brk id="23" max="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147"/>
  <sheetViews>
    <sheetView workbookViewId="0">
      <selection activeCell="M32" sqref="M32"/>
    </sheetView>
  </sheetViews>
  <sheetFormatPr baseColWidth="10" defaultRowHeight="15" x14ac:dyDescent="0.25"/>
  <cols>
    <col min="1" max="1" width="5.5703125" style="6" customWidth="1"/>
    <col min="2" max="2" width="18.5703125" style="110" customWidth="1"/>
    <col min="3" max="3" width="15.28515625" style="109" customWidth="1"/>
    <col min="4" max="4" width="12.140625" style="93" customWidth="1"/>
    <col min="5" max="5" width="15.5703125" style="117" customWidth="1"/>
    <col min="6" max="16384" width="11.42578125" style="6"/>
  </cols>
  <sheetData>
    <row r="1" spans="1:20" s="4" customFormat="1" ht="33" customHeight="1" x14ac:dyDescent="0.25">
      <c r="B1" s="106" t="s">
        <v>19</v>
      </c>
      <c r="C1" s="107"/>
      <c r="D1" s="93"/>
      <c r="E1" s="117"/>
    </row>
    <row r="2" spans="1:20" s="112" customFormat="1" ht="48" customHeight="1" x14ac:dyDescent="0.25">
      <c r="A2" s="115" t="s">
        <v>106</v>
      </c>
      <c r="B2" s="113" t="s">
        <v>20</v>
      </c>
      <c r="C2" s="114" t="s">
        <v>21</v>
      </c>
      <c r="D2" s="114" t="s">
        <v>86</v>
      </c>
      <c r="E2" s="118" t="s">
        <v>22</v>
      </c>
    </row>
    <row r="3" spans="1:20" s="94" customFormat="1" ht="15.75" customHeight="1" x14ac:dyDescent="0.25">
      <c r="A3" s="94">
        <v>1</v>
      </c>
      <c r="B3" s="95">
        <v>590524</v>
      </c>
      <c r="C3" s="105">
        <v>44915</v>
      </c>
      <c r="D3" s="98" t="s">
        <v>24</v>
      </c>
      <c r="E3" s="96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spans="1:20" s="94" customFormat="1" ht="15.75" customHeight="1" x14ac:dyDescent="0.25">
      <c r="A4" s="94">
        <v>2</v>
      </c>
      <c r="B4" s="95">
        <v>590523</v>
      </c>
      <c r="C4" s="105">
        <v>44915</v>
      </c>
      <c r="D4" s="98" t="s">
        <v>25</v>
      </c>
      <c r="E4" s="96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0" s="94" customFormat="1" ht="15.75" customHeight="1" x14ac:dyDescent="0.25">
      <c r="A5" s="94">
        <v>3</v>
      </c>
      <c r="B5" s="95">
        <v>590522</v>
      </c>
      <c r="C5" s="105">
        <v>44915</v>
      </c>
      <c r="D5" s="98" t="s">
        <v>26</v>
      </c>
      <c r="E5" s="96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</row>
    <row r="6" spans="1:20" s="94" customFormat="1" ht="15.75" customHeight="1" x14ac:dyDescent="0.25">
      <c r="A6" s="94">
        <v>4</v>
      </c>
      <c r="B6" s="95">
        <v>590521</v>
      </c>
      <c r="C6" s="105">
        <v>44915</v>
      </c>
      <c r="D6" s="98" t="s">
        <v>27</v>
      </c>
      <c r="E6" s="96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</row>
    <row r="7" spans="1:20" s="94" customFormat="1" ht="15.75" customHeight="1" x14ac:dyDescent="0.25">
      <c r="A7" s="94">
        <v>5</v>
      </c>
      <c r="B7" s="95">
        <v>590520</v>
      </c>
      <c r="C7" s="105">
        <v>44915</v>
      </c>
      <c r="D7" s="98" t="s">
        <v>28</v>
      </c>
      <c r="E7" s="96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</row>
    <row r="8" spans="1:20" s="94" customFormat="1" ht="15.75" customHeight="1" x14ac:dyDescent="0.25">
      <c r="A8" s="94">
        <v>6</v>
      </c>
      <c r="B8" s="95">
        <v>590519</v>
      </c>
      <c r="C8" s="105">
        <v>44915</v>
      </c>
      <c r="D8" s="98" t="s">
        <v>29</v>
      </c>
      <c r="E8" s="96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</row>
    <row r="9" spans="1:20" s="94" customFormat="1" ht="15.75" customHeight="1" x14ac:dyDescent="0.25">
      <c r="A9" s="94">
        <v>7</v>
      </c>
      <c r="B9" s="95">
        <v>590518</v>
      </c>
      <c r="C9" s="105">
        <v>44915</v>
      </c>
      <c r="D9" s="98" t="s">
        <v>30</v>
      </c>
      <c r="E9" s="96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</row>
    <row r="10" spans="1:20" s="94" customFormat="1" ht="15.75" customHeight="1" x14ac:dyDescent="0.25">
      <c r="A10" s="94">
        <v>8</v>
      </c>
      <c r="B10" s="95">
        <v>590517</v>
      </c>
      <c r="C10" s="105">
        <v>44915</v>
      </c>
      <c r="D10" s="98" t="s">
        <v>31</v>
      </c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</row>
    <row r="11" spans="1:20" s="94" customFormat="1" ht="15.75" customHeight="1" x14ac:dyDescent="0.25">
      <c r="A11" s="94">
        <v>9</v>
      </c>
      <c r="B11" s="95">
        <v>590516</v>
      </c>
      <c r="C11" s="105">
        <v>44915</v>
      </c>
      <c r="D11" s="98" t="s">
        <v>32</v>
      </c>
      <c r="E11" s="96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</row>
    <row r="12" spans="1:20" s="94" customFormat="1" ht="15.75" customHeight="1" x14ac:dyDescent="0.25">
      <c r="A12" s="94">
        <v>10</v>
      </c>
      <c r="B12" s="95">
        <v>590515</v>
      </c>
      <c r="C12" s="105">
        <v>44915</v>
      </c>
      <c r="D12" s="98" t="s">
        <v>33</v>
      </c>
      <c r="E12" s="96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</row>
    <row r="13" spans="1:20" s="94" customFormat="1" ht="15.75" customHeight="1" x14ac:dyDescent="0.25">
      <c r="A13" s="94">
        <v>11</v>
      </c>
      <c r="B13" s="95">
        <v>590514</v>
      </c>
      <c r="C13" s="105">
        <v>44915</v>
      </c>
      <c r="D13" s="98" t="s">
        <v>34</v>
      </c>
      <c r="E13" s="11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</row>
    <row r="14" spans="1:20" s="94" customFormat="1" ht="15.75" customHeight="1" x14ac:dyDescent="0.25">
      <c r="A14" s="94">
        <v>12</v>
      </c>
      <c r="B14" s="95">
        <v>590513</v>
      </c>
      <c r="C14" s="105">
        <v>44915</v>
      </c>
      <c r="D14" s="98" t="s">
        <v>35</v>
      </c>
      <c r="E14" s="11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</row>
    <row r="15" spans="1:20" s="94" customFormat="1" ht="15.75" customHeight="1" x14ac:dyDescent="0.25">
      <c r="A15" s="94">
        <v>13</v>
      </c>
      <c r="B15" s="95">
        <v>590512</v>
      </c>
      <c r="C15" s="105">
        <v>44915</v>
      </c>
      <c r="D15" s="98" t="s">
        <v>36</v>
      </c>
      <c r="E15" s="12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</row>
    <row r="16" spans="1:20" s="101" customFormat="1" ht="15.75" customHeight="1" x14ac:dyDescent="0.25">
      <c r="A16" s="101">
        <v>14</v>
      </c>
      <c r="B16" s="95">
        <v>590511</v>
      </c>
      <c r="C16" s="105">
        <v>44915</v>
      </c>
      <c r="D16" s="103" t="s">
        <v>37</v>
      </c>
      <c r="E16" s="121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</row>
    <row r="17" spans="1:20" s="101" customFormat="1" ht="15.75" customHeight="1" x14ac:dyDescent="0.25">
      <c r="A17" s="101">
        <v>15</v>
      </c>
      <c r="B17" s="95">
        <v>590510</v>
      </c>
      <c r="C17" s="105">
        <v>44915</v>
      </c>
      <c r="D17" s="103" t="s">
        <v>37</v>
      </c>
      <c r="E17" s="121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</row>
    <row r="18" spans="1:20" s="101" customFormat="1" ht="15.75" customHeight="1" x14ac:dyDescent="0.25">
      <c r="A18" s="101">
        <v>16</v>
      </c>
      <c r="B18" s="95">
        <v>590509</v>
      </c>
      <c r="C18" s="105">
        <v>44915</v>
      </c>
      <c r="D18" s="103" t="s">
        <v>37</v>
      </c>
      <c r="E18" s="121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</row>
    <row r="19" spans="1:20" s="94" customFormat="1" ht="15.75" customHeight="1" x14ac:dyDescent="0.25">
      <c r="A19" s="94">
        <v>17</v>
      </c>
      <c r="B19" s="95">
        <v>590508</v>
      </c>
      <c r="C19" s="105">
        <v>44915</v>
      </c>
      <c r="D19" s="103" t="s">
        <v>37</v>
      </c>
      <c r="E19" s="116"/>
    </row>
    <row r="20" spans="1:20" s="94" customFormat="1" ht="15.75" customHeight="1" x14ac:dyDescent="0.25">
      <c r="A20" s="94">
        <v>18</v>
      </c>
      <c r="B20" s="95">
        <v>590507</v>
      </c>
      <c r="C20" s="105">
        <v>44915</v>
      </c>
      <c r="D20" s="103" t="s">
        <v>37</v>
      </c>
      <c r="E20" s="116"/>
    </row>
    <row r="21" spans="1:20" s="94" customFormat="1" ht="15.75" customHeight="1" x14ac:dyDescent="0.25">
      <c r="A21" s="94">
        <v>19</v>
      </c>
      <c r="B21" s="95">
        <v>590506</v>
      </c>
      <c r="C21" s="105">
        <v>44915</v>
      </c>
      <c r="D21" s="104" t="s">
        <v>39</v>
      </c>
      <c r="E21" s="116"/>
    </row>
    <row r="22" spans="1:20" s="94" customFormat="1" ht="15.75" customHeight="1" x14ac:dyDescent="0.25">
      <c r="A22" s="94">
        <v>20</v>
      </c>
      <c r="B22" s="95">
        <v>590505</v>
      </c>
      <c r="C22" s="105">
        <v>44915</v>
      </c>
      <c r="D22" s="104" t="s">
        <v>38</v>
      </c>
      <c r="E22" s="116"/>
    </row>
    <row r="23" spans="1:20" s="94" customFormat="1" ht="15.75" customHeight="1" x14ac:dyDescent="0.25">
      <c r="A23" s="94">
        <v>21</v>
      </c>
      <c r="B23" s="95">
        <v>590078</v>
      </c>
      <c r="C23" s="111">
        <v>44907</v>
      </c>
      <c r="D23" s="104" t="s">
        <v>40</v>
      </c>
      <c r="E23" s="116"/>
    </row>
    <row r="24" spans="1:20" s="94" customFormat="1" ht="15.75" customHeight="1" x14ac:dyDescent="0.25">
      <c r="A24" s="94">
        <v>22</v>
      </c>
      <c r="B24" s="95">
        <v>590077</v>
      </c>
      <c r="C24" s="111">
        <v>44907</v>
      </c>
      <c r="D24" s="104" t="s">
        <v>41</v>
      </c>
      <c r="E24" s="116"/>
    </row>
    <row r="25" spans="1:20" s="94" customFormat="1" ht="15.75" customHeight="1" x14ac:dyDescent="0.25">
      <c r="A25" s="94">
        <v>23</v>
      </c>
      <c r="B25" s="95">
        <v>590076</v>
      </c>
      <c r="C25" s="111">
        <v>44907</v>
      </c>
      <c r="D25" s="104" t="s">
        <v>42</v>
      </c>
      <c r="E25" s="116"/>
    </row>
    <row r="26" spans="1:20" s="94" customFormat="1" ht="15.75" customHeight="1" x14ac:dyDescent="0.25">
      <c r="A26" s="94">
        <v>24</v>
      </c>
      <c r="B26" s="95">
        <v>590075</v>
      </c>
      <c r="C26" s="111">
        <v>44907</v>
      </c>
      <c r="D26" s="104" t="s">
        <v>43</v>
      </c>
      <c r="E26" s="116"/>
    </row>
    <row r="27" spans="1:20" s="94" customFormat="1" ht="15.75" customHeight="1" x14ac:dyDescent="0.25">
      <c r="A27" s="94">
        <v>25</v>
      </c>
      <c r="B27" s="95">
        <v>590074</v>
      </c>
      <c r="C27" s="111">
        <v>44907</v>
      </c>
      <c r="D27" s="104" t="s">
        <v>44</v>
      </c>
      <c r="E27" s="116"/>
    </row>
    <row r="28" spans="1:20" s="94" customFormat="1" ht="15.75" customHeight="1" x14ac:dyDescent="0.25">
      <c r="A28" s="94">
        <v>26</v>
      </c>
      <c r="B28" s="95">
        <v>590073</v>
      </c>
      <c r="C28" s="111">
        <v>44907</v>
      </c>
      <c r="D28" s="104" t="s">
        <v>45</v>
      </c>
      <c r="E28" s="116"/>
    </row>
    <row r="29" spans="1:20" s="94" customFormat="1" ht="15.75" customHeight="1" x14ac:dyDescent="0.25">
      <c r="A29" s="94">
        <v>27</v>
      </c>
      <c r="B29" s="95">
        <v>590072</v>
      </c>
      <c r="C29" s="111">
        <v>44907</v>
      </c>
      <c r="D29" s="104" t="s">
        <v>46</v>
      </c>
      <c r="E29" s="116"/>
    </row>
    <row r="30" spans="1:20" s="94" customFormat="1" ht="15.75" customHeight="1" x14ac:dyDescent="0.25">
      <c r="A30" s="94">
        <v>28</v>
      </c>
      <c r="B30" s="95">
        <v>590071</v>
      </c>
      <c r="C30" s="111">
        <v>44907</v>
      </c>
      <c r="D30" s="104" t="s">
        <v>47</v>
      </c>
      <c r="E30" s="116"/>
    </row>
    <row r="31" spans="1:20" s="94" customFormat="1" ht="15.75" customHeight="1" x14ac:dyDescent="0.25">
      <c r="A31" s="94">
        <v>29</v>
      </c>
      <c r="B31" s="95">
        <v>590070</v>
      </c>
      <c r="C31" s="111">
        <v>44907</v>
      </c>
      <c r="D31" s="104" t="s">
        <v>48</v>
      </c>
      <c r="E31" s="116"/>
    </row>
    <row r="32" spans="1:20" s="94" customFormat="1" ht="15.75" customHeight="1" x14ac:dyDescent="0.25">
      <c r="A32" s="94">
        <v>30</v>
      </c>
      <c r="B32" s="95">
        <v>590069</v>
      </c>
      <c r="C32" s="111">
        <v>44907</v>
      </c>
      <c r="D32" s="104" t="s">
        <v>49</v>
      </c>
      <c r="E32" s="116"/>
    </row>
    <row r="33" spans="1:5" s="94" customFormat="1" ht="15.75" customHeight="1" x14ac:dyDescent="0.25">
      <c r="A33" s="94">
        <v>31</v>
      </c>
      <c r="B33" s="95">
        <v>590068</v>
      </c>
      <c r="C33" s="111">
        <v>44907</v>
      </c>
      <c r="D33" s="104" t="s">
        <v>50</v>
      </c>
      <c r="E33" s="116"/>
    </row>
    <row r="34" spans="1:5" s="94" customFormat="1" ht="15.75" customHeight="1" x14ac:dyDescent="0.25">
      <c r="A34" s="94">
        <v>32</v>
      </c>
      <c r="B34" s="95">
        <v>590067</v>
      </c>
      <c r="C34" s="111">
        <v>44907</v>
      </c>
      <c r="D34" s="104" t="s">
        <v>51</v>
      </c>
      <c r="E34" s="116"/>
    </row>
    <row r="35" spans="1:5" s="94" customFormat="1" ht="15.75" customHeight="1" x14ac:dyDescent="0.25">
      <c r="A35" s="94">
        <v>33</v>
      </c>
      <c r="B35" s="95">
        <v>590066</v>
      </c>
      <c r="C35" s="111">
        <v>44907</v>
      </c>
      <c r="D35" s="104" t="s">
        <v>52</v>
      </c>
      <c r="E35" s="116"/>
    </row>
    <row r="36" spans="1:5" s="94" customFormat="1" ht="15.75" customHeight="1" x14ac:dyDescent="0.25">
      <c r="A36" s="94">
        <v>34</v>
      </c>
      <c r="B36" s="95">
        <v>590065</v>
      </c>
      <c r="C36" s="111">
        <v>44907</v>
      </c>
      <c r="D36" s="104" t="s">
        <v>53</v>
      </c>
      <c r="E36" s="116"/>
    </row>
    <row r="37" spans="1:5" s="94" customFormat="1" ht="15.75" customHeight="1" x14ac:dyDescent="0.25">
      <c r="A37" s="94">
        <v>35</v>
      </c>
      <c r="B37" s="95">
        <v>590064</v>
      </c>
      <c r="C37" s="111">
        <v>44907</v>
      </c>
      <c r="D37" s="104" t="s">
        <v>54</v>
      </c>
      <c r="E37" s="116"/>
    </row>
    <row r="38" spans="1:5" s="94" customFormat="1" ht="15.75" customHeight="1" x14ac:dyDescent="0.25">
      <c r="A38" s="94">
        <v>36</v>
      </c>
      <c r="B38" s="95">
        <v>590063</v>
      </c>
      <c r="C38" s="111">
        <v>44907</v>
      </c>
      <c r="D38" s="104" t="s">
        <v>55</v>
      </c>
      <c r="E38" s="116"/>
    </row>
    <row r="39" spans="1:5" s="94" customFormat="1" ht="15.75" customHeight="1" x14ac:dyDescent="0.25">
      <c r="A39" s="94">
        <v>37</v>
      </c>
      <c r="B39" s="95">
        <v>590062</v>
      </c>
      <c r="C39" s="111">
        <v>44907</v>
      </c>
      <c r="D39" s="104" t="s">
        <v>56</v>
      </c>
      <c r="E39" s="116"/>
    </row>
    <row r="40" spans="1:5" s="94" customFormat="1" ht="15.75" customHeight="1" x14ac:dyDescent="0.25">
      <c r="A40" s="94">
        <v>38</v>
      </c>
      <c r="B40" s="95">
        <v>590061</v>
      </c>
      <c r="C40" s="111">
        <v>44907</v>
      </c>
      <c r="D40" s="104" t="s">
        <v>57</v>
      </c>
      <c r="E40" s="116"/>
    </row>
    <row r="41" spans="1:5" s="94" customFormat="1" ht="15.75" customHeight="1" x14ac:dyDescent="0.25">
      <c r="A41" s="94">
        <v>39</v>
      </c>
      <c r="B41" s="95">
        <v>590060</v>
      </c>
      <c r="C41" s="111">
        <v>44907</v>
      </c>
      <c r="D41" s="104" t="s">
        <v>58</v>
      </c>
      <c r="E41" s="116"/>
    </row>
    <row r="42" spans="1:5" s="94" customFormat="1" ht="15.75" customHeight="1" x14ac:dyDescent="0.25">
      <c r="A42" s="94">
        <v>40</v>
      </c>
      <c r="B42" s="95">
        <v>590059</v>
      </c>
      <c r="C42" s="111">
        <v>44907</v>
      </c>
      <c r="D42" s="104" t="s">
        <v>59</v>
      </c>
      <c r="E42" s="116"/>
    </row>
    <row r="43" spans="1:5" s="94" customFormat="1" ht="15.75" customHeight="1" x14ac:dyDescent="0.25">
      <c r="A43" s="94">
        <v>41</v>
      </c>
      <c r="B43" s="95">
        <v>590058</v>
      </c>
      <c r="C43" s="111">
        <v>44907</v>
      </c>
      <c r="D43" s="104" t="s">
        <v>60</v>
      </c>
      <c r="E43" s="116"/>
    </row>
    <row r="44" spans="1:5" s="94" customFormat="1" ht="15.75" customHeight="1" x14ac:dyDescent="0.25">
      <c r="A44" s="94">
        <v>42</v>
      </c>
      <c r="B44" s="95">
        <v>590057</v>
      </c>
      <c r="C44" s="111">
        <v>44907</v>
      </c>
      <c r="D44" s="104" t="s">
        <v>61</v>
      </c>
      <c r="E44" s="116"/>
    </row>
    <row r="45" spans="1:5" s="94" customFormat="1" ht="15.75" customHeight="1" x14ac:dyDescent="0.25">
      <c r="A45" s="94">
        <v>43</v>
      </c>
      <c r="B45" s="95">
        <v>590056</v>
      </c>
      <c r="C45" s="111">
        <v>44907</v>
      </c>
      <c r="D45" s="104" t="s">
        <v>62</v>
      </c>
      <c r="E45" s="116"/>
    </row>
    <row r="46" spans="1:5" s="94" customFormat="1" ht="15.75" customHeight="1" x14ac:dyDescent="0.25">
      <c r="A46" s="94">
        <v>44</v>
      </c>
      <c r="B46" s="95">
        <v>590055</v>
      </c>
      <c r="C46" s="111">
        <v>44907</v>
      </c>
      <c r="D46" s="104" t="s">
        <v>63</v>
      </c>
      <c r="E46" s="116"/>
    </row>
    <row r="47" spans="1:5" s="94" customFormat="1" ht="15.75" customHeight="1" x14ac:dyDescent="0.25">
      <c r="A47" s="94">
        <v>45</v>
      </c>
      <c r="B47" s="95">
        <v>590054</v>
      </c>
      <c r="C47" s="111">
        <v>44907</v>
      </c>
      <c r="D47" s="104" t="s">
        <v>37</v>
      </c>
      <c r="E47" s="116"/>
    </row>
    <row r="48" spans="1:5" s="94" customFormat="1" ht="15.75" customHeight="1" x14ac:dyDescent="0.25">
      <c r="A48" s="94">
        <v>46</v>
      </c>
      <c r="B48" s="95">
        <v>590053</v>
      </c>
      <c r="C48" s="111">
        <v>44907</v>
      </c>
      <c r="D48" s="104" t="s">
        <v>37</v>
      </c>
      <c r="E48" s="116"/>
    </row>
    <row r="49" spans="1:5" s="94" customFormat="1" ht="15.75" customHeight="1" x14ac:dyDescent="0.25">
      <c r="A49" s="94">
        <v>47</v>
      </c>
      <c r="B49" s="95">
        <v>590052</v>
      </c>
      <c r="C49" s="111">
        <v>44907</v>
      </c>
      <c r="D49" s="104" t="s">
        <v>37</v>
      </c>
      <c r="E49" s="116"/>
    </row>
    <row r="50" spans="1:5" s="94" customFormat="1" ht="15.75" customHeight="1" x14ac:dyDescent="0.25">
      <c r="A50" s="94">
        <v>48</v>
      </c>
      <c r="B50" s="95">
        <v>590051</v>
      </c>
      <c r="C50" s="111">
        <v>44907</v>
      </c>
      <c r="D50" s="104" t="s">
        <v>37</v>
      </c>
      <c r="E50" s="116"/>
    </row>
    <row r="51" spans="1:5" s="94" customFormat="1" ht="15.75" customHeight="1" x14ac:dyDescent="0.25">
      <c r="A51" s="94">
        <v>49</v>
      </c>
      <c r="B51" s="95">
        <v>590050</v>
      </c>
      <c r="C51" s="111">
        <v>44907</v>
      </c>
      <c r="D51" s="104" t="s">
        <v>37</v>
      </c>
      <c r="E51" s="116"/>
    </row>
    <row r="52" spans="1:5" s="94" customFormat="1" ht="15.75" customHeight="1" x14ac:dyDescent="0.25">
      <c r="A52" s="94">
        <v>50</v>
      </c>
      <c r="B52" s="95">
        <v>590049</v>
      </c>
      <c r="C52" s="111">
        <v>44907</v>
      </c>
      <c r="D52" s="104" t="s">
        <v>37</v>
      </c>
      <c r="E52" s="116"/>
    </row>
    <row r="53" spans="1:5" s="94" customFormat="1" ht="15.75" customHeight="1" x14ac:dyDescent="0.25">
      <c r="A53" s="94">
        <v>51</v>
      </c>
      <c r="B53" s="95">
        <v>586696</v>
      </c>
      <c r="C53" s="111">
        <v>44841</v>
      </c>
      <c r="D53" s="104" t="s">
        <v>23</v>
      </c>
      <c r="E53" s="116"/>
    </row>
    <row r="54" spans="1:5" s="94" customFormat="1" ht="15.75" customHeight="1" x14ac:dyDescent="0.25">
      <c r="A54" s="94">
        <v>52</v>
      </c>
      <c r="B54" s="95">
        <v>586695</v>
      </c>
      <c r="C54" s="111">
        <v>44841</v>
      </c>
      <c r="D54" s="104" t="s">
        <v>64</v>
      </c>
      <c r="E54" s="116"/>
    </row>
    <row r="55" spans="1:5" s="94" customFormat="1" ht="15.75" customHeight="1" x14ac:dyDescent="0.25">
      <c r="A55" s="94">
        <v>53</v>
      </c>
      <c r="B55" s="95">
        <v>586694</v>
      </c>
      <c r="C55" s="111">
        <v>44841</v>
      </c>
      <c r="D55" s="104" t="s">
        <v>65</v>
      </c>
      <c r="E55" s="116"/>
    </row>
    <row r="56" spans="1:5" s="94" customFormat="1" ht="15.75" customHeight="1" x14ac:dyDescent="0.25">
      <c r="A56" s="94">
        <v>54</v>
      </c>
      <c r="B56" s="95">
        <v>586693</v>
      </c>
      <c r="C56" s="111">
        <v>44841</v>
      </c>
      <c r="D56" s="104" t="s">
        <v>66</v>
      </c>
      <c r="E56" s="116"/>
    </row>
    <row r="57" spans="1:5" s="94" customFormat="1" ht="15.75" customHeight="1" x14ac:dyDescent="0.25">
      <c r="A57" s="94">
        <v>55</v>
      </c>
      <c r="B57" s="95">
        <v>586692</v>
      </c>
      <c r="C57" s="111">
        <v>44841</v>
      </c>
      <c r="D57" s="104" t="s">
        <v>67</v>
      </c>
      <c r="E57" s="116"/>
    </row>
    <row r="58" spans="1:5" s="94" customFormat="1" ht="15.75" customHeight="1" x14ac:dyDescent="0.25">
      <c r="A58" s="94">
        <v>56</v>
      </c>
      <c r="B58" s="95">
        <v>586691</v>
      </c>
      <c r="C58" s="111">
        <v>44841</v>
      </c>
      <c r="D58" s="104" t="s">
        <v>68</v>
      </c>
      <c r="E58" s="116"/>
    </row>
    <row r="59" spans="1:5" s="94" customFormat="1" ht="15.75" customHeight="1" x14ac:dyDescent="0.25">
      <c r="A59" s="94">
        <v>57</v>
      </c>
      <c r="B59" s="95">
        <v>586690</v>
      </c>
      <c r="C59" s="111">
        <v>44841</v>
      </c>
      <c r="D59" s="104" t="s">
        <v>69</v>
      </c>
      <c r="E59" s="116"/>
    </row>
    <row r="60" spans="1:5" s="94" customFormat="1" ht="15.75" customHeight="1" x14ac:dyDescent="0.25">
      <c r="A60" s="94">
        <v>58</v>
      </c>
      <c r="B60" s="95">
        <v>586689</v>
      </c>
      <c r="C60" s="111">
        <v>44841</v>
      </c>
      <c r="D60" s="104" t="s">
        <v>70</v>
      </c>
      <c r="E60" s="116"/>
    </row>
    <row r="61" spans="1:5" s="94" customFormat="1" ht="15.75" customHeight="1" x14ac:dyDescent="0.25">
      <c r="A61" s="94">
        <v>59</v>
      </c>
      <c r="B61" s="95">
        <v>586688</v>
      </c>
      <c r="C61" s="111">
        <v>44841</v>
      </c>
      <c r="D61" s="104" t="s">
        <v>71</v>
      </c>
      <c r="E61" s="116"/>
    </row>
    <row r="62" spans="1:5" s="94" customFormat="1" ht="15.75" customHeight="1" x14ac:dyDescent="0.25">
      <c r="A62" s="94">
        <v>60</v>
      </c>
      <c r="B62" s="95">
        <v>586687</v>
      </c>
      <c r="C62" s="111">
        <v>44841</v>
      </c>
      <c r="D62" s="104" t="s">
        <v>72</v>
      </c>
      <c r="E62" s="116"/>
    </row>
    <row r="63" spans="1:5" s="94" customFormat="1" ht="15.75" customHeight="1" x14ac:dyDescent="0.25">
      <c r="A63" s="94">
        <v>61</v>
      </c>
      <c r="B63" s="95">
        <v>586686</v>
      </c>
      <c r="C63" s="111">
        <v>44841</v>
      </c>
      <c r="D63" s="104" t="s">
        <v>73</v>
      </c>
      <c r="E63" s="116"/>
    </row>
    <row r="64" spans="1:5" s="94" customFormat="1" ht="15.75" customHeight="1" x14ac:dyDescent="0.25">
      <c r="A64" s="94">
        <v>62</v>
      </c>
      <c r="B64" s="95">
        <v>586685</v>
      </c>
      <c r="C64" s="111">
        <v>44841</v>
      </c>
      <c r="D64" s="104" t="s">
        <v>74</v>
      </c>
      <c r="E64" s="116"/>
    </row>
    <row r="65" spans="1:5" s="94" customFormat="1" ht="15.75" customHeight="1" x14ac:dyDescent="0.25">
      <c r="A65" s="94">
        <v>63</v>
      </c>
      <c r="B65" s="95">
        <v>586684</v>
      </c>
      <c r="C65" s="111">
        <v>44841</v>
      </c>
      <c r="D65" s="104" t="s">
        <v>75</v>
      </c>
      <c r="E65" s="116"/>
    </row>
    <row r="66" spans="1:5" s="94" customFormat="1" ht="15.75" customHeight="1" x14ac:dyDescent="0.25">
      <c r="A66" s="94">
        <v>64</v>
      </c>
      <c r="B66" s="95">
        <v>586683</v>
      </c>
      <c r="C66" s="111">
        <v>44841</v>
      </c>
      <c r="D66" s="104" t="s">
        <v>76</v>
      </c>
      <c r="E66" s="116"/>
    </row>
    <row r="67" spans="1:5" s="94" customFormat="1" ht="15.75" customHeight="1" x14ac:dyDescent="0.25">
      <c r="A67" s="94">
        <v>65</v>
      </c>
      <c r="B67" s="95">
        <v>586682</v>
      </c>
      <c r="C67" s="111">
        <v>44841</v>
      </c>
      <c r="D67" s="104" t="s">
        <v>77</v>
      </c>
      <c r="E67" s="116"/>
    </row>
    <row r="68" spans="1:5" s="94" customFormat="1" ht="15.75" customHeight="1" x14ac:dyDescent="0.25">
      <c r="A68" s="94">
        <v>66</v>
      </c>
      <c r="B68" s="95">
        <v>586681</v>
      </c>
      <c r="C68" s="111">
        <v>44841</v>
      </c>
      <c r="D68" s="104" t="s">
        <v>78</v>
      </c>
      <c r="E68" s="116"/>
    </row>
    <row r="69" spans="1:5" s="94" customFormat="1" ht="15.75" customHeight="1" x14ac:dyDescent="0.25">
      <c r="A69" s="94">
        <v>67</v>
      </c>
      <c r="B69" s="95">
        <v>586680</v>
      </c>
      <c r="C69" s="111">
        <v>44841</v>
      </c>
      <c r="D69" s="104" t="s">
        <v>79</v>
      </c>
      <c r="E69" s="116"/>
    </row>
    <row r="70" spans="1:5" s="94" customFormat="1" ht="15.75" customHeight="1" x14ac:dyDescent="0.25">
      <c r="A70" s="94">
        <v>68</v>
      </c>
      <c r="B70" s="95">
        <v>586679</v>
      </c>
      <c r="C70" s="111">
        <v>44841</v>
      </c>
      <c r="D70" s="104" t="s">
        <v>80</v>
      </c>
      <c r="E70" s="116"/>
    </row>
    <row r="71" spans="1:5" s="94" customFormat="1" ht="15.75" customHeight="1" x14ac:dyDescent="0.25">
      <c r="A71" s="94">
        <v>69</v>
      </c>
      <c r="B71" s="95">
        <v>586678</v>
      </c>
      <c r="C71" s="111">
        <v>44841</v>
      </c>
      <c r="D71" s="104" t="s">
        <v>81</v>
      </c>
      <c r="E71" s="116"/>
    </row>
    <row r="72" spans="1:5" s="94" customFormat="1" ht="15.75" customHeight="1" x14ac:dyDescent="0.25">
      <c r="A72" s="94">
        <v>70</v>
      </c>
      <c r="B72" s="95">
        <v>586677</v>
      </c>
      <c r="C72" s="111">
        <v>44841</v>
      </c>
      <c r="D72" s="104" t="s">
        <v>82</v>
      </c>
      <c r="E72" s="116"/>
    </row>
    <row r="73" spans="1:5" s="94" customFormat="1" ht="15.75" customHeight="1" x14ac:dyDescent="0.25">
      <c r="A73" s="94">
        <v>71</v>
      </c>
      <c r="B73" s="95">
        <v>586676</v>
      </c>
      <c r="C73" s="111">
        <v>44841</v>
      </c>
      <c r="D73" s="104" t="s">
        <v>83</v>
      </c>
      <c r="E73" s="116"/>
    </row>
    <row r="74" spans="1:5" s="94" customFormat="1" ht="15.75" customHeight="1" x14ac:dyDescent="0.25">
      <c r="A74" s="94">
        <v>72</v>
      </c>
      <c r="B74" s="95">
        <v>586675</v>
      </c>
      <c r="C74" s="111">
        <v>44841</v>
      </c>
      <c r="D74" s="104" t="s">
        <v>84</v>
      </c>
      <c r="E74" s="116"/>
    </row>
    <row r="75" spans="1:5" s="94" customFormat="1" ht="15.75" customHeight="1" x14ac:dyDescent="0.25">
      <c r="A75" s="94">
        <v>73</v>
      </c>
      <c r="B75" s="95">
        <v>586674</v>
      </c>
      <c r="C75" s="111">
        <v>44841</v>
      </c>
      <c r="D75" s="104" t="s">
        <v>85</v>
      </c>
      <c r="E75" s="116"/>
    </row>
    <row r="76" spans="1:5" s="94" customFormat="1" ht="15.75" customHeight="1" x14ac:dyDescent="0.25">
      <c r="A76" s="94">
        <v>74</v>
      </c>
      <c r="B76" s="95">
        <v>586673</v>
      </c>
      <c r="C76" s="111">
        <v>44841</v>
      </c>
      <c r="D76" s="104" t="s">
        <v>87</v>
      </c>
      <c r="E76" s="116">
        <v>44980</v>
      </c>
    </row>
    <row r="77" spans="1:5" s="94" customFormat="1" ht="15.75" customHeight="1" x14ac:dyDescent="0.25">
      <c r="A77" s="94">
        <v>75</v>
      </c>
      <c r="B77" s="95">
        <v>586672</v>
      </c>
      <c r="C77" s="111">
        <v>44841</v>
      </c>
      <c r="D77" s="104" t="s">
        <v>88</v>
      </c>
      <c r="E77" s="116">
        <v>44980</v>
      </c>
    </row>
    <row r="78" spans="1:5" s="94" customFormat="1" ht="15.75" customHeight="1" x14ac:dyDescent="0.25">
      <c r="A78" s="94">
        <v>76</v>
      </c>
      <c r="B78" s="95">
        <v>583146</v>
      </c>
      <c r="C78" s="111">
        <v>44767</v>
      </c>
      <c r="D78" s="104" t="s">
        <v>66</v>
      </c>
      <c r="E78" s="116">
        <v>44980</v>
      </c>
    </row>
    <row r="79" spans="1:5" s="94" customFormat="1" ht="15.75" customHeight="1" x14ac:dyDescent="0.25">
      <c r="A79" s="94">
        <v>77</v>
      </c>
      <c r="B79" s="95">
        <v>583145</v>
      </c>
      <c r="C79" s="111">
        <v>44767</v>
      </c>
      <c r="D79" s="104" t="s">
        <v>89</v>
      </c>
      <c r="E79" s="116">
        <v>44980</v>
      </c>
    </row>
    <row r="80" spans="1:5" s="94" customFormat="1" ht="15.75" customHeight="1" x14ac:dyDescent="0.25">
      <c r="A80" s="94">
        <v>78</v>
      </c>
      <c r="B80" s="95">
        <v>583144</v>
      </c>
      <c r="C80" s="111">
        <v>44767</v>
      </c>
      <c r="D80" s="104" t="s">
        <v>33</v>
      </c>
      <c r="E80" s="116">
        <v>44980</v>
      </c>
    </row>
    <row r="81" spans="1:5" s="94" customFormat="1" ht="15.75" customHeight="1" x14ac:dyDescent="0.25">
      <c r="A81" s="94">
        <v>79</v>
      </c>
      <c r="B81" s="95">
        <v>583143</v>
      </c>
      <c r="C81" s="111">
        <v>44767</v>
      </c>
      <c r="D81" s="104" t="s">
        <v>51</v>
      </c>
      <c r="E81" s="116">
        <v>44980</v>
      </c>
    </row>
    <row r="82" spans="1:5" s="94" customFormat="1" ht="15.75" customHeight="1" x14ac:dyDescent="0.25">
      <c r="A82" s="94">
        <v>80</v>
      </c>
      <c r="B82" s="95">
        <v>583142</v>
      </c>
      <c r="C82" s="111">
        <v>44767</v>
      </c>
      <c r="D82" s="104" t="s">
        <v>90</v>
      </c>
      <c r="E82" s="116">
        <v>44980</v>
      </c>
    </row>
    <row r="83" spans="1:5" s="94" customFormat="1" ht="15.75" customHeight="1" x14ac:dyDescent="0.25">
      <c r="A83" s="94">
        <v>81</v>
      </c>
      <c r="B83" s="95">
        <v>583141</v>
      </c>
      <c r="C83" s="111">
        <v>44767</v>
      </c>
      <c r="D83" s="104" t="s">
        <v>91</v>
      </c>
      <c r="E83" s="116">
        <v>44959</v>
      </c>
    </row>
    <row r="84" spans="1:5" s="94" customFormat="1" ht="15.75" customHeight="1" x14ac:dyDescent="0.25">
      <c r="A84" s="94">
        <v>82</v>
      </c>
      <c r="B84" s="95">
        <v>583140</v>
      </c>
      <c r="C84" s="111">
        <v>44767</v>
      </c>
      <c r="D84" s="104" t="s">
        <v>92</v>
      </c>
      <c r="E84" s="116">
        <v>44959</v>
      </c>
    </row>
    <row r="85" spans="1:5" s="94" customFormat="1" ht="15.75" customHeight="1" x14ac:dyDescent="0.25">
      <c r="A85" s="94">
        <v>83</v>
      </c>
      <c r="B85" s="95">
        <v>583139</v>
      </c>
      <c r="C85" s="111">
        <v>44767</v>
      </c>
      <c r="D85" s="104" t="s">
        <v>93</v>
      </c>
      <c r="E85" s="116">
        <v>44959</v>
      </c>
    </row>
    <row r="86" spans="1:5" s="94" customFormat="1" ht="15.75" customHeight="1" x14ac:dyDescent="0.25">
      <c r="A86" s="94">
        <v>84</v>
      </c>
      <c r="B86" s="95">
        <v>583138</v>
      </c>
      <c r="C86" s="111">
        <v>44767</v>
      </c>
      <c r="D86" s="104" t="s">
        <v>94</v>
      </c>
      <c r="E86" s="116">
        <v>44959</v>
      </c>
    </row>
    <row r="87" spans="1:5" s="94" customFormat="1" ht="15.75" customHeight="1" x14ac:dyDescent="0.25">
      <c r="A87" s="94">
        <v>85</v>
      </c>
      <c r="B87" s="95">
        <v>583137</v>
      </c>
      <c r="C87" s="111">
        <v>44767</v>
      </c>
      <c r="D87" s="104" t="s">
        <v>95</v>
      </c>
      <c r="E87" s="116">
        <v>44959</v>
      </c>
    </row>
    <row r="88" spans="1:5" s="94" customFormat="1" ht="15.75" customHeight="1" x14ac:dyDescent="0.25">
      <c r="A88" s="94">
        <v>86</v>
      </c>
      <c r="B88" s="95">
        <v>583136</v>
      </c>
      <c r="C88" s="111">
        <v>44767</v>
      </c>
      <c r="D88" s="104" t="s">
        <v>45</v>
      </c>
      <c r="E88" s="116">
        <v>44945</v>
      </c>
    </row>
    <row r="89" spans="1:5" s="94" customFormat="1" ht="15.75" customHeight="1" x14ac:dyDescent="0.25">
      <c r="A89" s="94">
        <v>87</v>
      </c>
      <c r="B89" s="95">
        <v>583032</v>
      </c>
      <c r="C89" s="111">
        <v>44763</v>
      </c>
      <c r="D89" s="104" t="s">
        <v>56</v>
      </c>
      <c r="E89" s="116">
        <v>44945</v>
      </c>
    </row>
    <row r="90" spans="1:5" s="94" customFormat="1" ht="15.75" customHeight="1" x14ac:dyDescent="0.25">
      <c r="A90" s="94">
        <v>88</v>
      </c>
      <c r="B90" s="95">
        <v>583031</v>
      </c>
      <c r="C90" s="111">
        <v>44763</v>
      </c>
      <c r="D90" s="104" t="s">
        <v>57</v>
      </c>
      <c r="E90" s="116">
        <v>44945</v>
      </c>
    </row>
    <row r="91" spans="1:5" s="94" customFormat="1" ht="15.75" customHeight="1" x14ac:dyDescent="0.25">
      <c r="A91" s="94">
        <v>89</v>
      </c>
      <c r="B91" s="95">
        <v>583030</v>
      </c>
      <c r="C91" s="111">
        <v>44763</v>
      </c>
      <c r="D91" s="104" t="s">
        <v>60</v>
      </c>
      <c r="E91" s="116">
        <v>44945</v>
      </c>
    </row>
    <row r="92" spans="1:5" s="94" customFormat="1" ht="15.75" customHeight="1" x14ac:dyDescent="0.25">
      <c r="A92" s="94">
        <v>90</v>
      </c>
      <c r="B92" s="95">
        <v>583029</v>
      </c>
      <c r="C92" s="111">
        <v>44763</v>
      </c>
      <c r="D92" s="104" t="s">
        <v>61</v>
      </c>
      <c r="E92" s="116">
        <v>44945</v>
      </c>
    </row>
    <row r="93" spans="1:5" s="94" customFormat="1" ht="15.75" customHeight="1" x14ac:dyDescent="0.25">
      <c r="A93" s="94">
        <v>91</v>
      </c>
      <c r="B93" s="95">
        <v>583028</v>
      </c>
      <c r="C93" s="111">
        <v>44763</v>
      </c>
      <c r="D93" s="104" t="s">
        <v>62</v>
      </c>
      <c r="E93" s="116">
        <v>44945</v>
      </c>
    </row>
    <row r="94" spans="1:5" s="94" customFormat="1" ht="15.75" customHeight="1" x14ac:dyDescent="0.25">
      <c r="A94" s="94">
        <v>92</v>
      </c>
      <c r="B94" s="95">
        <v>583027</v>
      </c>
      <c r="C94" s="111">
        <v>44763</v>
      </c>
      <c r="D94" s="104" t="s">
        <v>63</v>
      </c>
      <c r="E94" s="116">
        <v>44945</v>
      </c>
    </row>
    <row r="95" spans="1:5" s="94" customFormat="1" ht="15.75" customHeight="1" x14ac:dyDescent="0.25">
      <c r="A95" s="94">
        <v>93</v>
      </c>
      <c r="B95" s="95">
        <v>583026</v>
      </c>
      <c r="C95" s="111">
        <v>44763</v>
      </c>
      <c r="D95" s="104" t="s">
        <v>54</v>
      </c>
      <c r="E95" s="116">
        <v>44945</v>
      </c>
    </row>
    <row r="96" spans="1:5" s="94" customFormat="1" ht="15.75" customHeight="1" x14ac:dyDescent="0.25">
      <c r="A96" s="94">
        <v>94</v>
      </c>
      <c r="B96" s="95">
        <v>583025</v>
      </c>
      <c r="C96" s="111">
        <v>44763</v>
      </c>
      <c r="D96" s="104" t="s">
        <v>96</v>
      </c>
      <c r="E96" s="116">
        <v>44938</v>
      </c>
    </row>
    <row r="97" spans="1:5" s="94" customFormat="1" ht="15.75" customHeight="1" x14ac:dyDescent="0.25">
      <c r="A97" s="94">
        <v>95</v>
      </c>
      <c r="B97" s="95">
        <v>583024</v>
      </c>
      <c r="C97" s="111">
        <v>44763</v>
      </c>
      <c r="D97" s="104" t="s">
        <v>97</v>
      </c>
      <c r="E97" s="116">
        <v>44938</v>
      </c>
    </row>
    <row r="98" spans="1:5" s="94" customFormat="1" ht="15.75" customHeight="1" x14ac:dyDescent="0.25">
      <c r="A98" s="94">
        <v>96</v>
      </c>
      <c r="B98" s="95">
        <v>583023</v>
      </c>
      <c r="C98" s="111">
        <v>44763</v>
      </c>
      <c r="D98" s="104" t="s">
        <v>98</v>
      </c>
      <c r="E98" s="116">
        <v>44938</v>
      </c>
    </row>
    <row r="99" spans="1:5" s="94" customFormat="1" ht="15.75" customHeight="1" x14ac:dyDescent="0.25">
      <c r="A99" s="94">
        <v>97</v>
      </c>
      <c r="B99" s="95">
        <v>583022</v>
      </c>
      <c r="C99" s="111">
        <v>44763</v>
      </c>
      <c r="D99" s="104" t="s">
        <v>99</v>
      </c>
      <c r="E99" s="116">
        <v>44938</v>
      </c>
    </row>
    <row r="100" spans="1:5" s="94" customFormat="1" ht="15.75" customHeight="1" x14ac:dyDescent="0.25">
      <c r="A100" s="94">
        <v>98</v>
      </c>
      <c r="B100" s="95">
        <v>583021</v>
      </c>
      <c r="C100" s="111">
        <v>44763</v>
      </c>
      <c r="D100" s="104" t="s">
        <v>100</v>
      </c>
      <c r="E100" s="116">
        <v>44938</v>
      </c>
    </row>
    <row r="101" spans="1:5" s="94" customFormat="1" ht="15.75" customHeight="1" x14ac:dyDescent="0.25">
      <c r="A101" s="94">
        <v>99</v>
      </c>
      <c r="B101" s="95">
        <v>583020</v>
      </c>
      <c r="C101" s="111">
        <v>44763</v>
      </c>
      <c r="D101" s="104" t="s">
        <v>101</v>
      </c>
      <c r="E101" s="116">
        <v>44935</v>
      </c>
    </row>
    <row r="102" spans="1:5" s="94" customFormat="1" ht="15.75" customHeight="1" x14ac:dyDescent="0.25">
      <c r="A102" s="94">
        <v>100</v>
      </c>
      <c r="B102" s="95">
        <v>583019</v>
      </c>
      <c r="C102" s="111">
        <v>44763</v>
      </c>
      <c r="D102" s="104" t="s">
        <v>102</v>
      </c>
      <c r="E102" s="116">
        <v>44935</v>
      </c>
    </row>
    <row r="103" spans="1:5" s="94" customFormat="1" ht="15.75" customHeight="1" x14ac:dyDescent="0.25">
      <c r="A103" s="94">
        <v>101</v>
      </c>
      <c r="B103" s="95">
        <v>583018</v>
      </c>
      <c r="C103" s="111">
        <v>44763</v>
      </c>
      <c r="D103" s="104" t="s">
        <v>38</v>
      </c>
      <c r="E103" s="116">
        <v>44935</v>
      </c>
    </row>
    <row r="104" spans="1:5" s="94" customFormat="1" ht="15.75" customHeight="1" x14ac:dyDescent="0.25">
      <c r="A104" s="94">
        <v>102</v>
      </c>
      <c r="B104" s="95">
        <v>583017</v>
      </c>
      <c r="C104" s="111">
        <v>44763</v>
      </c>
      <c r="D104" s="104" t="s">
        <v>81</v>
      </c>
      <c r="E104" s="116">
        <v>44935</v>
      </c>
    </row>
    <row r="105" spans="1:5" s="94" customFormat="1" ht="15.75" customHeight="1" x14ac:dyDescent="0.25">
      <c r="A105" s="94">
        <v>103</v>
      </c>
      <c r="B105" s="95">
        <v>590447</v>
      </c>
      <c r="C105" s="111">
        <v>44915</v>
      </c>
      <c r="D105" s="104" t="s">
        <v>15</v>
      </c>
      <c r="E105" s="116">
        <v>44980</v>
      </c>
    </row>
    <row r="106" spans="1:5" s="94" customFormat="1" ht="15.75" customHeight="1" x14ac:dyDescent="0.25">
      <c r="A106" s="94">
        <v>104</v>
      </c>
      <c r="B106" s="95">
        <v>590446</v>
      </c>
      <c r="C106" s="111">
        <v>44915</v>
      </c>
      <c r="D106" s="104" t="s">
        <v>15</v>
      </c>
      <c r="E106" s="116">
        <v>44980</v>
      </c>
    </row>
    <row r="107" spans="1:5" s="94" customFormat="1" ht="15.75" customHeight="1" x14ac:dyDescent="0.25">
      <c r="A107" s="94">
        <v>105</v>
      </c>
      <c r="B107" s="95">
        <v>590445</v>
      </c>
      <c r="C107" s="111">
        <v>44915</v>
      </c>
      <c r="D107" s="104" t="s">
        <v>15</v>
      </c>
      <c r="E107" s="116">
        <v>44980</v>
      </c>
    </row>
    <row r="108" spans="1:5" s="94" customFormat="1" ht="15.75" customHeight="1" x14ac:dyDescent="0.25">
      <c r="A108" s="94">
        <v>106</v>
      </c>
      <c r="B108" s="95">
        <v>590444</v>
      </c>
      <c r="C108" s="111">
        <v>44915</v>
      </c>
      <c r="D108" s="104" t="s">
        <v>15</v>
      </c>
      <c r="E108" s="116">
        <v>44980</v>
      </c>
    </row>
    <row r="109" spans="1:5" s="94" customFormat="1" ht="15.75" customHeight="1" x14ac:dyDescent="0.25">
      <c r="A109" s="94">
        <v>107</v>
      </c>
      <c r="B109" s="95">
        <v>590443</v>
      </c>
      <c r="C109" s="111">
        <v>44915</v>
      </c>
      <c r="D109" s="104" t="s">
        <v>15</v>
      </c>
      <c r="E109" s="116">
        <v>44980</v>
      </c>
    </row>
    <row r="110" spans="1:5" s="94" customFormat="1" ht="15.75" customHeight="1" x14ac:dyDescent="0.25">
      <c r="A110" s="94">
        <v>108</v>
      </c>
      <c r="B110" s="95">
        <v>590442</v>
      </c>
      <c r="C110" s="111">
        <v>44915</v>
      </c>
      <c r="D110" s="104" t="s">
        <v>15</v>
      </c>
      <c r="E110" s="116">
        <v>44973</v>
      </c>
    </row>
    <row r="111" spans="1:5" s="94" customFormat="1" ht="15.75" customHeight="1" x14ac:dyDescent="0.25">
      <c r="A111" s="94">
        <v>109</v>
      </c>
      <c r="B111" s="95">
        <v>590441</v>
      </c>
      <c r="C111" s="111">
        <v>44915</v>
      </c>
      <c r="D111" s="104" t="s">
        <v>15</v>
      </c>
      <c r="E111" s="116">
        <v>44973</v>
      </c>
    </row>
    <row r="112" spans="1:5" s="94" customFormat="1" ht="15.75" customHeight="1" x14ac:dyDescent="0.25">
      <c r="A112" s="94">
        <v>110</v>
      </c>
      <c r="B112" s="95">
        <v>590440</v>
      </c>
      <c r="C112" s="111">
        <v>44915</v>
      </c>
      <c r="D112" s="104" t="s">
        <v>15</v>
      </c>
      <c r="E112" s="116">
        <v>44973</v>
      </c>
    </row>
    <row r="113" spans="1:5" s="94" customFormat="1" ht="15.75" customHeight="1" x14ac:dyDescent="0.25">
      <c r="A113" s="94">
        <v>111</v>
      </c>
      <c r="B113" s="95">
        <v>590439</v>
      </c>
      <c r="C113" s="111">
        <v>44915</v>
      </c>
      <c r="D113" s="104" t="s">
        <v>15</v>
      </c>
      <c r="E113" s="116">
        <v>44973</v>
      </c>
    </row>
    <row r="114" spans="1:5" s="94" customFormat="1" ht="15.75" customHeight="1" x14ac:dyDescent="0.25">
      <c r="A114" s="94">
        <v>112</v>
      </c>
      <c r="B114" s="95">
        <v>590438</v>
      </c>
      <c r="C114" s="111">
        <v>44915</v>
      </c>
      <c r="D114" s="104" t="s">
        <v>15</v>
      </c>
      <c r="E114" s="116">
        <v>44973</v>
      </c>
    </row>
    <row r="115" spans="1:5" s="94" customFormat="1" ht="15.75" customHeight="1" x14ac:dyDescent="0.25">
      <c r="A115" s="94">
        <v>113</v>
      </c>
      <c r="B115" s="95">
        <v>590437</v>
      </c>
      <c r="C115" s="111">
        <v>44915</v>
      </c>
      <c r="D115" s="104" t="s">
        <v>15</v>
      </c>
      <c r="E115" s="116">
        <v>44973</v>
      </c>
    </row>
    <row r="116" spans="1:5" s="94" customFormat="1" ht="15.75" customHeight="1" x14ac:dyDescent="0.25">
      <c r="A116" s="94">
        <v>114</v>
      </c>
      <c r="B116" s="95">
        <v>590436</v>
      </c>
      <c r="C116" s="111">
        <v>44915</v>
      </c>
      <c r="D116" s="104" t="s">
        <v>15</v>
      </c>
      <c r="E116" s="116">
        <v>44966</v>
      </c>
    </row>
    <row r="117" spans="1:5" s="94" customFormat="1" ht="15.75" customHeight="1" x14ac:dyDescent="0.25">
      <c r="A117" s="94">
        <v>115</v>
      </c>
      <c r="B117" s="95">
        <v>590435</v>
      </c>
      <c r="C117" s="111">
        <v>44915</v>
      </c>
      <c r="D117" s="104" t="s">
        <v>15</v>
      </c>
      <c r="E117" s="116">
        <v>44966</v>
      </c>
    </row>
    <row r="118" spans="1:5" s="94" customFormat="1" ht="15.75" customHeight="1" x14ac:dyDescent="0.25">
      <c r="A118" s="94">
        <v>116</v>
      </c>
      <c r="B118" s="95">
        <v>590434</v>
      </c>
      <c r="C118" s="111">
        <v>44915</v>
      </c>
      <c r="D118" s="104" t="s">
        <v>15</v>
      </c>
      <c r="E118" s="116">
        <v>44966</v>
      </c>
    </row>
    <row r="119" spans="1:5" s="94" customFormat="1" ht="15.75" customHeight="1" x14ac:dyDescent="0.25">
      <c r="A119" s="94">
        <v>117</v>
      </c>
      <c r="B119" s="95">
        <v>590433</v>
      </c>
      <c r="C119" s="111">
        <v>44915</v>
      </c>
      <c r="D119" s="104" t="s">
        <v>15</v>
      </c>
      <c r="E119" s="116">
        <v>44966</v>
      </c>
    </row>
    <row r="120" spans="1:5" s="94" customFormat="1" ht="15.75" customHeight="1" x14ac:dyDescent="0.25">
      <c r="A120" s="94">
        <v>118</v>
      </c>
      <c r="B120" s="95">
        <v>590432</v>
      </c>
      <c r="C120" s="111">
        <v>44915</v>
      </c>
      <c r="D120" s="104" t="s">
        <v>15</v>
      </c>
      <c r="E120" s="116">
        <v>44966</v>
      </c>
    </row>
    <row r="121" spans="1:5" s="94" customFormat="1" ht="15.75" customHeight="1" x14ac:dyDescent="0.25">
      <c r="A121" s="94">
        <v>119</v>
      </c>
      <c r="B121" s="95">
        <v>590431</v>
      </c>
      <c r="C121" s="111">
        <v>44915</v>
      </c>
      <c r="D121" s="104" t="s">
        <v>15</v>
      </c>
      <c r="E121" s="116">
        <v>44966</v>
      </c>
    </row>
    <row r="122" spans="1:5" s="94" customFormat="1" ht="15.75" customHeight="1" x14ac:dyDescent="0.25">
      <c r="A122" s="94">
        <v>120</v>
      </c>
      <c r="B122" s="95">
        <v>590430</v>
      </c>
      <c r="C122" s="111">
        <v>44915</v>
      </c>
      <c r="D122" s="104" t="s">
        <v>15</v>
      </c>
      <c r="E122" s="116">
        <v>44966</v>
      </c>
    </row>
    <row r="123" spans="1:5" s="94" customFormat="1" ht="15.75" customHeight="1" x14ac:dyDescent="0.25">
      <c r="A123" s="94">
        <v>121</v>
      </c>
      <c r="B123" s="95">
        <v>590429</v>
      </c>
      <c r="C123" s="111">
        <v>44915</v>
      </c>
      <c r="D123" s="104" t="s">
        <v>15</v>
      </c>
      <c r="E123" s="116">
        <v>44959</v>
      </c>
    </row>
    <row r="124" spans="1:5" s="94" customFormat="1" ht="15.75" customHeight="1" x14ac:dyDescent="0.25">
      <c r="A124" s="94">
        <v>122</v>
      </c>
      <c r="B124" s="95">
        <v>590428</v>
      </c>
      <c r="C124" s="111">
        <v>44915</v>
      </c>
      <c r="D124" s="104" t="s">
        <v>15</v>
      </c>
      <c r="E124" s="116">
        <v>44959</v>
      </c>
    </row>
    <row r="125" spans="1:5" s="94" customFormat="1" ht="15.75" customHeight="1" x14ac:dyDescent="0.25">
      <c r="A125" s="94">
        <v>123</v>
      </c>
      <c r="B125" s="95">
        <v>590427</v>
      </c>
      <c r="C125" s="111">
        <v>44915</v>
      </c>
      <c r="D125" s="104" t="s">
        <v>15</v>
      </c>
      <c r="E125" s="116">
        <v>44959</v>
      </c>
    </row>
    <row r="126" spans="1:5" s="94" customFormat="1" ht="15.75" customHeight="1" x14ac:dyDescent="0.25">
      <c r="A126" s="94">
        <v>124</v>
      </c>
      <c r="B126" s="95">
        <v>590426</v>
      </c>
      <c r="C126" s="111">
        <v>44915</v>
      </c>
      <c r="D126" s="104" t="s">
        <v>15</v>
      </c>
      <c r="E126" s="116">
        <v>44959</v>
      </c>
    </row>
    <row r="127" spans="1:5" s="94" customFormat="1" ht="15.75" customHeight="1" x14ac:dyDescent="0.25">
      <c r="A127" s="94">
        <v>125</v>
      </c>
      <c r="B127" s="95">
        <v>590425</v>
      </c>
      <c r="C127" s="111">
        <v>44915</v>
      </c>
      <c r="D127" s="104" t="s">
        <v>15</v>
      </c>
      <c r="E127" s="116">
        <v>44959</v>
      </c>
    </row>
    <row r="128" spans="1:5" s="94" customFormat="1" ht="15.75" customHeight="1" x14ac:dyDescent="0.25">
      <c r="A128" s="94">
        <v>126</v>
      </c>
      <c r="B128" s="95">
        <v>590424</v>
      </c>
      <c r="C128" s="111">
        <v>44915</v>
      </c>
      <c r="D128" s="104" t="s">
        <v>103</v>
      </c>
      <c r="E128" s="116">
        <v>44959</v>
      </c>
    </row>
    <row r="129" spans="1:5" s="94" customFormat="1" ht="15.75" customHeight="1" x14ac:dyDescent="0.25">
      <c r="A129" s="94">
        <v>127</v>
      </c>
      <c r="B129" s="95">
        <v>590423</v>
      </c>
      <c r="C129" s="111">
        <v>44915</v>
      </c>
      <c r="D129" s="104" t="s">
        <v>104</v>
      </c>
      <c r="E129" s="116">
        <v>44959</v>
      </c>
    </row>
    <row r="130" spans="1:5" s="94" customFormat="1" ht="15.75" customHeight="1" x14ac:dyDescent="0.25">
      <c r="A130" s="94">
        <v>128</v>
      </c>
      <c r="B130" s="95">
        <v>590422</v>
      </c>
      <c r="C130" s="111">
        <v>44915</v>
      </c>
      <c r="D130" s="104" t="s">
        <v>17</v>
      </c>
      <c r="E130" s="116">
        <v>44959</v>
      </c>
    </row>
    <row r="131" spans="1:5" s="94" customFormat="1" ht="15.75" customHeight="1" x14ac:dyDescent="0.25">
      <c r="A131" s="94">
        <v>129</v>
      </c>
      <c r="B131" s="95">
        <v>590421</v>
      </c>
      <c r="C131" s="111">
        <v>44915</v>
      </c>
      <c r="D131" s="104" t="s">
        <v>18</v>
      </c>
      <c r="E131" s="116">
        <v>44959</v>
      </c>
    </row>
    <row r="132" spans="1:5" s="94" customFormat="1" ht="15.75" customHeight="1" x14ac:dyDescent="0.25">
      <c r="A132" s="94">
        <v>130</v>
      </c>
      <c r="B132" s="95">
        <v>590420</v>
      </c>
      <c r="C132" s="111">
        <v>44915</v>
      </c>
      <c r="D132" s="104" t="s">
        <v>16</v>
      </c>
      <c r="E132" s="116">
        <v>44959</v>
      </c>
    </row>
    <row r="133" spans="1:5" s="94" customFormat="1" ht="15.75" customHeight="1" x14ac:dyDescent="0.25">
      <c r="A133" s="94">
        <v>131</v>
      </c>
      <c r="B133" s="95">
        <v>590419</v>
      </c>
      <c r="C133" s="111">
        <v>44915</v>
      </c>
      <c r="D133" s="104" t="s">
        <v>14</v>
      </c>
      <c r="E133" s="116">
        <v>44952</v>
      </c>
    </row>
    <row r="134" spans="1:5" s="94" customFormat="1" ht="15.75" customHeight="1" x14ac:dyDescent="0.25">
      <c r="A134" s="94">
        <v>132</v>
      </c>
      <c r="B134" s="95">
        <v>589783</v>
      </c>
      <c r="C134" s="111">
        <v>44903</v>
      </c>
      <c r="D134" s="104" t="s">
        <v>105</v>
      </c>
      <c r="E134" s="116">
        <v>44952</v>
      </c>
    </row>
    <row r="135" spans="1:5" s="94" customFormat="1" ht="15.75" customHeight="1" x14ac:dyDescent="0.25">
      <c r="A135" s="94">
        <v>133</v>
      </c>
      <c r="B135" s="95">
        <v>589782</v>
      </c>
      <c r="C135" s="111">
        <v>44903</v>
      </c>
      <c r="D135" s="104" t="s">
        <v>15</v>
      </c>
      <c r="E135" s="116">
        <v>44952</v>
      </c>
    </row>
    <row r="136" spans="1:5" s="94" customFormat="1" ht="15.75" customHeight="1" x14ac:dyDescent="0.25">
      <c r="A136" s="94">
        <v>134</v>
      </c>
      <c r="B136" s="95">
        <v>589781</v>
      </c>
      <c r="C136" s="111">
        <v>44903</v>
      </c>
      <c r="D136" s="104" t="s">
        <v>15</v>
      </c>
      <c r="E136" s="116">
        <v>44952</v>
      </c>
    </row>
    <row r="137" spans="1:5" s="94" customFormat="1" ht="15.75" customHeight="1" x14ac:dyDescent="0.25">
      <c r="A137" s="94">
        <v>135</v>
      </c>
      <c r="B137" s="95">
        <v>589780</v>
      </c>
      <c r="C137" s="111">
        <v>44903</v>
      </c>
      <c r="D137" s="104" t="s">
        <v>15</v>
      </c>
      <c r="E137" s="116">
        <v>44952</v>
      </c>
    </row>
    <row r="138" spans="1:5" s="94" customFormat="1" ht="15.75" customHeight="1" x14ac:dyDescent="0.25">
      <c r="A138" s="94">
        <v>136</v>
      </c>
      <c r="B138" s="95">
        <v>589779</v>
      </c>
      <c r="C138" s="111">
        <v>44903</v>
      </c>
      <c r="D138" s="104" t="s">
        <v>15</v>
      </c>
      <c r="E138" s="116">
        <v>44945</v>
      </c>
    </row>
    <row r="139" spans="1:5" s="94" customFormat="1" ht="15.75" customHeight="1" x14ac:dyDescent="0.25">
      <c r="A139" s="94">
        <v>137</v>
      </c>
      <c r="B139" s="95">
        <v>589778</v>
      </c>
      <c r="C139" s="111">
        <v>44903</v>
      </c>
      <c r="D139" s="104" t="s">
        <v>15</v>
      </c>
      <c r="E139" s="116">
        <v>44945</v>
      </c>
    </row>
    <row r="140" spans="1:5" s="94" customFormat="1" ht="15.75" customHeight="1" x14ac:dyDescent="0.25">
      <c r="A140" s="94">
        <v>138</v>
      </c>
      <c r="B140" s="95">
        <v>589777</v>
      </c>
      <c r="C140" s="111">
        <v>44903</v>
      </c>
      <c r="D140" s="104" t="s">
        <v>15</v>
      </c>
      <c r="E140" s="116">
        <v>44945</v>
      </c>
    </row>
    <row r="141" spans="1:5" s="94" customFormat="1" ht="15.75" customHeight="1" x14ac:dyDescent="0.25">
      <c r="A141" s="94">
        <v>139</v>
      </c>
      <c r="B141" s="95">
        <v>589776</v>
      </c>
      <c r="C141" s="111">
        <v>44903</v>
      </c>
      <c r="D141" s="104" t="s">
        <v>15</v>
      </c>
      <c r="E141" s="116">
        <v>44945</v>
      </c>
    </row>
    <row r="142" spans="1:5" s="94" customFormat="1" ht="15.75" customHeight="1" x14ac:dyDescent="0.25">
      <c r="A142" s="94">
        <v>140</v>
      </c>
      <c r="B142" s="95">
        <v>589775</v>
      </c>
      <c r="C142" s="111">
        <v>44903</v>
      </c>
      <c r="D142" s="104" t="s">
        <v>15</v>
      </c>
      <c r="E142" s="116">
        <v>44945</v>
      </c>
    </row>
    <row r="143" spans="1:5" s="94" customFormat="1" ht="15.75" customHeight="1" x14ac:dyDescent="0.25">
      <c r="A143" s="94">
        <v>141</v>
      </c>
      <c r="B143" s="95">
        <v>589774</v>
      </c>
      <c r="C143" s="111">
        <v>44903</v>
      </c>
      <c r="D143" s="104" t="s">
        <v>15</v>
      </c>
      <c r="E143" s="116">
        <v>44945</v>
      </c>
    </row>
    <row r="144" spans="1:5" s="94" customFormat="1" ht="15.75" customHeight="1" x14ac:dyDescent="0.25">
      <c r="A144" s="94">
        <v>142</v>
      </c>
      <c r="B144" s="95">
        <v>589773</v>
      </c>
      <c r="C144" s="111">
        <v>44903</v>
      </c>
      <c r="D144" s="104" t="s">
        <v>15</v>
      </c>
      <c r="E144" s="116">
        <v>44945</v>
      </c>
    </row>
    <row r="145" spans="1:5" s="94" customFormat="1" ht="15.75" customHeight="1" x14ac:dyDescent="0.25">
      <c r="A145" s="94">
        <v>143</v>
      </c>
      <c r="B145" s="95">
        <v>589772</v>
      </c>
      <c r="C145" s="111">
        <v>44903</v>
      </c>
      <c r="D145" s="104" t="s">
        <v>15</v>
      </c>
      <c r="E145" s="116">
        <v>44945</v>
      </c>
    </row>
    <row r="146" spans="1:5" s="94" customFormat="1" ht="15.75" customHeight="1" x14ac:dyDescent="0.25">
      <c r="A146" s="94">
        <v>144</v>
      </c>
      <c r="B146" s="95">
        <v>589771</v>
      </c>
      <c r="C146" s="111">
        <v>44903</v>
      </c>
      <c r="D146" s="104" t="s">
        <v>15</v>
      </c>
      <c r="E146" s="116">
        <v>44945</v>
      </c>
    </row>
    <row r="147" spans="1:5" x14ac:dyDescent="0.25">
      <c r="B147" s="108"/>
    </row>
  </sheetData>
  <conditionalFormatting sqref="B148:B1048576 B1:B2">
    <cfRule type="duplicateValues" dxfId="1" priority="2"/>
  </conditionalFormatting>
  <conditionalFormatting sqref="B148:B1048576">
    <cfRule type="duplicateValues" dxfId="0" priority="1"/>
  </conditionalFormatting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fitToHeight="0" orientation="portrait" r:id="rId1"/>
  <headerFooter>
    <oddFooter>&amp;R&amp;D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11</vt:i4>
      </vt:variant>
    </vt:vector>
  </HeadingPairs>
  <TitlesOfParts>
    <vt:vector size="22" baseType="lpstr">
      <vt:lpstr>Abrufliste</vt:lpstr>
      <vt:lpstr>DirektABHOLUNG</vt:lpstr>
      <vt:lpstr>Einlagerungsliste DIREKTANL</vt:lpstr>
      <vt:lpstr>MUSTER</vt:lpstr>
      <vt:lpstr>UMlagerung</vt:lpstr>
      <vt:lpstr>UMlag.zur Prüf.</vt:lpstr>
      <vt:lpstr>Inventur PPH-nur Archiv</vt:lpstr>
      <vt:lpstr>Einlagerungsliste</vt:lpstr>
      <vt:lpstr>Einlagerungsliste Neue Eb-Numme</vt:lpstr>
      <vt:lpstr>Abrufliste Vorvor-Arbeitstag 10</vt:lpstr>
      <vt:lpstr>Wirtschaftspr.31.12.22</vt:lpstr>
      <vt:lpstr>Abrufliste!Druckbereich</vt:lpstr>
      <vt:lpstr>'Abrufliste Vorvor-Arbeitstag 10'!Druckbereich</vt:lpstr>
      <vt:lpstr>DirektABHOLUNG!Druckbereich</vt:lpstr>
      <vt:lpstr>Einlagerungsliste!Druckbereich</vt:lpstr>
      <vt:lpstr>'Einlagerungsliste DIREKTANL'!Druckbereich</vt:lpstr>
      <vt:lpstr>'Einlagerungsliste Neue Eb-Numme'!Druckbereich</vt:lpstr>
      <vt:lpstr>'Inventur PPH-nur Archiv'!Druckbereich</vt:lpstr>
      <vt:lpstr>MUSTER!Druckbereich</vt:lpstr>
      <vt:lpstr>'UMlag.zur Prüf.'!Druckbereich</vt:lpstr>
      <vt:lpstr>UMlagerung!Druckbereich</vt:lpstr>
      <vt:lpstr>Wirtschaftspr.31.12.22!Druckbereich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Klüber</dc:creator>
  <cp:lastModifiedBy>Martin Klüber</cp:lastModifiedBy>
  <cp:lastPrinted>2026-06-19T07:45:51Z</cp:lastPrinted>
  <dcterms:created xsi:type="dcterms:W3CDTF">2017-11-20T08:29:19Z</dcterms:created>
  <dcterms:modified xsi:type="dcterms:W3CDTF">2026-06-19T08:09:30Z</dcterms:modified>
</cp:coreProperties>
</file>